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0_문서정보" sheetId="1" r:id="rId5"/>
    <sheet state="visible" name="01_기능정의서" sheetId="2" r:id="rId6"/>
    <sheet state="visible" name="02_기능명세" sheetId="3" r:id="rId7"/>
    <sheet state="visible" name="03_화면정의서" sheetId="4" r:id="rId8"/>
    <sheet state="visible" name="05_상태_정책" sheetId="5" r:id="rId9"/>
    <sheet state="visible" name="07_비기능요구사항" sheetId="6" r:id="rId10"/>
    <sheet state="visible" name="08_릴리스로드맵" sheetId="7" r:id="rId11"/>
    <sheet state="visible" name="09_오픈이슈" sheetId="8" r:id="rId12"/>
    <sheet state="visible" name="11_용어집" sheetId="9" r:id="rId13"/>
  </sheets>
  <definedNames>
    <definedName hidden="1" localSheetId="2" name="_xlnm._FilterDatabase">'02_기능명세'!$A$5:$L$174</definedName>
  </definedNames>
  <calcPr/>
</workbook>
</file>

<file path=xl/sharedStrings.xml><?xml version="1.0" encoding="utf-8"?>
<sst xmlns="http://schemas.openxmlformats.org/spreadsheetml/2006/main" count="4255" uniqueCount="2713">
  <si>
    <t>03. 화면 정의서 — v3.0</t>
  </si>
  <si>
    <t>Pix/ate · AI 상세페이지 로컬라이제이션 서비스 요구사항정의서 v3.0</t>
  </si>
  <si>
    <t>01. 기능 정의서 (요약) — v3.0</t>
  </si>
  <si>
    <t>02. 기능 명세 (Functional Requirements) — v2.5</t>
  </si>
  <si>
    <t>v3.0 — 파이프라인 재구성에 따라 화면 체계를 N1~N6으로 재정의. 사용자 화면 4개(N1 입력 · N3 섹션 확인 · N5 검수 · N6 저장) + 처리 화면 2개(N2 분석 · N4 번역). 구 S1~S8은 삭제(빨강·취소선), 신규 화면은 연녹, 수정은 연노랑. ★연빨강 = v3.0 삭제 · 연녹 = v3.0 신규 · 연노랑 = v3.0 수정</t>
  </si>
  <si>
    <t>화면·영역 단위로 서비스 전체를 훑는 요약본. 정확한 정의·수용 기준·예외 처리는 02_기능명세가 권위이며, 이 시트는 기능 ID로 그쪽을 가리킨다. 두 시트가 어긋나면 02_기능명세가 맞다.</t>
  </si>
  <si>
    <t>파이프라인 재구성(병렬 분기) · 산출물 축 신설 · 편집기 제거 — 제자리 번역 확정 / 9/1 4·5차: N5 좌우 2분할·슬라이더 · 검수 중 섹션 제외 · 처리 중단 복귀 · baked 산출물 · 결과물 분할</t>
  </si>
  <si>
    <t>★ = 핵심 기능 · P0=MVP 필수 / P1=MVP 권장 / P2=Phase2 / P3=Phase3 · must=MVP(9/30) / should=12월(12/11) / could=여유 시 / won't=미구현</t>
  </si>
  <si>
    <t>릴리스 — 9월: MVP(must) / 9월 should: 9월 목표이나 여유 시 / 12월: 최종발표 범위 / 이후: 12월 이후 검토</t>
  </si>
  <si>
    <t>화면 ID</t>
  </si>
  <si>
    <t>대메뉴</t>
  </si>
  <si>
    <t>화면명</t>
  </si>
  <si>
    <t>MVP</t>
  </si>
  <si>
    <t>색상 범례 — [행 C~L열] ★중녹 = v3.0 신규 · 중노랑 = v3.0 수정 · 중빨강+취소선 = v3.0 삭제(행 보존, 릴리스="삭제") / [A~B열] 대분류 구분색(변경 표시 아님) · (연보라 = v2.5 · 주황 = v2.4 이력) / ※ 9/1 4차: 잔존 행의 화면 열 구 S번호를 N번호로 일괄 교체(S1·S5→N1, S4·S6→N4, S7→N5, S8→N6). 표기 단순 갱신이므로 행별 변경 표시는 하지 않는다 — S0(프로세스 바)은 유효 ID로 유지.</t>
  </si>
  <si>
    <t>문서명</t>
  </si>
  <si>
    <t>Depth 1</t>
  </si>
  <si>
    <t>Depth 2</t>
  </si>
  <si>
    <t>Depth 3</t>
  </si>
  <si>
    <t>정의</t>
  </si>
  <si>
    <t>정책</t>
  </si>
  <si>
    <t>Pix/ate 요구사항정의서 (기능명세 PRD 후속)</t>
  </si>
  <si>
    <t>릴리스</t>
  </si>
  <si>
    <t>기능 ID</t>
  </si>
  <si>
    <t>화면 목적</t>
  </si>
  <si>
    <t>진입 경로</t>
  </si>
  <si>
    <t>주요 구성 요소</t>
  </si>
  <si>
    <t>주요 버튼</t>
  </si>
  <si>
    <t>다음 화면</t>
  </si>
  <si>
    <t>예외 / 알럿</t>
  </si>
  <si>
    <t>계정 · 공통</t>
  </si>
  <si>
    <t>관련 기능 ID</t>
  </si>
  <si>
    <t>G1</t>
  </si>
  <si>
    <t>로그인 · 회원가입</t>
  </si>
  <si>
    <t>버전</t>
  </si>
  <si>
    <t>v3.0 (2026-08-31) · 9/1 수정 4·5차 반영 · 이전 v2.5 (2026-08-24)</t>
  </si>
  <si>
    <t>변경 이력</t>
  </si>
  <si>
    <t>O</t>
  </si>
  <si>
    <t>셀러 인증과 계정 생성</t>
  </si>
  <si>
    <t>최초 진입</t>
  </si>
  <si>
    <t>이메일 로그인 · 회원가입</t>
  </si>
  <si>
    <t>[로그인] [가입]</t>
  </si>
  <si>
    <t>M1 보관함</t>
  </si>
  <si>
    <t>MVP는 이메일 로그인만. 소셜 로그인·계정 성격 선택은 12월 이후</t>
  </si>
  <si>
    <t>F-ACC-01·04 (05~08은 12월)</t>
  </si>
  <si>
    <t>로그인 · 회원가입 (G1)</t>
  </si>
  <si>
    <t>S0</t>
  </si>
  <si>
    <t>작성</t>
  </si>
  <si>
    <t>작업 단계 프로세스 바 (전역)</t>
  </si>
  <si>
    <t>은다빈 (PM)</t>
  </si>
  <si>
    <t>현재 작업 단계 표시 (MVP는 표시 전용)</t>
  </si>
  <si>
    <t>대분류</t>
  </si>
  <si>
    <t>N1~N6 전 화면 상단 고정</t>
  </si>
  <si>
    <t>단계 표시(N1 입력 → N2 분석 → N3 섹션 확인 → N4 번역 → N5 검수 → N6 저장) · ★우측 [X] 작업 취소 (전 화면 고정, N1 제외 — F-JOB-07) · [12월] 단계 선택·되돌림 경고 모달</t>
  </si>
  <si>
    <t>작성 근거</t>
  </si>
  <si>
    <t>★[X] 작업 취소 (전 화면 고정 · N1 제외) / 단계 표시는 클릭 불가</t>
  </si>
  <si>
    <t>- (이동 없음)</t>
  </si>
  <si>
    <t>★[X]는 작업 전체를 취소하며 되돌릴 수 없다 — 처리 중단(N2·N4)은 별개 동작으로 F-JOB-08이 담당한다 / ★N1에는 [X] 대신 「보관함으로 나가기」가 노출된다(작업이 아직 생성되지 않아 취소할 대상이 없음) / MVP는 단계 클릭이 동작하지 않으며 툴팁으로 12월 기능임을 안내 / 앞으로 진행은 각 화면의 [다음] 버튼으로만 / 되돌림 관련 경고는 12월</t>
  </si>
  <si>
    <t>F-NAV-01, F-JOB-07 (F-NAV-02~08은 12월)</t>
  </si>
  <si>
    <t>변경안 v3.0(8/31 — 8/29 팀 화이트보드·8/31 API 조사·PSD 실측 반영) 기준 개정. 실근무일 산정은 실행계획 v3.0.</t>
  </si>
  <si>
    <t>화면</t>
  </si>
  <si>
    <t>기능명</t>
  </si>
  <si>
    <t>이메일 로그인</t>
  </si>
  <si>
    <t>상세 요구사항</t>
  </si>
  <si>
    <t>우선순위</t>
  </si>
  <si>
    <t>Cognito 기반 인증 · JWT 발급·검증</t>
  </si>
  <si>
    <t>S1</t>
  </si>
  <si>
    <t>세션 만료 시 재로그인. MVP는 임시 저장·복원이 없어 진행 중이던 작업이 유지되지 않음을 사전 안내</t>
  </si>
  <si>
    <t>9월</t>
  </si>
  <si>
    <t>수용 기준</t>
  </si>
  <si>
    <t>예외 처리</t>
  </si>
  <si>
    <t>비고 / 의존성</t>
  </si>
  <si>
    <t>원본 등록</t>
  </si>
  <si>
    <t>F-ACC-01</t>
  </si>
  <si>
    <t>삭제</t>
  </si>
  <si>
    <t>규격과 카테고리를 정하고 원본을 등록</t>
  </si>
  <si>
    <t>M1 + 카드 / GNB</t>
  </si>
  <si>
    <t>★프로젝트 성격</t>
  </si>
  <si>
    <t>규격 선택(국가 필터) · 카테고리 선택(상세 목록) · 원본 다중 업로드/재정렬 · 핵심 키워드 · 인증 뱃지 업로드(should) · 책임 한계 고지 · 단계 이동 규칙 사전 안내</t>
  </si>
  <si>
    <t>[다음]</t>
  </si>
  <si>
    <t>실제 쇼핑몰 업로드 및 서비스 릴리스는 하지 않는다. 기능 구현과 시연(영상·스크린샷) 수준까지를 완성 범위로 한다. 이 전제가 MVP 범위 판단의 1차 기준이다.</t>
  </si>
  <si>
    <t>S2 크롭</t>
  </si>
  <si>
    <t>소셜 로그인</t>
  </si>
  <si>
    <t>카카오·구글 OAuth</t>
  </si>
  <si>
    <t>규격 미선택 시 업로드 비활성 / 카테고리 미선택 시 진행 불가 / 한국어가 아닌 원본은 경고 후 진행 허용 / 국가·언어 입력란은 존재하지 않음(S5로 이동)</t>
  </si>
  <si>
    <t>제공자+제공자 회원번호로 식별. 같은 이메일이라도 제공자가 다르면 별개 계정</t>
  </si>
  <si>
    <t>12월</t>
  </si>
  <si>
    <t>F-ACC-05</t>
  </si>
  <si>
    <t>F-CH-02·02a·02c·03, F-SRC-01·03·04·04a·04b·06·10</t>
  </si>
  <si>
    <t>계정 성격 · 기업 연동</t>
  </si>
  <si>
    <t>개인/기업 구분, 직원–기업 코드 연동</t>
  </si>
  <si>
    <t>12월 이후 검토 범위</t>
  </si>
  <si>
    <t>이후</t>
  </si>
  <si>
    <t>F-ACC-06·07·08</t>
  </si>
  <si>
    <t>중간 공유 마일스톤</t>
  </si>
  <si>
    <t>책임 한계 동의</t>
  </si>
  <si>
    <t>공통·계정</t>
  </si>
  <si>
    <t>인증·시험 정보의 최종 확인 책임을 셀러가 진다는 고지</t>
  </si>
  <si>
    <t>상시 노출 + 동의 시점을 이력으로 저장</t>
  </si>
  <si>
    <t>F-ACC-04</t>
  </si>
  <si>
    <t>S2</t>
  </si>
  <si>
    <t>브랜드 컨텍스트 (전역)</t>
  </si>
  <si>
    <t>셀러 : 브랜드</t>
  </si>
  <si>
    <t>1 계정이 복수 브랜드 보유·전환</t>
  </si>
  <si>
    <t>MVP는 1:1로 운용. 브랜드 간 데이터 미노출</t>
  </si>
  <si>
    <t>2026-10-01 (목) 중간 공유 — 관문 아님. 하루 순연(9/30 수 → 10/1 목, PM 확정 9/1). 완성도 압박은 12/11로 재배분, 9월은 진척 가시성</t>
  </si>
  <si>
    <t>F-ACC-02 · 02a</t>
  </si>
  <si>
    <t>권한 구분</t>
  </si>
  <si>
    <t>크롭</t>
  </si>
  <si>
    <t>일반 / 팀 관리자</t>
  </si>
  <si>
    <t>일반은 보관함까지, 관리자는 작업관리 접근</t>
  </si>
  <si>
    <t>F-ACC-03</t>
  </si>
  <si>
    <t>최종 마일스톤</t>
  </si>
  <si>
    <t>2026-12-11 (금) 최종발표 — 실질 마일스톤</t>
  </si>
  <si>
    <t>원본에서 조각을 잘라냄</t>
  </si>
  <si>
    <t>S1 완료</t>
  </si>
  <si>
    <t>프로세스 바 (S0 · 전 화면 상단 고정)</t>
  </si>
  <si>
    <t>긴 원본 뷰어(스크롤·확대) · 자유 영역 크롭 · 크롭 목록(순서·이름·추가·삭제)</t>
  </si>
  <si>
    <t>S3 배치</t>
  </si>
  <si>
    <t>셀러 로그인 / 인증</t>
  </si>
  <si>
    <t>모듈 최소 해상도 미만 크롭 시 경고 / 크롭 0개로 진행 차단 / 조각 추가·삭제의 유일한 단계</t>
  </si>
  <si>
    <t>F-CRP-01·01a·02</t>
  </si>
  <si>
    <t>Amazon Cognito 기반 로그인, JWT 발급·검증, 세션 만료 시 재인증.</t>
  </si>
  <si>
    <t>단계 표시</t>
  </si>
  <si>
    <t>N1 입력 → N2 분석 → N3 섹션 확인 → N4 번역 → N5 검수 → N6 저장</t>
  </si>
  <si>
    <t>MVP는 표시 전용 — 단계를 눌러도 동작하지 않고 툴팁으로 12월 기능임을 안내</t>
  </si>
  <si>
    <t>P0</t>
  </si>
  <si>
    <t>S3</t>
  </si>
  <si>
    <t>F-NAV-01</t>
  </si>
  <si>
    <t>배치</t>
  </si>
  <si>
    <t>모듈 캔버스에 조각을 자유 배치</t>
  </si>
  <si>
    <t>must</t>
  </si>
  <si>
    <t>S2 완료</t>
  </si>
  <si>
    <t>작업 취소 [X]</t>
  </si>
  <si>
    <t>모듈 캔버스(970×300) · 크롭 목록 패널(전체 조각·배치 횟수 표시) · 드래그 배치/이동/크기조절/겹침순서 · 배치에서 빼기 · 모듈 추가·삭제 · [12월] 조각 모듈 간 이동 · AI 초안 생성</t>
  </si>
  <si>
    <t>작업 전체를 종료하고 리소스 정리</t>
  </si>
  <si>
    <t>전 화면 고정(N1 제외). 삭제 대상을 항목별로 열거하며 되돌릴 수 없음. 포괄 문구 금지</t>
  </si>
  <si>
    <t>S4 처리</t>
  </si>
  <si>
    <t>F-JOB-07</t>
  </si>
  <si>
    <t>빈 모듈 경고 / 전 모듈 비었으면 진행 차단 / 조각이 모듈 경계를 넘으면 경고 후 잘라 표시 / 조각 추가·삭제는 S2에서만 가능함을 안내 / MVP는 이 시점에 텍스트가 없으므로 텍스트 관련 표시는 나타나지 않음</t>
  </si>
  <si>
    <t>MVP 범위 (must)</t>
  </si>
  <si>
    <t>F-PLC-01~09, F-CH-07 (01a·02i·03~05·06~08은 12월)</t>
  </si>
  <si>
    <t>제자리 번역(경로 1 — 원본 규격 고정) · N1~N6 플로우 · 섹션 확인(버킷 2·액션 2) · 공간 제약 번역(1차 번역) · 규제 + 현지 부적합 판정 · 스타일 추출 자체 구현 · 산출물 묶음(Img·content.csv·manifest / html은 should) · 도착어 영어 단일</t>
  </si>
  <si>
    <t>① 로그인 시 JWT 발급 ② 만료 토큰 호출 시 401 ③ 로그아웃 시 토큰 무효화</t>
  </si>
  <si>
    <t>단계 되돌림</t>
  </si>
  <si>
    <t>이전 단계로 이동</t>
  </si>
  <si>
    <t>세션 만료 시 재로그인을 요구한다. MVP는 임시 저장·복원을 지원하지 않으므로 진행 중이던 작업은 유지되지 않음을 사전에 안내한다</t>
  </si>
  <si>
    <t>진행 상태만 되돌리고 섹션 단위 산출물은 보존. 실행취소 스택은 항상 초기화</t>
  </si>
  <si>
    <t>S4</t>
  </si>
  <si>
    <t>v1.8 · 이메일 로그인만. 소셜 로그인(F-ACC-05)은 12월 · 셀러:브랜드는 MVP에서 1:1</t>
  </si>
  <si>
    <t>처리 (인페인팅 · 배경 · 텍스트 추출)</t>
  </si>
  <si>
    <t>F-NAV-02~06 · 08</t>
  </si>
  <si>
    <t>배경을 완성하고 텍스트를 레이어로 분리</t>
  </si>
  <si>
    <t>작업 파이프라인</t>
  </si>
  <si>
    <t>S3 완료</t>
  </si>
  <si>
    <t>진행률 바 · 단계 표시(마스크 생성 → 인페인팅 → 결과 검증 → 텍스트 추출 → 좌표 변환) · ★조각 클릭 시 우측 패널에 원본·처리 결과 비교 · ★모듈 위 인라인 경고 배지(처리 실패 / 품질 주의) · [12월] 우측 패널에 [마스크 조정] 버튼·마스크 오버레이</t>
  </si>
  <si>
    <t>[X = 작업 취소 (전체 종료, 확인 모달 — F-JOB-07)]</t>
  </si>
  <si>
    <t>S5 타겟 설정·1차 피드백</t>
  </si>
  <si>
    <t>N1 입력</t>
  </si>
  <si>
    <t>배치된 조각만 처리 / 잔존율 초과 시 마스크를 넓혀 자동 재시도 후 상한 도달하면 마지막 결과와 처리 실패 배지 표시 / 실패 조각을 숨기지 않고 원본 상태로 노출 / 부분 실패 시 성공분 유지 / 인페인팅은 재시도 버튼 없음 / 처리 중 [X]는 진행 중 처리를 중단하고 작업 전체를 취소</t>
  </si>
  <si>
    <t>원본 업로드와 작업 조건을 한 화면에서 확정</t>
  </si>
  <si>
    <t>원본 업로드</t>
  </si>
  <si>
    <t>상세페이지·썸네일 다중 업로드 · 업로드 순서 = 원본 순서</t>
  </si>
  <si>
    <t>F-INP-01~04, F-BG-01, F-JOB-05·06·07 (01e는 12월)</t>
  </si>
  <si>
    <t>원본 언어를 탐지하지 않음 — 비한국어 원본도 경고 없이 진행하며 품질 책임은 셀러</t>
  </si>
  <si>
    <t>F-SRC-01 · 03</t>
  </si>
  <si>
    <t>소셜 회원가입 / 로그인</t>
  </si>
  <si>
    <t>12월 범위 (should)</t>
  </si>
  <si>
    <t>규격 변경(경로 2 — 2a 모듈 분해형 A+/2b 긴 이미지형) · 2차 번역 파생 · 채널 정책 실판정 승격 · 썸네일 1:1(사이트별 규격의 하나) · 하이브리드 PSD · 도착 국가 일본·UAE, 일본어 · 되돌림·저장 · 운영자 콘솔 — X/Y 선택은 10월 초 게이트</t>
  </si>
  <si>
    <t>카카오·구글 OAuth로 인증한다. 소셜 인증에는 회원가입과 로그인의 구분이 없으므로, 인증 후 조회 결과로 분기한다. 등록된 계정이면 로그인, 없으면 신규 가입으로 이어 계정 성격 선택 단계로 보낸다. 계정 식별자는 이메일이 아니라 제공자+제공자 회원번호 조합을 사용한다.</t>
  </si>
  <si>
    <t>파일 사전 검증</t>
  </si>
  <si>
    <t>업로드 파일의 형식·용량 검사</t>
  </si>
  <si>
    <t>미달 시 업로드 차단</t>
  </si>
  <si>
    <t>F-CH-04</t>
  </si>
  <si>
    <t>S5</t>
  </si>
  <si>
    <t>타겟 설정 · 1차 피드백</t>
  </si>
  <si>
    <t>should</t>
  </si>
  <si>
    <t>타겟 국가</t>
  </si>
  <si>
    <t>판매 대상 국가 선택 — 규제 사전을 결정</t>
  </si>
  <si>
    <t>국가·언어·규제 분류를 정하고 번역 대상 원문을 확정</t>
  </si>
  <si>
    <t>규제 사전 보유 국가만 목록에 노출. MVP 미국 / 12월 일본·UAE</t>
  </si>
  <si>
    <t>S4 완료</t>
  </si>
  <si>
    <t>X</t>
  </si>
  <si>
    <t>F-LNG-01</t>
  </si>
  <si>
    <t>타겟 국가 셀렉터(사전 보유국만) · 도착어 셀렉터 · ★규제 분류 셀렉터(분류 체계가 있는 국가만 노출) — 라벨 「이 제품은 미국에서 어떤 분류로 판매되나요?」, 선택지: ○화장품(일반 스킨케어·색조) ○OTC 의약품(Drug Facts 패널 보유 — 자외선차단제·여드름 등) ○화장품+OTC 복합(SPF 쿠션·BB크림·톤업 선크림 등 — ⓘ현재 버전은 OTC 기준으로 검증하므로 화장품 기능 문구는 별도 확인 필요) ○잘 모름(ⓘ제품 뒷면에 Drug Facts 패널이 있는지 확인하세요 — 화장품 기준으로 검증하며 분류 미확인 경고가 표시됩니다) · 배경 위 원문 실물 편집 · 우측 텍스트 목록 패널 · 추출 실패 블록 직접 입력 · 삭제 키워드 자동 제안 · 텍스트 블록 모듈 간 이동</t>
  </si>
  <si>
    <t>★국가 / 언어 축</t>
  </si>
  <si>
    <t>[번역 시작]</t>
  </si>
  <si>
    <t>규제 분류</t>
  </si>
  <si>
    <t>S6 번역</t>
  </si>
  <si>
    <t>출발: 한국·한국어 고정. 도착 국가: 미국·일본·UAE (규제 사전 결정). 도착 언어: 영어·일본어 (용어집 결정). 두 축은 독립이며 자유 조합을 허용한다. UAE는 영어를 사용하므로 영어 용어집을 미국과 공유하고 규제 사전만 별도로 둔다.</t>
  </si>
  <si>
    <t>국가별 법적 분류 선택</t>
  </si>
  <si>
    <t>미국 4종 — 화장품 / OTC 의약품 / 복합 / 잘 모름. 미선택 차단이며 "잘 모름"이 탈출구. 복합은 OTC 기준 검증 + 한계 고지</t>
  </si>
  <si>
    <t>국가·언어·규제 분류 미선택 시 번역 시작 차단(잘 모름이 명시적 대안) / 분류 체계가 없는 국가는 셀렉터 미노출·국가 축만 검증 / 국가 변경 시 분류 선택값 무효화 / 추출 실패 항목은 직접 입력 유도 / 텍스트를 찾지 못한 조각은 조각 크기의 빈 블록이 생성되어 있음 / 전체 삭제 시 경고 / [12월] 대표이미지 모듈로는 블록 이동 불가</t>
  </si>
  <si>
    <t>F-LNG-03</t>
  </si>
  <si>
    <t>① 카카오·구글 인증 성공 시 세션 발급 ② 기존 계정은 로그인으로 분기 ③ 신규는 가입 흐름 진입 ④ 동일 이메일이 다른 제공자로 인증한 경우 별개 계정</t>
  </si>
  <si>
    <t>제공자 인증 실패 시 원인 코드와 재시도 안내를 표시한다</t>
  </si>
  <si>
    <t>도착어</t>
  </si>
  <si>
    <t>v1.8 이월 · 시연은 이메일 로그인으로 충분</t>
  </si>
  <si>
    <t>번역 대상 언어 — 용어집을 결정</t>
  </si>
  <si>
    <t>출발어는 한국어 고정으로 선택 UI 없음. MVP 영어 / 12월 일본어. 국가와 독립</t>
  </si>
  <si>
    <t>★카테고리 축</t>
  </si>
  <si>
    <t>화면에 노출하는 카테고리는 Amazon 트리에 준하는 상세 수준(F-SRC-04a 마스터), 내부 용어집은 Amazon Skin Care 하위 7종으로 축약(F-SRC-04b 매핑). 7종: Body · Eyes · Face · Lip Care · Maternity · Sets, Kits · Sunscreens &amp; Tanning Products. 용어집은 카테고리로 분기하고, 규제 사전은 국가만 따르며 카테고리로 분기하지 않는다.</t>
  </si>
  <si>
    <t>F-LNG-02</t>
  </si>
  <si>
    <t>규격 선택</t>
  </si>
  <si>
    <t>F-LNG-01·02·03, F-TXT-01~06·08</t>
  </si>
  <si>
    <t>원본 규격 / 사이트별 / 커스텀</t>
  </si>
  <si>
    <t>9월은 원본 규격만 활성. 나머지는 비활성 노출이며 배지를 달지 않음</t>
  </si>
  <si>
    <t>F-ACC-02</t>
  </si>
  <si>
    <t>F-CH-02 · 02a · 02b · 02c</t>
  </si>
  <si>
    <t>전역</t>
  </si>
  <si>
    <t>카테고리</t>
  </si>
  <si>
    <t>셀러 : 브랜드 1:N 구조</t>
  </si>
  <si>
    <t>Amazon 트리에 준하는 표시 카테고리</t>
  </si>
  <si>
    <t>1개 셀러 계정이 복수 브랜드를 보유·전환. 상단에 현재 브랜드 컨텍스트 표시.</t>
  </si>
  <si>
    <t>내부 카테고리 7종으로 환산해 용어집을 분기. 규제 사전은 카테고리로 분기하지 않음</t>
  </si>
  <si>
    <t>F-SRC-04 · 04a · 04b</t>
  </si>
  <si>
    <t>핵심 키워드</t>
  </si>
  <si>
    <t>S6</t>
  </si>
  <si>
    <t>① 브랜드 추가 ② 전환 시 목록 필터링 ③ 브랜드 간 데이터 미노출</t>
  </si>
  <si>
    <t>번역</t>
  </si>
  <si>
    <t>이번 상품에서 강조할 키워드 태그</t>
  </si>
  <si>
    <t>작업 진행 중 브랜드 전환 시도 시 차단하고 저장 후 전환하도록 안내</t>
  </si>
  <si>
    <t>번역 프롬프트에 반영. 금지표현과 충돌 시 경고</t>
  </si>
  <si>
    <t>RAG 번역과 규제 검증을 수행</t>
  </si>
  <si>
    <t>v1.8 이월 · 시연은 브랜드 1개, 셀러:브랜드 1:1로 운용</t>
  </si>
  <si>
    <t>F-SRC-06</t>
  </si>
  <si>
    <t>S5 완료</t>
  </si>
  <si>
    <t>진행률 바 · 단계 표시(용어집 검색 → 번역 → 규제 검증 → HTML 배치)</t>
  </si>
  <si>
    <t>인증 뱃지 업로드</t>
  </si>
  <si>
    <t>S7 2차 피드백</t>
  </si>
  <si>
    <t>셀러가 보유한 인증 로고</t>
  </si>
  <si>
    <t>12월 이월(배치 지점 소멸). 진위는 검증하지 않으며 사용권 확인은 업로드 시점에</t>
  </si>
  <si>
    <t>번역 순서는 배치 순서 / 미배치 조각의 텍스트는 대상 제외 / 일부 블록 실패 시(성공 1개 이상) 성공분을 유지하고 S7로 진행 — 실패 배지·개별 재시도는 S7에서 노출 / 성공 0건 또는 작업 수준 실패는 오류 상태 전환(F-TRN-05) / 영역 초과 시 자동 축소 / 실패 5건 초과 시 잠시 후 재시도 안내 / 처리 중 [X]는 진행 중 처리를 중단하고 작업 전체를 취소</t>
  </si>
  <si>
    <t>전체 기능 수 (삭제 제외)</t>
  </si>
  <si>
    <t>F-SRC-08 · 09</t>
  </si>
  <si>
    <t>F-TRN-01~05, F-JOB-07</t>
  </si>
  <si>
    <t>[다음] / 나가기</t>
  </si>
  <si>
    <t>필수값 검증 후 작업 생성 → N2 자동 시작</t>
  </si>
  <si>
    <t>N1에는 [X] 대신 「보관함으로 나가기」. 나가면 입력값과 업로드 이미지가 저장되지 않음을 확인 모달로 안내</t>
  </si>
  <si>
    <t>F-ACC-02a</t>
  </si>
  <si>
    <t>F-SRC-10 · F-JOB-07</t>
  </si>
  <si>
    <t>M2</t>
  </si>
  <si>
    <t>N2 분석 (처리 화면)</t>
  </si>
  <si>
    <t>★브랜드 중복 등록 방지</t>
  </si>
  <si>
    <t>S7</t>
  </si>
  <si>
    <t>전체 OCR → 섹션 분해 → 규제·현지 판정</t>
  </si>
  <si>
    <t>2차 피드백</t>
  </si>
  <si>
    <t>동일 셀러 계정 안에서 같은 브랜드를 두 번 등록할 수 없다. 브랜드명(한글명·영문명)을 기준으로 중복을 판정하며, 공백·대소문자·특수문자를 정규화한 뒤 비교한다. 중복이 감지되면 등록을 차단하고 기존 브랜드를 안내한다.</t>
  </si>
  <si>
    <t>번역문과 배치를 확인하고 수정</t>
  </si>
  <si>
    <t>S6 완료</t>
  </si>
  <si>
    <t>진행 표시</t>
  </si>
  <si>
    <t>배경 위 번역문 실물 편집 · 우측 패널(원문·번역문 비교, 로컬라이징 근거) · 확인 필요 블록 표시 · ★번역 실패 블록 인라인 배지·개별 재시도 버튼 · 줄바꿈·띄어쓰기 조정 · 실행 취소</t>
  </si>
  <si>
    <t>진행률 + 현재 단계</t>
  </si>
  <si>
    <t>[확인]</t>
  </si>
  <si>
    <t>초장축이라 필수. 완료 시 N3으로 자동 전환</t>
  </si>
  <si>
    <t>① 동일 셀러 내 한글명 중복 시 등록 차단 ② 영문명 중복 시에도 차단 ③ 공백·대소문자만 다른 입력도 중복으로 판정 ④ 기존 브랜드로 이동하는 경로 제공</t>
  </si>
  <si>
    <t>S8 최종</t>
  </si>
  <si>
    <t>F-TRN-01</t>
  </si>
  <si>
    <t>다른 셀러 계정이 같은 브랜드명을 쓰는 것은 허용한다. 수정 시 자기 자신은 중복 대상에서 제외한다</t>
  </si>
  <si>
    <t>번역문 직접 수정 시 책임 고지 및 재검증 대상 표시(자동 재검증 없음) / 위치·색상·폰트는 MVP에서 잠금 / 실행취소 스택은 세션 내 유지 / 로컬라이징 판단 자체는 수정 불가</t>
  </si>
  <si>
    <t>F-CFM-01~09</t>
  </si>
  <si>
    <t>v1.8 이월 · F-ACC-02와 함께 이월</t>
  </si>
  <si>
    <t>전체 OCR</t>
  </si>
  <si>
    <t>원본 전체의 텍스트·스타일 인식</t>
  </si>
  <si>
    <t>원본 해상도에서 수행. OCR은 원본당 1회만</t>
  </si>
  <si>
    <t>F-INP-02</t>
  </si>
  <si>
    <t>섹션 자동 분해</t>
  </si>
  <si>
    <t>상세페이지를 의미 단위 구간(섹션)으로 분해</t>
  </si>
  <si>
    <t>S8</t>
  </si>
  <si>
    <t>원본 1장 단위로 수행 — 장 경계를 넘는 섹션은 생기지 않음. 실패 시 전체를 단일 섹션으로</t>
  </si>
  <si>
    <t>최종 합성 · 확정</t>
  </si>
  <si>
    <t>F-SEC-01</t>
  </si>
  <si>
    <t>렌더링 후 규격을 검증하고 확정</t>
  </si>
  <si>
    <t>S7 완료</t>
  </si>
  <si>
    <t>줄 · 문단 병합</t>
  </si>
  <si>
    <t>★렌더링 진행 표시(HTML 조립 → 폰트 로딩 → 이미지 캡처, 모듈 N/M 개수 포함) · 최종 미리보기 · 규격 준수 상태 패널(항목별 통과·위반) · 위반 항목 하이라이트</t>
  </si>
  <si>
    <t>OCR 줄을 문단으로 병합해 텍스트 블록을 만듦</t>
  </si>
  <si>
    <t>텍스트 블록 1건 = 문단 1개. 병합이 모호하면 병합하지 않는 보수적 동작</t>
  </si>
  <si>
    <t>권한 구분 (일반 / 관리자)</t>
  </si>
  <si>
    <t>일반 사용자는 보관함까지, 팀 관리자는 작업관리 화면 접근.</t>
  </si>
  <si>
    <t>F-INP-02a · 02b</t>
  </si>
  <si>
    <t>렌더링 실패 시 실패 모듈만 개별 재시도 / 폰트 로드 실패 시 대체 폰트로 표시 / 결과물 용도(detail)에 해당하는 검증 항목만 판정 / MVP는 업로드하지 않으므로 위반이 있어도 저장을 차단하지 않고 표시만 함</t>
  </si>
  <si>
    <t>P1</t>
  </si>
  <si>
    <t>F-FIN-01·01a·01b·02·03, F-CH-05·05a</t>
  </si>
  <si>
    <t>could</t>
  </si>
  <si>
    <t>규제 · 현지 판정</t>
  </si>
  <si>
    <t>위험 표현과 현지 부적합 요소를 검출</t>
  </si>
  <si>
    <t>① 일반 계정 작업관리 접근 차단 ② 관리자는 전체 브랜드 조회</t>
  </si>
  <si>
    <t>판정 결과를 N3의 배지로 공급</t>
  </si>
  <si>
    <t>권한 없는 URL 직접 접근 시 403 페이지로 이동</t>
  </si>
  <si>
    <t>OI-08</t>
  </si>
  <si>
    <t>F-TXT-05 · F-LOC-01 · 02</t>
  </si>
  <si>
    <t>[중단]</t>
  </si>
  <si>
    <t>처리를 멈추고 N1 입력으로 복귀</t>
  </si>
  <si>
    <t>작업은 삭제되지 않고 입력값이 보존됨. [X] 작업 취소와 다른 동작</t>
  </si>
  <si>
    <t>N1</t>
  </si>
  <si>
    <t>F-JOB-08</t>
  </si>
  <si>
    <t>N3 섹션 확인</t>
  </si>
  <si>
    <t>유일한 개입 지점 — 판정을 확인하고 섹션을 되살리거나 제외</t>
  </si>
  <si>
    <t>입력</t>
  </si>
  <si>
    <t>책임 한계 고지 및 동의 이력</t>
  </si>
  <si>
    <t>버킷 2개</t>
  </si>
  <si>
    <t>인증·시험 결과·광고 문구·인증 로고 사용 권한의 책임이 사용자에게 있음을 고지하고 동의 시점을 로그로 저장.</t>
  </si>
  <si>
    <t>⚠ 제외 버킷(펼침) / ✓ 포함 버킷(접힘)</t>
  </si>
  <si>
    <t>순서 재정렬 불가 — 원본 세로 순서 고정</t>
  </si>
  <si>
    <t>원본 업로드와 작업 조건(국가·언어·규제분류·규격)을 한 화면에서 확정</t>
  </si>
  <si>
    <t>F-SEC-02</t>
  </si>
  <si>
    <t>① N1 화면 상시 노출 ② 작업 시작 시 타임스탬프 저장</t>
  </si>
  <si>
    <t>원본 이미지 업로드 · 국가 선택 → 규제분류 셀렉터(미선택 차단, "잘 모름"이 탈출구) · 도착어 · 규격 선택(원본 규격 ✅ 활성 / 사이트별 ⬜ / 커스텀 ⬜ — 비활성 노출, 배지 없음) · 카테고리·키워드</t>
  </si>
  <si>
    <t>액션 2개</t>
  </si>
  <si>
    <t>동의 없이 진행 시도 시 다음 단계 버튼 비활성</t>
  </si>
  <si>
    <t>[되살리기] · [제외하기]</t>
  </si>
  <si>
    <t>PL-02, PL-08</t>
  </si>
  <si>
    <t>액션은 이 둘뿐. 되살리기 시 원래 판정을 함께 기록</t>
  </si>
  <si>
    <t>[다음] (필수값 검증 후 분석 시작) / ★「보관함으로 나가기」 (S0의 [X] 대신)</t>
  </si>
  <si>
    <t>v3.0 수정(5차) — 구 S번호 정정</t>
  </si>
  <si>
    <t>F-SEC-03</t>
  </si>
  <si>
    <t>N2 분석</t>
  </si>
  <si>
    <t>판정 배지</t>
  </si>
  <si>
    <t>규제</t>
  </si>
  <si>
    <t>규제 위반 — 조문 근거 포함</t>
  </si>
  <si>
    <t>국가·규제분류 미선택 시 진행 차단('잘 모름'이 명시적 대안) / 분류 체계가 없는 국가는 셀렉터 미노출·국가 축만 검증 / 비활성 규격(사이트별·커스텀)은 선택되지 않으며 별도 안내를 띄우지 않음 / 카테고리 미선택 시 진행 불가 / 원본 언어를 탐지하지 않음 — 비한국어 원본도 경고 없이 그대로 진행(품질 미보장·책임 셀러) / ★나가기 선택 시 확인 모달 — 입력값과 업로드한 이미지가 저장되지 않음을 알린다(MVP는 미완료 작업 저장 없음, F-LST-08은 12월) / 업로드 파일 형식·용량 미달 차단(F-CH-04)</t>
  </si>
  <si>
    <t>차단이 아니라 권고. 판정 책임은 셀러</t>
  </si>
  <si>
    <t>F-CH-02·02a·02b·02c·03·04, F-SRC-01·03·04·04a·04b·06·10, F-LNG-01·02·03, F-ACC-04, F-JOB-07</t>
  </si>
  <si>
    <t>F-SEC-04 · F-TXT-05</t>
  </si>
  <si>
    <t>채널 정책</t>
  </si>
  <si>
    <t>F-ACC-06</t>
  </si>
  <si>
    <t>아마존 등 채널 정책 위반</t>
  </si>
  <si>
    <t>9월은 티저 표시만, 12월 실판정 승격</t>
  </si>
  <si>
    <t>9월(티저)</t>
  </si>
  <si>
    <t>must (MVP)</t>
  </si>
  <si>
    <t>계정 성격 선택</t>
  </si>
  <si>
    <t>F-LOC-03</t>
  </si>
  <si>
    <t>N2</t>
  </si>
  <si>
    <t>회원가입 후 '기업 코드 입력하기' 또는 '관리자 계정으로 계속하기'를 선택한다.</t>
  </si>
  <si>
    <t>분석 중 (처리)</t>
  </si>
  <si>
    <t>P2</t>
  </si>
  <si>
    <t>현지 무의미</t>
  </si>
  <si>
    <t>전체 OCR → 섹션 자동 분해 → 규제·현지적합성 판정</t>
  </si>
  <si>
    <t>도착 시장에서 의미 없는 요소(원화·카카오톡 등)</t>
  </si>
  <si>
    <t>N1 완료 자동 진입</t>
  </si>
  <si>
    <t>제외 버킷으로 자동 분류</t>
  </si>
  <si>
    <t>진행률 + 현재 단계 노출(초장축이므로 필수) · 완료 시 N3 자동 전환</t>
  </si>
  <si>
    <t>① 가입 직후 1회 노출 ② 선택 결과가 계정에 저장</t>
  </si>
  <si>
    <t>★[중단] — 처리를 멈추고 N1 입력으로 복귀(F-JOB-08) / S0의 [X] 작업 취소(F-JOB-07)는 작업 전체를 버림</t>
  </si>
  <si>
    <t>F-LOC-02</t>
  </si>
  <si>
    <t>미선택 시 개인 셀러로 기본 설정</t>
  </si>
  <si>
    <t>N3 섹션 확인 (완료 시 자동 전환)</t>
  </si>
  <si>
    <t>F-ORG 계통 전제</t>
  </si>
  <si>
    <t>섹션 분해 실패 시 전체를 단일 섹션으로 두고 진행(F-SEC-01) / 처리 실패 시 자동 재시도 2회 후 오류 상태·재시도 안내(NFR-08, F-JOB-05·06) / ★[중단] 시 작업은 삭제되지 않고 N1 입력값이 보존된 채 복귀한다 — 재진행하면 완료된 산출물을 재사용한다(F-JOB-08) / 초장축 처리 중 진행률+현재 단계 상시 표시(F-TRN-01)</t>
  </si>
  <si>
    <t>수정 필요</t>
  </si>
  <si>
    <t>F-SEC-01, F-TXT-05, F-LOC-01·02, F-TRN-01, F-JOB-05·06·07·08</t>
  </si>
  <si>
    <t>원본에 그려진 국내 인증마크 등</t>
  </si>
  <si>
    <t>🏷 배지로 표시</t>
  </si>
  <si>
    <t>F-SEC-04</t>
  </si>
  <si>
    <t>판정 근거 [보기]</t>
  </si>
  <si>
    <t>조문·사유를 읽기 전용으로 표시</t>
  </si>
  <si>
    <t>로컬라이징 판단 자체는 수정 불가</t>
  </si>
  <si>
    <t>F-SEC-05 · F-CFM-04</t>
  </si>
  <si>
    <t>F-ACC-07</t>
  </si>
  <si>
    <t>N3</t>
  </si>
  <si>
    <t>삭제 내역 노출</t>
  </si>
  <si>
    <t>섹션 확인</t>
  </si>
  <si>
    <t>어느 섹션 / 무엇 때문에 / 어느 기준 / 근거 / 되돌리기</t>
  </si>
  <si>
    <t>화면(N3)은 확인·되살리기, content.csv는 셀러 배포 증빙, manifest는 서버 내부 — 세 곳 역할이 다름 (NFR-31)</t>
  </si>
  <si>
    <t>유일한 개입 지점 — 판정 결과를 확인하고 섹션을 되살리거나 제외</t>
  </si>
  <si>
    <t>직원–기업 연동</t>
  </si>
  <si>
    <t>N2 완료</t>
  </si>
  <si>
    <t>F-SEC-05</t>
  </si>
  <si>
    <t>기업 코드 입력 시 해당 계정을 기업 소속으로 전환한다.</t>
  </si>
  <si>
    <t>⚠ 제외 버킷(펼침) / ✓ 포함 버킷(접힘) · 액션 2개([되살리기]/[제외하기]) · 배지 4종(규제/채널 티저/현지 무의미/수정 필요) · 판정 근거 [보기] · [이대로 진행](무조작 통과) · 순서 재정렬 불가</t>
  </si>
  <si>
    <t>[이대로 진행] / 섹션별 [되살리기]·[제외하기] / 판정 근거 [보기]</t>
  </si>
  <si>
    <t>제외 사유 코드</t>
  </si>
  <si>
    <t>N4 번역</t>
  </si>
  <si>
    <t>auto_regulatory / auto_channel / auto_local_irrelevant / user_manual / restored_by_user</t>
  </si>
  <si>
    <t>① 유효 코드 입력 시 소속 반영 ② 무효 코드는 거부</t>
  </si>
  <si>
    <t>무조작 통과 허용 — 권고 기본값 그대로 진행(전자동과 동일 결과) / 전 섹션 제외 시 진행 차단·안내 / 되살리기 시 원래 판정을 함께 기록(restored_by_user — PL-25) / 순서 재정렬 UI 없음 / 채널 정책 배지는 9월 티저로만 표시(F-LOC-03)</t>
  </si>
  <si>
    <t>user_manual은 N3와 N5(검수 중 제외)에 공통으로 사용</t>
  </si>
  <si>
    <t>만료·폐기된 코드는 사유를 안내</t>
  </si>
  <si>
    <t>F-SEC-02·03·04·05·06, F-LOC-03, F-CH-06(12월), F-CRP-01a, F-TXT-05</t>
  </si>
  <si>
    <t>F-SEC-06</t>
  </si>
  <si>
    <t>[이대로 진행]</t>
  </si>
  <si>
    <t>무조작 통과 — 권고 그대로 진행</t>
  </si>
  <si>
    <t>전 섹션 제외 시 진행 차단</t>
  </si>
  <si>
    <t>수평 절단 + 스택</t>
  </si>
  <si>
    <t>should (12월)</t>
  </si>
  <si>
    <t>F-ACC-08</t>
  </si>
  <si>
    <t>N4</t>
  </si>
  <si>
    <t>제외된 섹션 자리를 아래가 위로 당겨 메움</t>
  </si>
  <si>
    <t>번역 중 (처리)</t>
  </si>
  <si>
    <t>구멍 없이 전체 높이만 감소. 적용은 N6 최종 렌더에서</t>
  </si>
  <si>
    <t>F-SEC-07</t>
  </si>
  <si>
    <t>인페인팅 ∥ 1차 번역 ∥ 규제 검증 (병렬) → 조판·렌더</t>
  </si>
  <si>
    <t>기업 관리자 권한 부여</t>
  </si>
  <si>
    <t>N3 [이대로 진행]</t>
  </si>
  <si>
    <t>N4 번역 (처리 화면)</t>
  </si>
  <si>
    <t>관리자 계정으로 계속하기 선택 시 해당 계정에 셀러(기업) 관리자 권한을 부여한다.</t>
  </si>
  <si>
    <t>진행률 + 현재 단계 · 인페인팅 ∥ 1차 번역 ∥ 규제 검증 (병렬) · 공간 제약 번역 루프(후보 생성→렌더 폭 측정→규제 재검증) · 【12월 · 규격 변경 경로】 이 처리 구간에서 템플릿 매핑(Rule Engine 섹션→모듈) → 2차 번역 파생(선별→압축) → 규제 재검증 → 템플릿 렌더까지 수행 — 별도 화면 없음</t>
  </si>
  <si>
    <t>★[중단] — 처리를 멈추고 N3 섹션 확인으로 복귀(F-JOB-08) / S0의 [X] 작업 취소(F-JOB-07)는 작업 전체를 버림</t>
  </si>
  <si>
    <t>인페인팅 ∥ 1차 번역 ∥ 규제 검증 병렬 → 조판·렌더</t>
  </si>
  <si>
    <t>N5 검수 (완료 시 자동 전환)</t>
  </si>
  <si>
    <t>공간 제약 루프 수렴 실패 시 폴백 순서 준수 — 제한적 조판 조정(폰트 −10% 상한) → 사용자 이관(F-TRN-08 ⑤→⑥) / 재시도 상한 2회(NFR-30) / 섹션 단위 부분 실패 시 성공분 유지·해당 섹션만 재시도(F-JOB-06) / 처리 화면은 자동 전환되므로 실패·품질 주의 배지는 N4에 띄우지 않고 N5에서 노출한다(F-INP-01b·F-CFM-05) / ★[중단] 시 버킷 선택이 보존된 채 N3으로 복귀하며 완료된 섹션 산출물은 재사용한다(F-JOB-08) / 인페인팅·번역·규제 검증은 병렬(A-2)</t>
  </si>
  <si>
    <t>인페인팅</t>
  </si>
  <si>
    <t>① 관리자 권한 부여 ② 조직 생성</t>
  </si>
  <si>
    <t>F-INP-01·01a·01b·01c·01e·02·02a·02b·03, F-STY-01~05, F-BG-01, F-SEC-07, F-TRN-01·02(계열)·03·03a·04·08·09, F-JOB-05·06·07·08</t>
  </si>
  <si>
    <t>원문 텍스트 제거와 배경 복원</t>
  </si>
  <si>
    <t>이미 다른 조직 소속이면 차단</t>
  </si>
  <si>
    <t>단색 = 배경색 채우기 / 사진 = LaMa. 섹션 단위로 캐시하며 다른 규격 생성 시 재사용</t>
  </si>
  <si>
    <t>F-INP-01 · 01a · 01c</t>
  </si>
  <si>
    <t>결과 검증</t>
  </si>
  <si>
    <t>잔존율 산출 후 마스크를 넓혀 자동 재시도</t>
  </si>
  <si>
    <t>상한 도달 시 배지 2종(처리 실패 / 품질 주의). 사용자 재시도 버튼 없음. 배지는 N5에서 노출</t>
  </si>
  <si>
    <t>N5</t>
  </si>
  <si>
    <t>F-INP-01b</t>
  </si>
  <si>
    <t>검수</t>
  </si>
  <si>
    <t>스타일 추출</t>
  </si>
  <si>
    <t>원문/번역 대조·수정 — 좌: 초장축 뷰어 / 우: 블록 표. 대조는 경로별 1회. 【9월】 원문 / 1차 번역 【12월】 원문 / 2차 번역(1차 번역 접힘)</t>
  </si>
  <si>
    <t>색 · 크기 · 정렬 · 굵기 추정</t>
  </si>
  <si>
    <t>N4 완료</t>
  </si>
  <si>
    <t>폰트 패밀리는 식별을 포기하고 역할 기반 2~3종 매핑</t>
  </si>
  <si>
    <t>F-STY-01~05</t>
  </si>
  <si>
    <t>【좌우 2분할】 좌 = 초장축 뷰어(F-CRP-01a, 화면 세로 전체) · 우 = 블록별 표(섹션별 그룹 헤더 · 셀 수정 → 재렌더 + 금지표현 사전 재실행) + 블록별 [다른 번역 보기] · 자동 조정 알림(ℹ, 조작 불가) · 로컬라이징 근거
【9월 · 규격 그대로】 좌 = 원본↔제자리 렌더 결과를 한 뷰에서 슬라이더(전/후)로 겹쳐 보기 · 우 표 = 원문 / 1차 번역
【12월 · 규격 변경】 좌 = 상하 2단(위: 템플릿 렌더 결과 = 모듈 그리드, 주역 / 아래: 원본 세로, 보조·기본 접힘) · 우 표 = 원문 / 2차 번역, 1차 번역 열은 "원본 규격 번역 보기"로 접힘
★제외 섹션 2종 — 【N3 제외】 좌·우 어디에도 표시하지 않음(원본도 제외분을 뺀 스택 상태), 삭제 내역은 N3·content.csv·manifest에 남음 / 【N5 제외】 회색 오버레이 + 「저장 시 제외됨 · 위아래가 붙습니다」 + [되돌리기]로 자리에 남음. 우측 표의 해당 그룹도 회색·편집 불가. 오버레이는 슬라이더 위치와 무관하게 항상 표시(F-CFM-14)
좌↔우 연동 선택(F-CFM-13): 표 행 클릭 → 뷰어 이동·블록 하이라이트 / 섹션 클릭 → 표 그룹 스크롤 · 인페인팅 경고 배지(처리 실패 / 품질 주의 — F-INP-01b·F-CFM-05)도 같은 선택 상태</t>
  </si>
  <si>
    <t>RAG 번역</t>
  </si>
  <si>
    <t>[확정 → 저장] / 전·후 슬라이더 핸들 / 블록별 [다른 번역 보기] / ★섹션별 [제외하기]·[되돌리기](F-CFM-14) / [실행 취소](버튼 노출·MVP 무동작, 12월 — F-CFM-03) / 표 행·블록·섹션·배지 클릭(연동 이동·셀 포커스) / (12월) 좌측 하단 원본 펼치기 · "원본 규격 번역 보기" 접기 · 배지 → [마스크 조정]</t>
  </si>
  <si>
    <t>N6 저장</t>
  </si>
  <si>
    <t>용어집을 검색 주입해 번역</t>
  </si>
  <si>
    <t>F-ORG-01</t>
  </si>
  <si>
    <t>강제 용어는 적용 여부를 검사, 참고 용어는 예시로만 주입. 브랜드 톤 반영</t>
  </si>
  <si>
    <t>F-TRN-02 · 02b · 02c</t>
  </si>
  <si>
    <t>셀 수정 시 재렌더 + 금지표현 사전 자동 재실행 — 위반 검출 시 차단 없이 경고 배지(F-CFM-02, F-TRN-03a) / 미해결 규제 경고가 있는 채로 확정 시 확인을 받고 이력 저장(F-CFM-09) / 자동 조정(폰트 −8% 등)은 알림만, 조작 불가(F-CFM-12) / 통과한 번역 후보가 없는 블록은 "짧은 표현이 필요합니다" 경고 + 직접 수정 안내(F-TRN-08 ⑥) / N3에서 제외한 섹션은 이 화면에 나타나지 않으며 여기서 되살릴 수 없음(되돌림 F-NAV-02는 12월) / ★N5에서 제외한 섹션은 회색으로 남아 [되돌리기]로 복구 가능하고, 전 섹션 제외 시 확정을 차단 / ★[실행 취소]는 버튼만 노출되고 동작하지 않으며 12월 기능임을 툴팁으로 안내(F-CFM-03) — MVP에서 셀 수정을 잘못하면 표에 남은 원문으로 다시 입력해 복구 / 인페인팅 실패·품질 주의 섹션은 배지로만 알리고 9월에는 수정 수단을 제공하지 않음 — 마스크 조정은 12월(F-INP-01e), 그 전까지 대안은 해당 섹션 [제외하기](F-CFM-14) 또는 [X] 작업 취소 / 3단 대조(원문·1차·2차)는 제공하지 않음 — 12월에도 하단 표의 대조는 원문/2차 번역 1회뿐(F-CFM-01)</t>
  </si>
  <si>
    <t>F-CFM-01·02·02a·03·04·05·09·11·12, F-CFM-13·14, F-TRN-03a·08, F-INP-01b, F-CRP-01a</t>
  </si>
  <si>
    <t>공간 제약 번역</t>
  </si>
  <si>
    <t>후보 생성 → 렌더 폭 측정 → 규제 재검증 → 제시</t>
  </si>
  <si>
    <t>폴백은 폰트 축소(−10% 상한)와 줄바꿈뿐 — 줄 추가·자간은 하지 않음. 그래도 안 되면 폭 초과 후보 제시</t>
  </si>
  <si>
    <t>F-TRN-08 · 04</t>
  </si>
  <si>
    <t>규제 검증</t>
  </si>
  <si>
    <t>LLM 판정 + 금지표현 사전 룰 매칭</t>
  </si>
  <si>
    <t>N6</t>
  </si>
  <si>
    <t>차단이 아니라 경고. 검수에서 셀 수정 시 사전 매칭 자동 재실행</t>
  </si>
  <si>
    <t>저장</t>
  </si>
  <si>
    <t>F-TRN-03 · 03a</t>
  </si>
  <si>
    <t>산출물 묶음 생성·확정</t>
  </si>
  <si>
    <t>N5 확정</t>
  </si>
  <si>
    <t>조직 관리</t>
  </si>
  <si>
    <t>1차 번역</t>
  </si>
  <si>
    <t>원본 박스 폭 기준 번역 — 항상 생성</t>
  </si>
  <si>
    <t>export.zip — images/ · content.csv · html (9월) / ★baked/ (12월 — 텍스트가 구워진 모듈 이미지, F-EXP-07) · psd (12월, 비활성 노출) · 구성요소 체크박스 + 항목별 [↓] · 보관함 카드 생성  ※ manifest.json은 셀러 배포 대상이 아니므로 목록에 없음(서버 생성·보관, F-EXP-03)</t>
  </si>
  <si>
    <t>규격 그대로는 최종 산출물, 규격 변경은 2차 번역의 입력. content.csv trans_1</t>
  </si>
  <si>
    <t>[선택 항목 export.zip 다운로드] (체크한 구성요소를 묶음) / ★항목별 [↓] 개별 다운로드 — 체크와 무관하게 그 항목만, 단일 파일은 파일로 복수 파일 항목(images/·baked/)은 그 항목만 묶은 zip / [저장] (보관함 카드 생성) · psd는 12월 비활성 노출</t>
  </si>
  <si>
    <t>M1 보관함 (카드 생성)</t>
  </si>
  <si>
    <t>F-TRN-09</t>
  </si>
  <si>
    <t>일부 구성요소 생성 실패 시 성공분만 묶고 실패를 명시(F-EXP-01) / 렌더 성공 시에만 완료 전환(F-FIN-03) / 규격 검증 결과는 표시만, 저장 차단 안 함 — MVP는 업로드 없음(F-CH-05) / ★결과물은 원본 업로드 단위로 분할하며 순서는 렌더 → 분할 → 규격 검증(F-FIN-01·F-CH-05) — 검수(N5)는 통짜로 보고 분할은 이 화면에서 수행 / ★9월은 포맷·색공간만 판정하고 용량은 미검사로 표시(OI-53) / ★생성 실패했거나 12월 비활성인 항목은 [↓]도 비활성 / ★baked/ 선택 시 모바일 축소·스크린리더 미인식·아마존 정책 확인 필요를 고지(F-EXP-07) / 저장 실패 시 결과물 유지·재시도(F-FIN-03)</t>
  </si>
  <si>
    <t>2차 번역</t>
  </si>
  <si>
    <t>O4</t>
  </si>
  <si>
    <t>F-FIN-01·01a·01b·02·03, F-EXP-01·02·04·05·06·07(12월) · F-EXP-03은 서버 생성만(배포 제외), F-CH-05·05a, F-LST-02</t>
  </si>
  <si>
    <t>1차 번역에서 선별 → 압축으로 파생</t>
  </si>
  <si>
    <t>선별은 블록(문단) 단위로 블록을 쪼개지 않음. 압축은 선별한 블록 안에서 문장 단위</t>
  </si>
  <si>
    <t>F-TRN-10</t>
  </si>
  <si>
    <t>won't</t>
  </si>
  <si>
    <t>조판 · 렌더</t>
  </si>
  <si>
    <t>인페인팅 배경 위에 원본 좌표로 절대 배치</t>
  </si>
  <si>
    <t>직원 관리</t>
  </si>
  <si>
    <t>모듈 좌표 변환 없음. 수평 절단+스택 오프셋 반영. HTML/Playwright</t>
  </si>
  <si>
    <t>F-INP-03 · F-TRN-04</t>
  </si>
  <si>
    <t>M1</t>
  </si>
  <si>
    <t>보관함</t>
  </si>
  <si>
    <t>기업 관리자가 소속 직원 목록을 조회하고 소속을 해제한다.</t>
  </si>
  <si>
    <t>결과물을 카드로 관리하고 내려받음</t>
  </si>
  <si>
    <t>처리를 멈추고 N3 섹션 확인으로 복귀</t>
  </si>
  <si>
    <t>N6 저장 완료 / GNB</t>
  </si>
  <si>
    <t>버킷 선택이 보존되고 완료된 섹션 산출물은 재사용</t>
  </si>
  <si>
    <t>상품 카드 목록 · 결과물 상세 · [12월] 카드 선택(체크) · 산출물 묶음/구성요소 선택 다운로드(F-EXP) · [다른 버전 만들기] — 국가/언어/사이트(규격) 선택(12월, F-VER-01)</t>
  </si>
  <si>
    <t>- · [12월] [다운로드] [삭제] (선택 0건 시 비활성)</t>
  </si>
  <si>
    <t>-</t>
  </si>
  <si>
    <t>N5 검수</t>
  </si>
  <si>
    <t>MVP는 완료 결과물의 조회만 지원 / 선택·다운로드·삭제·신규등록·수정 진입·검색은 12월 / 다운로드·삭제는 선택 경유 단일 경로 / 규격 미준수 결과물 다운로드 시 경고 후 진행(12월)</t>
  </si>
  <si>
    <t>좌우 2분할 — 좌 초장축 뷰어 / 우 블록 표</t>
  </si>
  <si>
    <t>F-LST-02 (01·03~09는 12월)</t>
  </si>
  <si>
    <t>좌 · 뷰어</t>
  </si>
  <si>
    <t>브랜드 정보</t>
  </si>
  <si>
    <t>브랜드 공통 기준을 관리</t>
  </si>
  <si>
    <t>규격 유지시</t>
  </si>
  <si>
    <t>GNB</t>
  </si>
  <si>
    <t>브랜드명(한/영) · 로고 업로드 · 로고 비번역 태깅 · 브랜드 개요 · 핵심 고객층</t>
  </si>
  <si>
    <t>[수정] [저장]</t>
  </si>
  <si>
    <t>v3.0 신규</t>
  </si>
  <si>
    <t>영문명 미등록 시 번역 결과에 한글명이 노출됨을 경고 / MVP는 셀러:브랜드 1:1 / 변경은 새 작업부터 적용</t>
  </si>
  <si>
    <t>F-BRD-01~03·05·07 (F-ACC-02·02a는 12월)</t>
  </si>
  <si>
    <t>① 직원 목록 조회 ② 소속 해제 시 개인 계정으로 전환</t>
  </si>
  <si>
    <t>작업 진행 중인 직원은 해제 전 경고</t>
  </si>
  <si>
    <t>F-ACC-07 전제</t>
  </si>
  <si>
    <t>원본 ↔ 제자리 렌더 결과를 한 뷰에서 슬라이더로 겹쳐 보기</t>
  </si>
  <si>
    <t>제자리 번역이라 레이아웃이 같아 겹쳐 보기가 차이를 정확히 드러냄</t>
  </si>
  <si>
    <t>M3</t>
  </si>
  <si>
    <t>작업관리 (셀러 관리자)</t>
  </si>
  <si>
    <t>F-CFM-01 · F-CRP-01a</t>
  </si>
  <si>
    <t>자사 작업 이력을 표로 조회</t>
  </si>
  <si>
    <t>GNB (팀 관리자 권한)</t>
  </si>
  <si>
    <t>국가/날짜/브랜드/규격 필터 · 이력 테이블 · 페이지네이션 · 작업 상태</t>
  </si>
  <si>
    <t>상하 2단 — 위 템플릿 렌더(주역) / 아래 원본 세로(보조·기본 접힘)</t>
  </si>
  <si>
    <t>행 클릭 → 해당 단계 이동</t>
  </si>
  <si>
    <t>레이아웃이 달라 슬라이더가 성립하지 않음</t>
  </si>
  <si>
    <t>각 단계 화면</t>
  </si>
  <si>
    <t>권한 없는 계정 차단 / 삭제된 작업은 이동 비활성</t>
  </si>
  <si>
    <t>F-CFM-01</t>
  </si>
  <si>
    <t>F-JOB-01~04, F-ACC-03 · v1.4 M2를 이 ID로 이관</t>
  </si>
  <si>
    <t>우 · 블록 표</t>
  </si>
  <si>
    <t>원문 / 번역 대조 · 셀 수정</t>
  </si>
  <si>
    <t>대조는 경로별 1회 — 9월 원문/1차, 12월 원문/2차(1차 번역은 접기). 3단 대조 미채택</t>
  </si>
  <si>
    <t>셀 수정</t>
  </si>
  <si>
    <t>O1</t>
  </si>
  <si>
    <t>F-ORG-02</t>
  </si>
  <si>
    <t>번역문을 표에서 직접 수정</t>
  </si>
  <si>
    <t>운영 대시보드</t>
  </si>
  <si>
    <t>수정 시 재렌더 + 금지표현 사전 재실행. 캔버스 인라인 편집은 없음</t>
  </si>
  <si>
    <t>서비스 상태·품질·비용을 파악</t>
  </si>
  <si>
    <t>F-CFM-02 · 02a</t>
  </si>
  <si>
    <t>관리자 콘솔</t>
  </si>
  <si>
    <t>v3.0 수정</t>
  </si>
  <si>
    <t>핵심 지표 · 파이프라인 모니터 · 비용·자원 · 품질 지표 · 알림 임계값</t>
  </si>
  <si>
    <t>[다른 번역 보기]</t>
  </si>
  <si>
    <t>[기간 필터] [분해 기준]</t>
  </si>
  <si>
    <t>통과한 번역 후보 중 선택</t>
  </si>
  <si>
    <t>각 상세 뷰</t>
  </si>
  <si>
    <t>후보가 0개면 폭 초과 후보를 제시. 규제 위반 후보는 응답에 싣지 않음</t>
  </si>
  <si>
    <t>집계 지연 시 마지막 갱신 시각 표시 / 표본 부족 시 신뢰도 주의 표시</t>
  </si>
  <si>
    <t>F-CFM-11</t>
  </si>
  <si>
    <t>A-DSH-01~05 · 전량 12월</t>
  </si>
  <si>
    <t>확인 필요 표시</t>
  </si>
  <si>
    <t>규제·미적용 강제 용어·낮은 OCR 신뢰도·번역 실패·인페인팅 잔존율</t>
  </si>
  <si>
    <t>점수를 산출하지 않고 이미 생성되는 신호를 재사용</t>
  </si>
  <si>
    <t>F-CFM-05</t>
  </si>
  <si>
    <t>코드 발급 / 재발급</t>
  </si>
  <si>
    <t>기업 관리자가 직원 연동용 코드를 발급·재발급한다. 재발급 시 이전 코드는 즉시 무효화한다.</t>
  </si>
  <si>
    <t>O2</t>
  </si>
  <si>
    <t>로컬라이징 근거</t>
  </si>
  <si>
    <t>작업 운영</t>
  </si>
  <si>
    <t>왜 그렇게 번역·치환했는지</t>
  </si>
  <si>
    <t>읽기 전용. 판단 자체는 수정 불가</t>
  </si>
  <si>
    <t>전체 작업을 조회·제어하고 실패를 분석</t>
  </si>
  <si>
    <t>F-CFM-04</t>
  </si>
  <si>
    <t>전체 작업 목록 · 재시도·취소 · 긴급 처리 플래그 · 오류 코드별 집계 · 고객 지원 열람 · 공지 배너</t>
  </si>
  <si>
    <t>[재시도] [취소] [긴급] [열람]</t>
  </si>
  <si>
    <t>자동 조정 알림</t>
  </si>
  <si>
    <t>작업 상세</t>
  </si>
  <si>
    <t>"ℹ 자동 조정됨 (폰트 −8%)"</t>
  </si>
  <si>
    <t>① 코드 발급 ② 재발급 시 구 코드 무효 ③ 유효기간 표시</t>
  </si>
  <si>
    <t>알림만 표시하고 조작 UI를 두지 않음</t>
  </si>
  <si>
    <t>열람 사유 미입력 시 차단 / 민감 정보 마스킹 / 완료 작업은 제어 대상 제외</t>
  </si>
  <si>
    <t>F-CFM-12</t>
  </si>
  <si>
    <t>A-OPS-01~05 · 전량 12월</t>
  </si>
  <si>
    <t>무효 코드로 연동 시도 시 거부</t>
  </si>
  <si>
    <t>[실행 취소]</t>
  </si>
  <si>
    <t>수정·삭제 되돌리기</t>
  </si>
  <si>
    <t>MVP는 버튼만 노출하고 동작하지 않음 — 툴팁으로 12월 기능임을 안내</t>
  </si>
  <si>
    <t>F-CFM-03</t>
  </si>
  <si>
    <t>연동 선택</t>
  </si>
  <si>
    <t>O3</t>
  </si>
  <si>
    <t>표 행 ↔ 뷰어 이동 · 블록 클릭 → 셀 포커스 · 섹션 클릭 → 표 그룹 스크롤</t>
  </si>
  <si>
    <t>마스터 데이터</t>
  </si>
  <si>
    <t>표 그룹 헤더는 9월 섹션별 / 12월 모듈별</t>
  </si>
  <si>
    <t>규격·사전·용어집·카테고리를 확인하고 관리</t>
  </si>
  <si>
    <t>F-CFM-13</t>
  </si>
  <si>
    <t>[12월] 규격 콘솔 · 규제 사전 · 현지 부적합 사전 · 용어집 · 카테고리 마스터 · 변경 이력·롤백 · 규격 변경 템플릿 · 마스터 조회(MVP, 읽기 전용)</t>
  </si>
  <si>
    <t>섹션 제외</t>
  </si>
  <si>
    <t>v3.0 삭제</t>
  </si>
  <si>
    <t>MVP [검색] / 12월 [등록] [수정] [롤백]</t>
  </si>
  <si>
    <t>검수 중 섹션을 결과물에서 뺌</t>
  </si>
  <si>
    <t>사라지지 않고 회색 오버레이 + [되돌리기]로 남음. 스택은 N6 렌더에서만 적용</t>
  </si>
  <si>
    <t>MVP는 화면 없음 — 시드 적재 결과는 DB 직접 조회로 확인</t>
  </si>
  <si>
    <t>F-CFM-14</t>
  </si>
  <si>
    <t>A-CFG-01~06, F-CH-01, F-TRN-06 · 전량 12월</t>
  </si>
  <si>
    <t>F-ORG-03</t>
  </si>
  <si>
    <t>마스크 조정</t>
  </si>
  <si>
    <t>인페인팅 마스크를 브러시로 보정</t>
  </si>
  <si>
    <t>기업 관리자 권한 이양</t>
  </si>
  <si>
    <t>경고 배지 → [마스크 조정]. 해당 섹션만 재실행하며 OCR·텍스트 블록은 보존</t>
  </si>
  <si>
    <t>F-INP-01e</t>
  </si>
  <si>
    <t>기업 관리자가 소속 직원 1인에게 관리자 권한을 이양한다. 이양 후 본인은 일반 직원이 된다.</t>
  </si>
  <si>
    <t>[확정 → 저장]</t>
  </si>
  <si>
    <t>계정 · 감사</t>
  </si>
  <si>
    <t>N6 저장으로 이동</t>
  </si>
  <si>
    <t>미해결 규제 경고가 있으면 확인을 받고 이력 저장</t>
  </si>
  <si>
    <t>계정과 권한을 관리하고 감사 로그를 조회</t>
  </si>
  <si>
    <t>F-CFM-09</t>
  </si>
  <si>
    <t>셀러 계정 목록 · 정지·해제 · 운영자 역할·권한 · 감사 로그 조회 · 조직/직원 관리</t>
  </si>
  <si>
    <t>① 대상 지정 후 이양 ② 이양 즉시 권한 교체 ③ 감사 로그 기록</t>
  </si>
  <si>
    <t>[정지] [권한 변경]</t>
  </si>
  <si>
    <t>마지막 최고 관리자 권한 회수 불가 / 로그 삭제 불가 · 단 감사 로그 기록(A-ACC-03)은 MVP부터 동작</t>
  </si>
  <si>
    <t>관리자가 1인뿐인 조직에서 탈퇴 시 이양을 강제</t>
  </si>
  <si>
    <t>산출물 묶음 생성과 확정</t>
  </si>
  <si>
    <t>A-ACC-01·02·03a, F-ORG-01~03 · 화면은 전량 12월</t>
  </si>
  <si>
    <t>A-ACC-03 연계</t>
  </si>
  <si>
    <t>최종 렌더</t>
  </si>
  <si>
    <t>HTML 조립 → 폰트 로딩 → Playwright 캡처</t>
  </si>
  <si>
    <t>결과물은 원본 업로드 단위로 분할. 순서는 렌더 → 분할 → 규격 검증</t>
  </si>
  <si>
    <t>F-FIN-01 · 01a · 01b</t>
  </si>
  <si>
    <t>O5</t>
  </si>
  <si>
    <t>규격 검증</t>
  </si>
  <si>
    <t>품질 개선</t>
  </si>
  <si>
    <t>항목별 통과·위반을 실측값과 함께 표시</t>
  </si>
  <si>
    <t>사용자 수정 신호를 수집·라벨링</t>
  </si>
  <si>
    <t>셀러가 구성요소를 체크해 묶음으로 받거나, 항목별 [↓]로 개별 다운로드. 일부 생성 실패 시 성공분만 묶고 실패 명시</t>
  </si>
  <si>
    <t>수집 신호 목록 · 오탐·미탐 라벨링 · 빈발 패턴 집계 · CSV 내보내기</t>
  </si>
  <si>
    <t>F-CH-05 · 05a · F-FIN-02</t>
  </si>
  <si>
    <t>[라벨링] [내보내기]</t>
  </si>
  <si>
    <t>규제 사전·용어집 반영</t>
  </si>
  <si>
    <t>export.zip</t>
  </si>
  <si>
    <t>개인·브랜드 식별 정보 마스킹 / 표본 부족 시 분석 보류 / 수집은 소급 불가 — OI-35 참조</t>
  </si>
  <si>
    <t>v3.0 색상 범례</t>
  </si>
  <si>
    <t>A-QA-01~03 · 전량 12월 이후</t>
  </si>
  <si>
    <t>산출물 묶음 — 셀러가 구성요소를 선택해 받음</t>
  </si>
  <si>
    <t>일부 생성 실패 시 성공분만 묶고 실패를 명시</t>
  </si>
  <si>
    <t>F-EXP-01</t>
  </si>
  <si>
    <t>중녹 = v3.0 신규 · 중노랑 = v3.0 수정 · 중빨강+취소선 = v3.0 삭제 (변경 표시는 C~L열, A~B열은 대분류 구분색으로 분리)</t>
  </si>
  <si>
    <t>images/</t>
  </si>
  <si>
    <t>결과 이미지</t>
  </si>
  <si>
    <t>9월은 텍스트가 구워진 긴 세로 이미지. 12월 A+는 텍스트 없는 사진</t>
  </si>
  <si>
    <t>작업 단계 관리</t>
  </si>
  <si>
    <t>content.csv</t>
  </si>
  <si>
    <t>블록/슬롯별 원문·번역·판정·제외 사유·자동 조정</t>
  </si>
  <si>
    <t>행 = 9월 텍스트 블록 / 12월 모듈 슬롯. 제외 섹션 행 그룹을 별도로 포함</t>
  </si>
  <si>
    <t>F-EXP-02</t>
  </si>
  <si>
    <t>manifest.json (서버 전용)</t>
  </si>
  <si>
    <t>manifest.json</t>
  </si>
  <si>
    <t>bbox·스타일·판정·선택 상태 — 파이프라인 입력 포맷</t>
  </si>
  <si>
    <t>★셀러에게 배포하지 않음 — export.zip·보관함 다운로드 목록에 없음. 생성·보관은 유지하며 서버에서 확인</t>
  </si>
  <si>
    <t>MVP 화면 수</t>
  </si>
  <si>
    <t>F-EXP-03</t>
  </si>
  <si>
    <t>10 (G1 · 전역 프로세스 바 · N1~N6 · M1 · M2) — v3.0 화면 체계 재정의</t>
  </si>
  <si>
    <t>MVP 열 — O: MVP 포함 / △: 일부 기능만 MVP / X: 12월 이후</t>
  </si>
  <si>
    <t>★작업 단계 확인</t>
  </si>
  <si>
    <t>html</t>
  </si>
  <si>
    <t>재조판 결과</t>
  </si>
  <si>
    <t>축 B(비주얼 수정)의 유일한 탈출구 (PSD 전까지)</t>
  </si>
  <si>
    <t>9월 should</t>
  </si>
  <si>
    <t>F-EXP-04</t>
  </si>
  <si>
    <t>전 화면 상단에 프로세스 바를 표시해 현재 작업 단계를 확인할 수 있게 한다. 단계는 v3.0 파이프라인 기준 — N1 입력 → N2 분석 → N3 섹션 확인 → N4 번역 → N5 검수 → N6 저장. 완료·현재·미도달 단계를 시각적으로 구분한다. MVP에서는 단계 표시가 전용이며 단계를 선택해 이동할 수 없다. ★프로세스 바 우측에 [X] 작업 취소를 고정한다(F-JOB-07) — 전 화면 상단에 항상 있는 유일한 요소이므로 화면별로 버튼을 관리할 필요가 없어진다. 예외는 N1로, 아직 작업이 생성되기 전이라 취소할 대상이 없으므로 [X] 대신 「보관함으로 나가기」를 둔다. 과거 단계로 이동하는 기능(F-NAV-02~06)은 12월 범위다.</t>
  </si>
  <si>
    <t>baked/</t>
  </si>
  <si>
    <t>텍스트가 구워진 모듈 이미지</t>
  </si>
  <si>
    <t>모듈 이미지 슬롯 규격에 맞춰 렌더. 모바일 축소·스크린리더 미인식·아마존 정책은 선택 시 고지</t>
  </si>
  <si>
    <t>F-EXP-07</t>
  </si>
  <si>
    <t>psd</t>
  </si>
  <si>
    <t>하이브리드 4레이어</t>
  </si>
  <si>
    <t>9월은 비활성 노출</t>
  </si>
  <si>
    <t>F-EXP-06</t>
  </si>
  <si>
    <t>① 완료·현재·미도달이 구분 표시됨 ② 단계 클릭이 동작하지 않음 ②a ★프로세스 바 우측에 [X]가 전 화면 고정 노출됨(N1 제외) ②b ★N1에는 「보관함으로 나가기」가 대신 노출됨 ③ N1~N6 전 화면에 고정 노출</t>
  </si>
  <si>
    <t>[저장]</t>
  </si>
  <si>
    <t>단계 클릭 시 아무 동작도 하지 않으며, 이동이 12월 기능임을 툴팁으로 안내한다</t>
  </si>
  <si>
    <t>보관함 카드 생성</t>
  </si>
  <si>
    <t>렌더 성공 시에만 완료 상태로 전환</t>
  </si>
  <si>
    <t>v3.0 변경 사항 (2026-08-31) — 변경안 v3.0 반영</t>
  </si>
  <si>
    <t>F-FIN-03</t>
  </si>
  <si>
    <t>v1.6 수정 · MVP는 표시 전용 · 이동은 F-NAV-02(should)</t>
  </si>
  <si>
    <t>보관 · 브랜드</t>
  </si>
  <si>
    <t>v3.0 수정 — 단계 체계를 N1~N6으로 재정의 · v3.0 수정(5차) — S0에 [X] 작업 취소 고정 · N1은 나가기로 대체</t>
  </si>
  <si>
    <t>※ 12월(규격 변경) 활성화 시 화면 변화 — 새 화면은 생기지 않는다(변경안 §7 "화면 구조를 바꾸지 않고 데이터만 켜지는 형태"):</t>
  </si>
  <si>
    <t>변경 1 · 파이프라인 병렬 분기</t>
  </si>
  <si>
    <t>경로 1(규격 그대로)·경로 2(규격 변경)는 직렬이 아니라 입력에서 갈라지는 병렬 분기. 공통 처리(섹션·맥락+규제 파악) 공유. 섹션 확인은 공통이며 번역보다 앞</t>
  </si>
  <si>
    <t>F-NAV-02</t>
  </si>
  <si>
    <t>카드 목록</t>
  </si>
  <si>
    <t>완료 결과물을 카드로 조회</t>
  </si>
  <si>
    <t xml:space="preserve">   N1 비활성 규격(사이트별·커스텀) 활성화 · N3 채널 정책 배지 티저→실판정 승격 · N4 처리에 템플릿 매핑→2차 번역→재검증→템플릿 렌더 추가 · N5 좌측이 슬라이더에서 상하 2단(위 템플릿 렌더·아래 원본 접힘)으로, 우측 표가 원문/2차 번역으로 전환(1차 번역 열은 "원본 규격 번역 보기"로 접힘) · 섹션↔모듈 하이라이트 연동 활성화(F-CFM-13) · N6 baked/·psd 활성화 · N5 표 그룹 헤더가 섹션별→모듈별로 전환</t>
  </si>
  <si>
    <t>MVP는 조회만 지원</t>
  </si>
  <si>
    <t>F-LST-02</t>
  </si>
  <si>
    <t>검색·필터 / 선택 / 삭제 / 다운로드</t>
  </si>
  <si>
    <t>카드 관리와 산출물 선택 다운로드</t>
  </si>
  <si>
    <t>변경 2 · 규격 선택 입력 부활</t>
  </si>
  <si>
    <t>다운로드·삭제는 선택 경유 단일 경로</t>
  </si>
  <si>
    <t>F-CH-02 부활 — 9월 원본 규격 고정, 사이트별·커스텀은 배지 없이 비활성 노출(9/1 4차 수정). 섹션 자동삭제 토글은 도입하지 않음</t>
  </si>
  <si>
    <t>F-LST-01 · 03 · 04 · 06</t>
  </si>
  <si>
    <t>★이전 단계로 이동</t>
  </si>
  <si>
    <t>저장 후 수정</t>
  </si>
  <si>
    <t>※ 다른 버전 만들기(F-VER-01) 재진입 흐름: M1 카드 → 국가/언어/규격 선택(N1 재진입·기존 값 프리셋) → 상시 재사용(OCR·섹션 분해·인페인팅) 위에 바뀐 축만 재실행 —</t>
  </si>
  <si>
    <t>완료 결과물을 다시 열어 마지막 단계로 복귀</t>
  </si>
  <si>
    <t>프로세스 바에서 현재보다 앞선 단계를 선택해 이동할 수 있다. 이동 시 작업 단계가 해당 지점으로 되돌아가며 이후 단계는 다시 진행해야 한다. 다만 이후 산출물을 일괄 삭제하지 않는다. 되돌아가는 것은 진행 상태이고, 삭제되는 것은 이동 지점에 종속된 산출물뿐이다. 무엇이 무효화되고 무엇이 보존되는지는 F-NAV-05의 판정을 따른다.</t>
  </si>
  <si>
    <t>진입 단계 미정 (OI-24)</t>
  </si>
  <si>
    <t>F-LST-05</t>
  </si>
  <si>
    <t>다른 버전 만들기</t>
  </si>
  <si>
    <t>국가·언어·규격을 바꿔 재생성</t>
  </si>
  <si>
    <t>상시 재사용은 OCR·섹션 분해·인페인팅. 국가나 언어가 바뀌면 판정·1차 번역 재생성</t>
  </si>
  <si>
    <t>F-VER-01 · 02 · 03</t>
  </si>
  <si>
    <t>미완료 작업 저장 / 보관 만료</t>
  </si>
  <si>
    <t>이탈 작업 재진입과 보관 기간 정책</t>
  </si>
  <si>
    <t xml:space="preserve">   규격만 변경: N2·N3 건너뛰고 처리→N5(템플릿 위 검수)→N6 / 국가·분류 변경: 재판정 후 N3 재개입(직전 선택 프리셋) / 언어 변경: 1차 번역 재생성 후 N5→N6</t>
  </si>
  <si>
    <t>완료 30일 / 미완료 90일 — 12월 확정</t>
  </si>
  <si>
    <t>F-LST-08 · 09</t>
  </si>
  <si>
    <t>① 현재보다 이전 단계만 선택 가능 ② 이동 시 진행 상태만 되돌아가고 섹션 단위 산출물은 보존됨 ③ 미도달 단계 선택 불가 ④ 재진행 시 보존된 산출물이 재사용됨</t>
  </si>
  <si>
    <t>변경 3 · 편집기 제거 확정</t>
  </si>
  <si>
    <t>M2 브랜드 정보</t>
  </si>
  <si>
    <t>무효화 처리 중 오류 발생 시 이동을 취소하고 원래 단계를 유지</t>
  </si>
  <si>
    <t>자유 크롭·배치 캔버스·미세조정 UI·원문 수정 축 삭제(41건). 검수는 표 + 재렌더. 편집 요구는 축 A(내용→검수 표)/축 B(비주얼→파일 내보내기)로 분리</t>
  </si>
  <si>
    <t>v1.6 수정 · 단계 되돌림 기능 전체를 12월로 이월 · MVP는 전진 이동만 지원</t>
  </si>
  <si>
    <t>기본 정보</t>
  </si>
  <si>
    <t>브랜드명(한글·영문) · 로고 업로드</t>
  </si>
  <si>
    <t>v3.0 수정 — 되돌림 구간·판정을 N1~N6 새 흐름 기준으로 재해석(판정표는 05_상태_정책, 12월 유지) · v3.0 수정(4차) — 단위 조각→섹션</t>
  </si>
  <si>
    <t>영문명 미등록 시 번역 결과에 한글명이 노출됨을 경고</t>
  </si>
  <si>
    <t>F-BRD-01</t>
  </si>
  <si>
    <t>로고 비번역 처리</t>
  </si>
  <si>
    <t>로고 영역을 태깅</t>
  </si>
  <si>
    <t>OCR·번역·인페인팅 대상에서 제외</t>
  </si>
  <si>
    <t>변경 4 · 섹션 확인 신설</t>
  </si>
  <si>
    <t>F-BRD-02</t>
  </si>
  <si>
    <t>버킷 2개 + 액션 2개(F-SEC-01~07) · 배지 4종 · 제외 사유 코드 5종 · 삭제 내역 노출 필수(화면+CSV+manifest)</t>
  </si>
  <si>
    <t>브랜드 개요 · 핵심 고객층</t>
  </si>
  <si>
    <t>F-NAV-03</t>
  </si>
  <si>
    <t>번역 톤 프롬프트 입력값</t>
  </si>
  <si>
    <t>F-TRN-02b로 주입</t>
  </si>
  <si>
    <t>F-BRD-03 · 05 · 08</t>
  </si>
  <si>
    <t>★되돌림 경고 모달</t>
  </si>
  <si>
    <t>수정 · 적용 시점</t>
  </si>
  <si>
    <t>되돌림 실행 전, 무효화되는 산출물과 초기화되는 실행취소 이력을 구체적으로 열거한 모달을 표시한다. '이후 작업이 모두 사라집니다'와 같은 포괄 문구를 쓰지 않고, F-NAV-05의 판정 결과를 그대로 문장화한다. 예: '배경 가공을 다시 생성합니다. 실행취소 이력이 초기화됩니다. 번역문과 수정 내역은 유지됩니다.'</t>
  </si>
  <si>
    <t>변경 저장</t>
  </si>
  <si>
    <t>새로 시작되는 작업부터 적용, 기존 완료 작업에는 미반영</t>
  </si>
  <si>
    <t>F-BRD-07</t>
  </si>
  <si>
    <t>변경 5 · 번역 단일 단계 (1차 번역/2차 번역)</t>
  </si>
  <si>
    <t>① 무효 대상이 건수와 함께 표시됨 ② 보존 대상도 함께 표시됨 ③ 실행취소 이력 초기화가 명시됨 ④ 취소 시 아무것도 변경되지 않음</t>
  </si>
  <si>
    <t>M3 작업관리</t>
  </si>
  <si>
    <t>무효화되는 산출물이 없고 실행취소 이력도 초기화되지 않는 경우에만 모달 없이 즉시 이동한다</t>
  </si>
  <si>
    <t>항상 원본 박스 폭 기준 1차 번역 생성(PL-27). 규격 변경 시 1차 번역에서 2차 번역 파생(선별→압축, 재검증). 검수는 하류 1회, 3단 대조 미채택</t>
  </si>
  <si>
    <t>셀러 관리자의 자사 작업 이력 조회</t>
  </si>
  <si>
    <t>v1.6 수정 · F-NAV-02 이월에 따라 함께 이월</t>
  </si>
  <si>
    <t>권한 없는 계정 차단</t>
  </si>
  <si>
    <t>F-JOB-01~04</t>
  </si>
  <si>
    <t>운영 (관리자 콘솔)</t>
  </si>
  <si>
    <t>O1 대시보드</t>
  </si>
  <si>
    <t>핵심 지표·파이프라인·비용·품질 모니터</t>
  </si>
  <si>
    <t>F-NAV-04</t>
  </si>
  <si>
    <t>변경 6 · 공간 제약 번역 주경로화</t>
  </si>
  <si>
    <t>A-DSH-01~05</t>
  </si>
  <si>
    <t>F-TRN-08 루프(번역 후보 생성→렌더 측정→규제 재검증→제시), 폴백 폰트 −10%·사용자 이관. 완화책 4종(NFR-30). V6 실측 미실행</t>
  </si>
  <si>
    <t>O2 작업 운영</t>
  </si>
  <si>
    <t>★단계 이동 규칙 사전 안내</t>
  </si>
  <si>
    <t>전체 작업 조회·재시도·취소·실패 분석</t>
  </si>
  <si>
    <t>N1에서 작업을 시작하기 전에 되돌림 규칙을 안내한다. 이전 단계로 이동하면 이후 단계를 다시 진행해야 하지만, 인페인팅 결과와 번역문·수정 내역은 보존되어 처음부터 다시 하지 않는다는 점을 함께 알린다. 다만 실행취소 이력은 초기화된다는 점도 함께 안내한다. 사용자가 작업 도중 처음 알게 되는 상황을 막기 위한 장치다.</t>
  </si>
  <si>
    <t>열람 사유 미입력 시 차단, 민감 정보 마스킹</t>
  </si>
  <si>
    <t>① N1 진입 시 1회 노출 ② 되돌림 시 보존되는 항목이 명시됨 ③ 초기화되는 항목(실행취소 이력)이 명시됨 ④ 다시 보지 않기 선택 가능</t>
  </si>
  <si>
    <t>A-OPS-01~05</t>
  </si>
  <si>
    <t>안내를 닫아도 되돌림 경고(F-NAV-03)는 항상 동작</t>
  </si>
  <si>
    <t>v1.6 수정 · 되돌림이 없으므로 사전 안내 대상이 소멸 · 12월 이월</t>
  </si>
  <si>
    <t>O3 마스터 데이터</t>
  </si>
  <si>
    <t>v3.0 수정(4차) — 안내 지점 S1→N1</t>
  </si>
  <si>
    <t>규격·규제 사전·현지 부적합 사전·용어집·카테고리·module_spec</t>
  </si>
  <si>
    <t>변경 7 · 산출물 축 신설</t>
  </si>
  <si>
    <t>MVP는 시드 스크립트 주입 — 화면 없이 DB 직접 조회. 편집 콘솔은 12월</t>
  </si>
  <si>
    <t>F-EXP-01~06: export.zip(Img·content.csv·manifest·html / psd 12월). 검수 수정 시 사전 재실행(OI-19 결론 변경)</t>
  </si>
  <si>
    <t>F-CH-01 · F-TRN-06 · 07 · A-CFG-01~06</t>
  </si>
  <si>
    <t>O4 계정 · 감사</t>
  </si>
  <si>
    <t>계정 관리 · 운영자 권한 · 감사 로그 조회</t>
  </si>
  <si>
    <t>감사 로그 기록(A-ACC-03)은 화면 없이 9월부터 동작. 로그 삭제 불가</t>
  </si>
  <si>
    <t>F-NAV-05</t>
  </si>
  <si>
    <t>A-ACC-01~03a · F-ORG-01~03</t>
  </si>
  <si>
    <t>★되돌림 산출물 보존·무효 판정</t>
  </si>
  <si>
    <t>O5 품질 개선</t>
  </si>
  <si>
    <t>변경 8 · 현지 부적합 판정 신설</t>
  </si>
  <si>
    <t>되돌림 시 이후 단계를 일괄 초기화하지 않는다. 산출물의 종속 대상에 따라 판정한다(v3.0 체계). 섹션 단위 산출물(인페인팅 결과·마스크·OCR 텍스트·1차 번역·사용자 수정 번역문)은 보존한다. 조건(국가·규제분류·규격) 종속 산출물(판정 배지·조건 종속 번역)은 조건 변경 시에만 무효화·재계산한다. 사용자 입력(버킷 선택·수정 번역문)은 산출물과 별개로 항상 보존한다 — 되돌림은 AI 산출물의 재생성 여부를 판정하는 규칙이며 사용자가 직접 만든 것을 지우지 않는다. 구간별 판정은 05_상태_정책의 되돌림 판정표(v3.0 재작성)를 따른다.</t>
  </si>
  <si>
    <t>F-LOC-01~03: 규제 사전과 동일 스키마, 10~20 패턴 시드. 3유형 처리. 채널 정책은 9월 티저 → 12월 실판정 승격(PL-18 4축)</t>
  </si>
  <si>
    <t>사용자 수정 신호 수집·라벨링·분석</t>
  </si>
  <si>
    <t>수집(A-QA-01)은 화면 없이 9월부터 동작 — 소급 불가</t>
  </si>
  <si>
    <t>A-QA-01~03</t>
  </si>
  <si>
    <t>① N5에서 N3로 이동 후 되돌아와도 버킷 선택·수정 번역문이 유지됨 ② 되돌림 후에도 인페인팅·1차 번역이 재사용됨 ③ 조건 변경 시에만 판정·번역이 재계산됨</t>
  </si>
  <si>
    <t>섹션을 제외하면 해당 섹션의 블록은 산출물 대상에서 빠지되 데이터는 보존된다(PL-22)</t>
  </si>
  <si>
    <t>v1.6 수정 · 되돌림 판정 규칙 전체를 12월로 이월 · 판정표(05 시트)도 12월 적용</t>
  </si>
  <si>
    <t>v3.0 수정 — 판정 대상을 섹션·조건 체계로 재작성</t>
  </si>
  <si>
    <t>변경 9 · 스타일 추출 자체 구현</t>
  </si>
  <si>
    <t>F-STY-01~05: 색·크기·정렬·굵기 + 폰트는 역할 기반 매핑(식별 포기). Codia·Abyssale 미채택 기록</t>
  </si>
  <si>
    <t>F-NAV-06</t>
  </si>
  <si>
    <t>되돌림 무효 산출물 스냅샷 보관</t>
  </si>
  <si>
    <t>되돌림으로 무효화되는 산출물을 즉시 삭제하지 않고 스냅샷으로 보관해, 조건을 원래대로 되돌렸을 때 재생성 없이 복원한다. v3.0에서는 무효 대상이 조건 종속 산출물(판정·조건 종속 번역)뿐이며 재생성 비용이 낮으므로 MVP에서는 구현하지 않는다.</t>
  </si>
  <si>
    <t>변경 10 · 인증 뱃지 12월 이월 / 썸네일 별도 작업</t>
  </si>
  <si>
    <t>뱃지: 배치만 삭제, 업로드·정책 12월 이월(PL-09). 썸네일: 규격 변환 없는 별도 작업으로 처리, 1:1은 12월 사이트별 규격의 하나 (PM 확정 8/31)</t>
  </si>
  <si>
    <t>① 무효 산출물이 스냅샷으로 보관됨 ② 조건 복귀 시 재생성 없이 복원 ③ 복원 여부를 사용자가 선택 가능</t>
  </si>
  <si>
    <t>보관 용량 초과 시 가장 오래된 스냅샷부터 폐기</t>
  </si>
  <si>
    <t>v1.5 수정 · v3.0 — 아웃페인팅 삭제로 보관 가치 축소, 12월 재평가</t>
  </si>
  <si>
    <t>v3.0 수정 — 무효 대상 재정의(아웃페인팅 참조 제거)</t>
  </si>
  <si>
    <t>변경 11 · 리스크·검증</t>
  </si>
  <si>
    <t>R-10(ag-psd 세로쓰기 파손 — X안 충돌) · R-11(크리젠 Text Localizer 경쟁) · R-12(공간 제약 루프 지연·비용) 신설. V1~V7 전부 미실행 — V1·V6 최우선(실행계획 v3.0)</t>
  </si>
  <si>
    <t>F-NAV-07</t>
  </si>
  <si>
    <t>변경 12 · 미해결 유지</t>
  </si>
  <si>
    <t>2차 번역 선별 로직(OI-48)·스타일 추출 범위(OI-49)·용어집 자동 학습 절차(OI-50) — 결론 내리지 않고 이관. 아마존 이미지 내 텍스트 정책은 "반려 리스크 존재" 수준으로만 기록</t>
  </si>
  <si>
    <t>S3·S5·S7</t>
  </si>
  <si>
    <t>★결과물 유형 탭 전환</t>
  </si>
  <si>
    <t>한 작업에서 썸네일과 상세페이지를 동시에 만든다. 배치(S3)·1차 피드백(S5)·2차 피드백(S7) 화면은 결과물 유형 탭으로 분리한다. 텍스트 블록은 소속 모듈을 통해 탭에 귀속된다.</t>
  </si>
  <si>
    <t>v1.6 변경 사항</t>
  </si>
  <si>
    <t>① 탭 전환 시 해당 유형의 모듈만 표시 ② 탭별 완료 여부가 표시됨 ③ 두 탭이 모두 완료되어야 다음 단계 진행</t>
  </si>
  <si>
    <t>한 탭에 모듈이 하나도 없으면 해당 탭을 완료로 간주하지 않는다</t>
  </si>
  <si>
    <t>변경 1 · 시연 전제 확정</t>
  </si>
  <si>
    <t>v1.8 이월 · 결과물 1종이면 탭 불필요</t>
  </si>
  <si>
    <t>실제 배포·릴리스가 없음을 문서 최상위 전제로 명시했다. 실사용자가 있어야 성립하는 기능(운영 대시보드·계정 관리)을 MVP에서 내리는 판단 근거가 된다.</t>
  </si>
  <si>
    <t>v3.0 삭제 — 썸네일은 별도 작업(짧은 원본 제자리 번역)으로 처리 — 결과물 유형 탭 폐지, 12월 규격 확장에 병합</t>
  </si>
  <si>
    <t>변경 2 · 운영자 콘솔 12월 이월</t>
  </si>
  <si>
    <t>A-DSH-01·02, A-OPS-03, A-ACC-01·02를 must→should로 내렸다. MVP에서 O1·O2·O4·O5 화면이 사라진다. 다만 감사 로그는 기록(A-ACC-03, must)과 조회(A-ACC-03a, should)를 분리했다 — 읽는 시점은 미룰 수 있으나 쓰는 시점은 소급이 불가능하기 때문이다.</t>
  </si>
  <si>
    <t>F-NAV-08</t>
  </si>
  <si>
    <t>★단계 이동 시 자동 저장</t>
  </si>
  <si>
    <t>단계를 이동할 때 떠나는 단계의 사용자 입력을 자동 저장한다. 대상은 N1 입력값(국가·규제분류·도착어·규격·카테고리·키워드)·N3 섹션 포함/제외 선택·N5 번역문 수정이다. 되돌림이 '진행 상태만 되돌린다'는 정책은 떠난 단계의 입력이 저장되어 있어야 성립한다. 앞으로 이동할 때와 뒤로 이동할 때 모두 동작하며, F-LST-08(미완료 작업 저장)의 명시적 저장과 별개로 상시 수행한다.</t>
  </si>
  <si>
    <t>① 단계 이동 시 별도 조작 없이 입력이 저장됨 ② N5에서 N3로 이동 후 되돌아오면 섹션 선택과 번역문 수정이 그대로 남아 있음 ③ 저장 실패 시 이동이 취소됨</t>
  </si>
  <si>
    <t>변경 3 · 마스터 데이터 조회 신설</t>
  </si>
  <si>
    <t>저장 실패 시 이동을 취소하고 현재 단계를 유지한 뒤 사유를 표시한다</t>
  </si>
  <si>
    <t>A-CFG-01·02가 12월로 이월되면서 시드 주입된 규격·사전·용어집을 확인할 수단이 없어졌다. A-CFG-06(읽기 전용 조회)을 must로 신설해 O3에 최소 화면 하나만 남긴다.</t>
  </si>
  <si>
    <t>v1.6 신설 후 should로 조정 · 자동 저장은 되돌림 정책의 전제이므로 함께 12월 이월</t>
  </si>
  <si>
    <t>v3.0 수정(4차) — 저장 대상을 N1 입력·섹션 선택·번역문 수정으로 재정의(크롭·배치·모듈·원문 수정 축 삭제)</t>
  </si>
  <si>
    <t>변경 4 · 카테고리 2층 구조</t>
  </si>
  <si>
    <t>F-SRC-04를 선택(F-SRC-04) / 마스터(F-SRC-04a) / 매핑(F-SRC-04b)으로 분리했다. v1.4부터 유지되던 'MVP는 스킨케어·색조' 문구를 폐기하고, 규제 사전의 카테고리 분기도 폐기했다. 7종 목록은 미확정(OI-32).</t>
  </si>
  <si>
    <t>F-CH-01</t>
  </si>
  <si>
    <t>변경 5 · 국가 목록 제한</t>
  </si>
  <si>
    <t>채널 규격</t>
  </si>
  <si>
    <t>F-LNG-01의 국가 셀렉터에 규제 사전 보유 국가만 노출한다. 사전 없는 국가를 고르는 경로가 사라져 '경고 후 진행' 예외가 소멸하고, NFR-16(모든 블록에 근거)이 성립한다.</t>
  </si>
  <si>
    <t>변경 6 · 신뢰도 점수 폐기</t>
  </si>
  <si>
    <t>F-CFM-05를 '번역 신뢰도 표시'에서 '확인 필요 블록 표시'로 바꾸고 점수 산출을 폐기했다. 용어집은 강제 치환 규칙이 아니라 참고 사례로 작동하므로 적중률을 신뢰도로 환산할 수 없다. 이미 산출되는 4종 신호를 재사용해 플래그로 표시한다. 점수화는 OI-33으로 이관.</t>
  </si>
  <si>
    <t>★규격 마스터 관리</t>
  </si>
  <si>
    <t>변경 7 · F-VER-01 승격 철회</t>
  </si>
  <si>
    <t>v1.5에서 must로 올렸던 '다른 언어로 만들기'를 should로 되돌렸다. 국가·언어의 S5 배치는 12월 확장 대비로 유지한다. F-INP-01c·F-LST-02의 관련 수용 기준과 NFR-04를 함께 이월했다.</t>
  </si>
  <si>
    <t>규격별 검증 규칙(validation_rules)과 모듈 규격(module_spec)을 데이터로 보유한다. validation_rules가 해상도·종횡비·파일크기·포맷·색공간·배경규칙·텍스트 길이 상한·세이프존·최소 폰트·금지 요소의 단일 소스이며, module_spec은 모듈 슬롯 규격과 권장 이미지 장수를 담는다. 코드 수정 없이 데이터 추가만으로 규격을 확장할 수 있어야 한다.</t>
  </si>
  <si>
    <t>① 데이터 추가만으로 신규 규격 사용 가능 ② 각 검증 항목에 출처 URL과 확인일자 보유 ③ 안내(F-CH-03)와 검증(F-CH-05)이 같은 데이터를 읽음</t>
  </si>
  <si>
    <t>변경 8 · 화면 ID 체계 재정의</t>
  </si>
  <si>
    <t>출처 미확인 규격은 신뢰도 표기</t>
  </si>
  <si>
    <t>v1.4의 M1/M2/M3 + A1~A5와 v1.5의 정의 없는 '운영'을 정리했다. 셀러측 작업관리를 M3으로 되살리고 운영자 콘솔을 O1~O5로 분리해 A계열과 대응시켰다. 03_화면정의서 참조.</t>
  </si>
  <si>
    <t>v2.1 · 검증 기준 스칼라 컬럼을 validation_rules로 통합(단일 소스) · MVP는 시드 주입, 편집 콘솔은 A-CFG-01(12월) · 9/1 5차 — module_spec도 시드 대상(F-CH-07)</t>
  </si>
  <si>
    <t>변경 9 · MVP 범위 축소</t>
  </si>
  <si>
    <t>F-CH-02</t>
  </si>
  <si>
    <t>F-LST-01(검색·필터)과 F-LST-09(보관 기간·만료)를 should로 내렸다. 만료 시점이 프로젝트 종료 전에 도래하지 않는다.</t>
  </si>
  <si>
    <t>★변경 10 · 되돌림 전체 이월</t>
  </si>
  <si>
    <t>과거 단계로 돌아가는 기능과 자동 저장을 MVP에서 전부 제거했다. F-NAV-02~06·08과 NFR-07·11을 should로 내렸다. MVP는 S1→S8 전진 이동만 지원한다. F-NAV-01(단계 표시)과 F-NAV-07(결과물 유형 탭)은 표시·구조 기능이므로 must로 유지한다. ※ 검토 과정에서 F-NAV-08(단계 이동 시 자동 저장)을 must로 신설했다가 본 변경으로 함께 12월 이월했다. 05_상태_정책의 되돌림 판정표와 PL-13은 12월 적용으로 표기한다.</t>
  </si>
  <si>
    <t>★규격 선행 선택 (입력 화면 부활)</t>
  </si>
  <si>
    <t>입력 화면(N1)에서 원본 업로드와 함께 규격을 선택한다. 선택지는 ① 원본 규격(9월 유일 활성 — 원본 크기 그대로 제자리 번역) ② 사이트별 규격 ③ 커스텀 규격. ②③은 9월에는 비활성 상태로만 노출하며 "12월 지원 예정" 배지는 달지 않는다(PM 확정 9/1) — 선택지의 존재만 보이고 시점을 약속하지 않는다. 경로 1(규격 그대로)·경로 2(규격 변경)는 직렬이 아니라 이 선택에서 갈라지는 병렬 분기이며, 공통 처리(섹션·맥락 파악 + 규제 파악)를 공유한다.</t>
  </si>
  <si>
    <t>① 원본 규격이 기본 선택·활성 ② 사이트별·커스텀 규격이 비활성 상태로 노출되며 배지가 표시되지 않음 ③ 규격 선택값이 작업에 기록됨 ④ 12월 활성화 시 화면 구조 변경 없이 선택지만 켜짐</t>
  </si>
  <si>
    <t>9월에 비활성 선택지는 선택되지 않으며 별도 안내를 띄우지 않는다</t>
  </si>
  <si>
    <t>변경 10 보충</t>
  </si>
  <si>
    <t>v3.0 부활 — v2.6 초안(경로 2 진입 시 선택)을 뒤집고 입력 화면으로 확정(변경안 §0 결정 1·2). PL-18 4축 확장과 연동</t>
  </si>
  <si>
    <t>v3.0 수정 — 삭제(보완안) 후 입력 화면에서 부활. 형태 변경이며 재삭제 아님 · v3.0 수정(4차) — 비활성 선택지 배지 삭제(PM 확정 9/1)</t>
  </si>
  <si>
    <t>F-LST-05(저장 후 수정)·F-LST-08(미완료 작업 저장)도 12월로 이월하고, F-ACC-01의 세션 만료 시 임시 저장·복원 조항을 삭제했다. MVP는 S1→S8을 단일 세션에서 한 번에 완주하는 범위로 확정된다. 중단·재개·수정 진입은 전부 12월이며, 브라우저 종료 시 작업이 소실되는 것은 시연 전제상 허용한다.</t>
  </si>
  <si>
    <t>F-CH-02a</t>
  </si>
  <si>
    <t>★변경 11 · 되돌림 전파 반영</t>
  </si>
  <si>
    <t>Amazon 규격 선택</t>
  </si>
  <si>
    <t>변경 10이 02_기능명세에만 반영되어 있던 것을 다른 시트로 전파했다. ① 08_릴리스로드맵의 MVP 테마 '단계 이동·미완료 저장'을 12월로 이동 ② 03_화면정의서 S0를 표시 전용으로 재정의(이동 버튼·되돌림 모달 제거) ③ S7의 M1 수정 진입과 단계 이동 초기화 문구 삭제 ④ M1의 [수정] 버튼·미완료 카드 제거 ⑤ NFR-09를 '세션 내 20단계 보존'으로 축소하고 단계 이동 초기화 조항 삭제 ⑥ F-NAV-01·F-CFM-03 본문 수정.</t>
  </si>
  <si>
    <t>사이트별 규격의 하나로 Amazon A+ 규격을 선택한다. 9월에는 비활성 노출("12월 지원 예정" 배지), 12월 규격 변경 활성화와 함께 열린다. A+는 긴 이미지 한 장이 아니라 규격 고정 모듈 이미지 + 별도 텍스트 필드다(변경안 §10 모듈 규격표 참조).</t>
  </si>
  <si>
    <t>① 9월 비활성 노출 + 배지 ② 12월 선택 시 A+ 모듈 규격표(JPG/PNG·2MB 이하·RGB·72DPI)가 적용됨</t>
  </si>
  <si>
    <t>—</t>
  </si>
  <si>
    <t>v3.0 — 12월 이월 · A+ 모듈 7종 규격표는 변경안 §10</t>
  </si>
  <si>
    <t>v3.0 수정 — must→should, 12월 이월(9월 비활성 노출)</t>
  </si>
  <si>
    <t>★변경 12 · 브랜드 중복 등록 방지</t>
  </si>
  <si>
    <t>F-ACC-02a를 must로 신설했다. 동일 셀러 계정 안에서 같은 브랜드를 두 번 등록할 수 없다. 브랜드명(한글·영문)을 정규화해 비교하며, DB 유니크 제약(seller_id + 정규화명)으로 강제한다. 03_화면정의서 M2에 반영했다.</t>
  </si>
  <si>
    <t>F-CH-02b</t>
  </si>
  <si>
    <t>그 외 채널 규격 선택</t>
  </si>
  <si>
    <t>Amazon 외 사이트의 규격을 선택하여 작업을 시작한다. 9월에는 비활성 노출(배지 없음). Shopee·Lazada·일본형 긴 이미지(2b 긴 이미지형)를 포함한다.</t>
  </si>
  <si>
    <t>★v1.7 변경 1 · 렌더링 방식 확정</t>
  </si>
  <si>
    <t>① 데이터에 등록된 규격이 목록에 노출됨 ② 9월 비활성 노출 · 배지 없음</t>
  </si>
  <si>
    <t>HTML/Playwright로 확정했다. 편집 레이어와 출력 렌더러 모두 HTML 기준이며, Pillow 비교는 종료한다. F-INP-03·F-TXT-01·F-CFM-02·F-FIN-01·01a·F-LST-06의 전제가 확정되어 백엔드 API 명세와 ERD가 진행 가능해진다. OI-34 종결.</t>
  </si>
  <si>
    <t>v1.5 ID 부여 · 12월 확장</t>
  </si>
  <si>
    <t>v3.0 수정 — 비활성 노출 방식 명시 · 2b 긴 이미지형 포함 · v3.0 수정(4차) — 배지 삭제</t>
  </si>
  <si>
    <t>★v1.7 변경 2 · 내부 카테고리 7종 확정</t>
  </si>
  <si>
    <t>F-CH-02c</t>
  </si>
  <si>
    <t>Amazon Beauty &amp; Personal Care &gt; Skin Care 하위 7종으로 확정했다: Body · Eyes · Face · Lip Care · Maternity · Sets, Kits · Sunscreens &amp; Tanning Products. F-SRC-04a(표시 마스터)·F-SRC-04b(내부 매핑)에 반영했다. 기존 문서가 모두 스킨케어 전제이므로 개발계획서·데이터 수집 계획서의 도메인 정의는 그대로 유효하다. OI-32 종결.</t>
  </si>
  <si>
    <t>★국가 필터</t>
  </si>
  <si>
    <t>규격 목록을 국가로 필터링해 찾기 쉽게 한다. 필터는 탐색 보조일 뿐이며 선택 결과로 저장되지 않는다. 작업에 국가 값이 기록되는 시점은 F-LNG-01이다. 9월에는 규격 목록 자체가 비활성이므로 12월 활성화와 함께 동작한다.</t>
  </si>
  <si>
    <t>① 국가 선택 시 목록이 좁혀짐 ② 필터 값이 작업 데이터에 저장되지 않음</t>
  </si>
  <si>
    <t>필터 결과가 0건이면 전체 목록으로 되돌린다</t>
  </si>
  <si>
    <t>v1.5 신설</t>
  </si>
  <si>
    <t>★v1.7 변경 3 · 용어집 강제/참고 구분</t>
  </si>
  <si>
    <t>v3.0 수정 — must→should, 12월 이월(규격 목록 활성화와 동반)</t>
  </si>
  <si>
    <t>용어집 항목에 enforcement(강제/참고)를 도입했다. 강제는 성분명(INCI)·브랜드명·인증 공식 명칭으로 F-TRN-02c의 검사 대상이며, 참고는 마케팅 표현으로 RAG 예시로만 주입한다. v1.6 변경 6이 용어집을 '참고 사례'로 규정하면서 F-TRN-02c가 전량 검사하던 모순을 해소한다. PL-20 신설.</t>
  </si>
  <si>
    <t>F-CH-03</t>
  </si>
  <si>
    <t>규격 종속 동적 업로드 안내</t>
  </si>
  <si>
    <t>★v1.7 변경 4 · 수정 신호 수집 승격</t>
  </si>
  <si>
    <t>선택된 규격의 validation_rules와 module_spec을 읽어 안내한다. 9월(원본 규격)은 파일 포맷·용량 등 기본 안내만 표시하고, 12월 사이트별 규격 활성화 시 규격 종속 안내(권장 장수·해상도 등)가 완전 동작한다. 검증(F-CH-05)과 같은 데이터를 읽으므로 안내와 판정 기준이 어긋나지 않는다.</t>
  </si>
  <si>
    <t>A-QA-01을 could→must로 올리되 범위를 '수집만'으로 한정했다. F-CFM-02a가 이미 수정 사실을 기록하므로 전후 텍스트만 추가하면 되어 비용이 거의 없고, 반대로 안 넣으면 12월 품질 개선 착수 시 데이터가 0이 된다. job_event·edit_signal 테이블을 MVP ERD에 포함한다. 조회·라벨링(A-QA-02, O5)은 12월 이후 유지. OI-35 종결.</t>
  </si>
  <si>
    <t>① 규격별로 안내 문구가 달라짐 ② 안내값과 규격 검증 기준값이 일치함</t>
  </si>
  <si>
    <t>규격 데이터 누락 시 기본 안내 표시</t>
  </si>
  <si>
    <t>v2.1 · validation_rules 단일 소스 참조</t>
  </si>
  <si>
    <t>v3.0 수정 — 9월은 기본 안내, 규격 종속 안내는 12월</t>
  </si>
  <si>
    <t>★v1.7 변경 5 · 작업 상태 9종 확정</t>
  </si>
  <si>
    <t>되돌림이 12월로 이월되어 전이가 단순해진 것을 반영해 10종을 9종으로 정리했다: 생성됨·배치중·전처리중·원문확인·번역중·번역문확인·완료·오류·취소. 구버전의 '크롭 대기'는 '생성됨'으로 개명했고(전진만 하므로 대기가 발생하지 않음), '최종 확정'은 '완료'와 중복이라 통합했다. 비동기 상태는 전처리중·번역중 둘이다. 12월 되돌림 도입 시 역방향 전이만 추가한다. OI-05 종결.</t>
  </si>
  <si>
    <t>업로드 파일 사전 규격 검증</t>
  </si>
  <si>
    <t>업로드 즉시 해상도·포맷·용량·색공간을 검사한다. 하한 미달은 차단, 권장 미달은 경고 후 진행 허용.</t>
  </si>
  <si>
    <t>① 최소 해상도 미달 차단 ② 미지원 포맷 차단 ③ 권장 미달은 경고 후 진행</t>
  </si>
  <si>
    <t>손상 파일·읽기 실패 시 해당 파일만 제외하고 나머지는 정상 처리</t>
  </si>
  <si>
    <t>예: Noon은 JPEG 전용, 가로 660px 이상</t>
  </si>
  <si>
    <t>v1.7 변경 6 · 스키마 제공 3단계 분리</t>
  </si>
  <si>
    <t>API Ready를 스키마 확정 / Mock / 실기능 3단계로 분리했다. 8/23 전체 API 목록 → 8/26 S1~S3 → 8/31 S4 → 9/7 S6 → 9/11 S8. 프론트는 스키마·Mock까지만 있으면 선행 작업이 가능하다. S4·S6 스키마는 AI 출력 규격과 동일하므로 백엔드·AI가 함께 확정한다. Mock에 에러·부분실패·진행중 상태를 포함한다(F-JOB-05·06). OI-40 종결.</t>
  </si>
  <si>
    <t>F-CH-05</t>
  </si>
  <si>
    <t>★규격 검증 (규격 준수)</t>
  </si>
  <si>
    <t>v1.7 변경 7 · 잔여 결정 반영</t>
  </si>
  <si>
    <t>최종 렌더링 결과가 규격을 위반하지 않는지 검사한다(구 명칭 "2차 검증" — 규제 검증(F-TRN-03)과 구분해 규격 검증으로 개칭, PM 9/1). 검사 항목은 F-CH-05a의 정의를 따른다. 9월(원본 규격)은 대응하는 channel_spec이 없으므로 원본 규격용 최소 spec을 두고 포맷(JPG·PNG)과 색공간(RGB)만 검증한다. 용량은 규칙에 정의하지 않고 실측값만 표시한다(미검사 — OI-53) — 2MB는 아마존 A+ [detail] 기준이라 원본 규격에 적용할 근거가 없고, 9월은 업로드를 하지 않아 상한의 실익이 없다. 검증은 결과물 분할 후에 수행한다(F-FIN-01), 12월 규격 변경 경로에서는 채널 규격(A+ 기준 2MB 이하·RGB·72DPI 등) 완전 검증을 수행한다. MVP는 업로드를 수행하지 않으므로 통과 여부를 표시할 뿐 저장을 차단하지 않는다.</t>
  </si>
  <si>
    <t>① 번역문 직접 수정 시 자동 재검증 없이 경고만(F-CFM-02, OI-19 종결) ② 텍스트 추출 실패 조각은 S5에서 직접 입력 가능(F-INP-02·F-TXT-04, OI-20 종결) ③ 마스터 데이터 시드 적재는 강다희, DB 구조는 김도연(OI-41 종결) ④ 개발계획서 6.1 스키마에 fragment_id·module_coords·role·block_merge_id 추가(OI-38 종결). ※ block_merge_id는 v2.0에서 철회 — 텍스트블록.source_lines(jsonb)로 대체(v2.0 변경 4 참조)</t>
  </si>
  <si>
    <t>① 항목별 통과·위반이 개별 표시됨 ② 위반 시 사유와 실측값이 함께 표시됨 ③ ★9월은 포맷·색공간만 판정하고 용량은 미검사로 표시됨 ④ ★검증이 분할 후 파일 단위로 수행됨</t>
  </si>
  <si>
    <t>v1.5 항목 분리 · 9/1 5차 — 9월 원본 규격용 최소 spec(포맷·색공간) · 용량 기준값은 OI-53으로 이월 · [12월] A+ 글자수 초과 경고 문구 강화는 module_spec 확정 후 검토(5차 15번 — 미확인 값을 근거로 "등록되지 않습니다"를 단정하지 않는다)</t>
  </si>
  <si>
    <t>v3.0 수정 — 화면 S8→N6, 9월 최소 검증/12월 완전 검증 분리 · v3.0 수정(3차) — 검증 용어 개칭 · v3.0 수정(5차) — 9월 검증 항목 확정(포맷·색공간) · 용량은 OI-53 · 분할 후 검증</t>
  </si>
  <si>
    <t>★v1.8 변경 1 · 결과물 1종으로 축소</t>
  </si>
  <si>
    <t>MVP 결과물을 상세페이지(Basic A+ 970×300) 1종으로 좁히고 썸네일(1:1)을 12월로 이월했다. 이에 따라 F-NAV-07(결과물 유형 탭)·F-PLC-01a(모듈 용도 구분)·F-CH-06(대표이미지 텍스트 금지)·F-INP-04(대표이미지 텍스트 제거) 4건이 함께 이월된다. 건수는 4건이지만 S3·S5·S7 세 화면에서 탭 구조와 완료 판정이 사라지고 번역 순서(F-TRN-02a)의 최상위 기준도 단순해져, 프론트 부하 절감 효과가 건수보다 크다. 서비스 정의가 '상세페이지 로컬라이제이션'이고 페인포인트 1번이 세로 스크롤 상세페이지의 규격 변환이므로 발표 서사는 손상되지 않는다.</t>
  </si>
  <si>
    <t>F-CH-05a</t>
  </si>
  <si>
    <t>★규격 검증 항목 정의</t>
  </si>
  <si>
    <t>★v1.8 변경 2 · 시연 비노출 기능 이월</t>
  </si>
  <si>
    <t>검증 항목을 규격 데이터에 정의하고 판정 결과를 결과물에 저장한다. 정의는 channel_specs.validation_rules(항목 key·적용 범위 scope·비교 연산·기준값·단위·심각도·출처·확인일자), 결과는 결과물.validation_result(항목 key·통과 여부·실측값)이며 두 구조는 key로 짝을 이룬다. 모든 규칙은 scope를 반드시 가지며 값은 module_slots.usage_type과 동일한 체계를 쓴다(detail / thumbnail_main / thumbnail_sub / all). 검증은 결과물의 용도와 scope가 일치하는 규칙만 적용한다. Amazon 기준 항목: [thumbnail] 해상도 짧은 변 최소 500px·긴 변 최대 10,000px, 대표이미지 순백 배경 / [detail] 모듈 규격 970×300 일치, 파일 크기 2MB 미만, 포맷 JPG·PNG·BMP(GIF 미지원) / [all] 색공간 RGB, 세이프존 하단 20%, 최소 폰트 24px, 금지 요소(워터마크·QR코드·하이퍼링크·애니메이션·HTML 태그).</t>
  </si>
  <si>
    <t>① 항목이 데이터로 정의되어 코드 수정 없이 추가 가능 ② 모든 규칙에 scope가 지정됨 ③ 각 항목에 출처·확인일자가 기록됨 ④ 결과물 용도와 scope가 일치하는 규칙만 검사됨 ⑤ 판정 결과가 항목별 구조로 저장되어 F-FIN-02가 읽을 수 있음</t>
  </si>
  <si>
    <t>규칙에 정의되지 않은 항목은 검사하지 않으며 미검사로 표시한다 / scope가 없는 규칙은 등록할 수 없다</t>
  </si>
  <si>
    <t>시연 화면에 나타나지 않는 8건을 12월로 이월했다. F-ACC-05(소셜 로그인) · F-ACC-02·02a(셀러:브랜드 1:N과 중복 방지, MVP는 1:1로 운용) · F-LST-03·04·07(카드 선택·삭제·신규 등록) · F-CH-08(모듈 개수 상한) · A-CFG-06(마스터 조회, 시드 확인은 DB 직접 조회로 대체). A-CFG-06 이월로 O3 화면이 MVP에서 사라져 화면 수가 13→11이 된다.</t>
  </si>
  <si>
    <t>v2.2 · scope 필수화 — 상품 이미지 500px 규정이 A+ 970×300에 적용되던 오류 정정 · MVP는 detail·all만 발동</t>
  </si>
  <si>
    <t>v2.2 수정 · v3.0 수정(3차) — 검증 용어 개칭</t>
  </si>
  <si>
    <t>v1.8 산정 근거</t>
  </si>
  <si>
    <t>F-CH-06</t>
  </si>
  <si>
    <t>8/19~9/23 실근무일 26일(추석 9/24~25 제외), 구현 인원 3명 기준 78 person-day. must 95건이면 건당 0.82일로 인페인팅 PoC·좌표 변환 규칙이 미확정인 상태에서는 성립하지 않는다. 83건으로 줄이면 건당 0.94일이 된다. 여전히 여유는 없으므로 8/28 PoC 게이트에서 3단계 축소(F-PLC-02e·02h, F-TXT-08, F-INP-01b, F-TRN-02c, F-CFM-05, F-JOB-06)를 재검토한다.</t>
  </si>
  <si>
    <t>★대표이미지 텍스트 금지 — 채널 정책 판정으로 이동</t>
  </si>
  <si>
    <t>규격이 대표이미지의 텍스트를 금지하면(Amazon 메인 이미지) 채널 정책 판정으로 처리한다. v3.0에서는 텍스트 배치를 막는 방식(모듈 개념)이 아니라 섹션 확인(N3)의 채널 정책 배지 축(F-LOC-03)에서 판정한다. 9월에는 티저로만 노출하고, 12월 규격 변경 활성화 시 실제 판정으로 승격한다.</t>
  </si>
  <si>
    <t>① 채널 정책 배지 체계에서 대표이미지 텍스트 금지 판정이 제공됨 ② 9월 티저 → 12월 실판정 승격 시 화면 구조 변경 없음</t>
  </si>
  <si>
    <t>인페인팅 후에도 텍스트 잔존이 감지되면 저장 전 경고</t>
  </si>
  <si>
    <t>v1.8 이월 · 대표이미지가 MVP에 없음</t>
  </si>
  <si>
    <t>v3.0 수정 — 배치 차단 방식 폐기, 채널 정책 판정(F-LOC-03)으로 재정의</t>
  </si>
  <si>
    <t>v1.8 유지 원칙</t>
  </si>
  <si>
    <t>다음은 축소 대상에서 제외한다. F-CH-05·05a(규격 준수 검증 — 시연의 증명 장면이자 NFR-17의 유일한 측정 수단) · F-CFM-04(로컬라이징 근거 — 일반 번역기와의 차이를 보이는 유일한 화면) · F-TRN-03·03a(규제 검증 — 페인포인트 2번의 직접 답) · A-ACC-03·A-QA-01·NFR-29(소급 불가능한 기록).</t>
  </si>
  <si>
    <t>F-CH-07</t>
  </si>
  <si>
    <t>처리(12월)</t>
  </si>
  <si>
    <t>템플릿 슬롯 규격 정의</t>
  </si>
  <si>
    <t>★v1.9 변경 1 · 텍스트 블록 소유 구조 확정</t>
  </si>
  <si>
    <t>12월 규격 변경 경로의 템플릿 슬롯 규격을 module_spec에 정의한다. ★module_spec은 시드로 구축한다 — 수집 항목은 모듈명 · 이미지 슬롯 규격(px) · 슬롯 개수 · 텍스트 필드 종류(아마존 실제 이름을 그대로 적고 headline/body/bullet에 억지로 맞추지 않는다 — 변환은 F-CH-10) · 필드별 글자수 상한 · 권장 사용 개수 · ★baked 업로드 가능 여부 · 출처 URL · 확인일자다. ★슬롯은 아마존 글자수 상한이 들어가는 크기로 설계한다 — 그래야 분리형과 baked(F-EXP-07)가 같은 2차 번역을 공유한다. 템플릿 제작은 디자인 발명이 아니라 규격표 이식이다 — 아마존이 규격(970×600, 300×300 등)을 정해놨으므로 창의성이 들어갈 자리가 없다. 파이프라인은 manifest.json → Rule Engine(섹션→모듈 매핑) → HTML/CSS 템플릿 슬롯 → Playwright 렌더 → 후처리. 배치 캔버스 생성 용도(v2.5)는 폐기.</t>
  </si>
  <si>
    <t>한 조각을 여러 모듈에 배치할 수 있으므로(F-PLC-02b) 텍스트 블록의 소유자를 배치(placement)로 확정했다. 조각 캐시(fragment_id 키)는 인페인팅 결과·마스크·추출 원문·폰트 속성을 담아 1회만 생성되고, 텍스트 블록(placement_id 키)은 모듈 좌표·배율·번역문·블록 상태를 담아 배치마다 생성된다. 생성 시점은 S3 배치 확정 후 S4 실행 시다. 근거: ① 모듈이 둘이면 좌표가 두 벌 필요 ② 배치 배율이 다르면 폰트 크기가 달라야 함(F-PLC-02d) ③ 한쪽 배너 문구 수정이 다른 배너에 전파되면 사용자 기대에 어긋남. 중복 번역은 원문 해시 기준 번역 캐시로 방지한다. F-INP-01c·F-INP-02c·F-CFM-02a에 반영하고 PL-21을 신설했다.</t>
  </si>
  <si>
    <t>① 규격 선택 시 정의된 템플릿 슬롯이 적용됨 ② 슬롯 규격이 데이터로 관리되어 코드 수정 없이 확장됨 ③ ★각 모듈에 출처 URL·확인일자와 baked 가능 여부가 기록됨 ④ ★글자수 상한 문장이 슬롯에 들어감</t>
  </si>
  <si>
    <t>v2.1 · image_count를 module_spec으로 이동 · 검증 항목은 validation_rules 소유 · 9/1 5차 — 시드 신설. 규제 사전·현지 부적합 사전·용어집·카테고리 마스터는 시드 계획이 있는데 module_spec만 비어 있었다. 12월 W9 템플릿 착수 전 필수 · 담당 PM</t>
  </si>
  <si>
    <t>v3.0 수정 — must→should(12월), 배치 캔버스용→템플릿 슬롯 정의로 재정의 · v3.0 수정(5차) — module_spec 시드 항목 신설 · baked 가능 여부 · 슬롯 설계 기준</t>
  </si>
  <si>
    <t>★v1.9 변경 2 · 상태값 정합 정정</t>
  </si>
  <si>
    <t>F-JOB-04에 남아 있던 구버전 10종(크롭 대기·최종 확정 포함)을 확정된 9종으로 정정하고, F-SRC-10 수용 기준의 '크롭 대기'를 '생성됨'으로 고쳤다. 05_상태_정책에 DB 매핑표(status 6종 + current_step 조합, 백엔드 설계 채택)를 추가하고 취소 행 중복을 삭제했다. API 응답은 사용자용 9종으로 통일한다.</t>
  </si>
  <si>
    <t>F-CH-08</t>
  </si>
  <si>
    <t>v1.9 변경 3 · F-ACC-02 복원</t>
  </si>
  <si>
    <t>v1.8.1 편집 과정에서 소실된 F-ACC-02(셀러:브랜드 1:N 구조, should)를 복원했다. F-ACC-02a·PL-06·화면정의서 M2가 이 기능을 참조하고 있어 목록에서 빠지면 12월 범위 근거가 사라진다. 전 시트 행 단위 대조로 다른 소실·중복이 없음을 확인했다.</t>
  </si>
  <si>
    <t>★모듈 개수 상한</t>
  </si>
  <si>
    <t>모듈 개수를 권장 개수의 2배까지 허용한다. Amazon 기준 상세페이지(A+) 권장 5개 → 상한 10개, 썸네일 권장 7개 → 상한 14개. 권장 개수를 초과하면 안내를 표시하되 생성은 허용하고, 상한에 도달하면 추가를 막는다.</t>
  </si>
  <si>
    <t>① 권장 초과 시 안내 표시 ② 상한 도달 시 추가 버튼 비활성 ③ 상한이 규격 데이터에서 계산됨</t>
  </si>
  <si>
    <t>v1.9 변경 4 · 표기 정리</t>
  </si>
  <si>
    <t>권장 개수가 정의되지 않은 규격은 상한을 적용하지 않는다</t>
  </si>
  <si>
    <t>v1.8 이월 · 상한 도달 화면을 시연에서 만들지 않음</t>
  </si>
  <si>
    <t>기능명세 L열 헤더를 '변경 (v1.6)'에서 '변경 이력'으로 바꾸고, 전 시트 제목을 v1.9로 통일했다.</t>
  </si>
  <si>
    <t>v3.0 삭제 — 모듈 개수 상한 삭제 — 자유 배치 전제 소멸(12월 규격 변경은 템플릿 슬롯이 개수를 결정)</t>
  </si>
  <si>
    <t>F-CH-09</t>
  </si>
  <si>
    <t>v1.7 종결</t>
  </si>
  <si>
    <t>규격별 추천 국가</t>
  </si>
  <si>
    <t>규격별로 추천 국가 목록을 보유한다. F-LNG-01의 국가 선택 시 추천 국가를 상단에 우선 노출한다. 규격은 국가와 독립이므로 선택을 제한하지 않으며, 추천은 탐색 편의를 위한 정렬 기준이다. 노출 대상 자체는 규제 사전 보유 국가로 한정된다(F-LNG-01).</t>
  </si>
  <si>
    <t>① 추천 국가가 상단에 노출됨 ② 추천 외 국가도 선택 가능 ③ 추천 목록이 데이터로 관리됨</t>
  </si>
  <si>
    <t>추천 목록이 비어 있으면 전체 국가를 일반 정렬로 노출</t>
  </si>
  <si>
    <t>v1.6 수정 · 노출 모집단이 사전 보유 국가로 한정됨</t>
  </si>
  <si>
    <t>★v2.0 변경 1 · 편집 데이터 3층 구조 확정</t>
  </si>
  <si>
    <t>백엔드 검토를 반영해 크롭 · 배치 · 텍스트 블록 3층으로 확정했다. 한 조각 안에 제목·본문·가격 등 글자 덩어리가 여럿이고 각각 역할·번역상태·번역문을 따로 가지며 개별 삭제·이동되므로(F-INP-02b·F-CFM-02a·F-TXT-08) 배치 밑에 블록 층이 필요하다. PL-21에 반영했다.</t>
  </si>
  <si>
    <t>F-CH-10</t>
  </si>
  <si>
    <t>★규격 변경 경로 (템플릿 매핑)</t>
  </si>
  <si>
    <t>★v2.0 변경 2 · 텍스트 블록의 출처와 표시 위치 분리</t>
  </si>
  <si>
    <t>텍스트 블록에 module_id를 신설해 출처(placement_id)와 표시 위치(module_id)를 분리했다. 다른 모듈로 옮겨도 출처는 바뀌지 않으므로, 원 조각을 삭제하면 옮겨간 블록도 함께 사라진다. '삭제한 조각의 텍스트가 다른 배너에 남는' 상황이 원천 차단된다. F-TXT-08의 수용 기준 ③('원 조각 삭제 시에도 이동한 블록은 유지')이 이 원칙과 정반대였으므로 수정했다.</t>
  </si>
  <si>
    <t>[12월] 규격 변경 분기의 본체. 저장 이후 "다른 규격으로 생성"(F-VER-02) 또는 입력에서 사이트별·커스텀 규격 선택 시 진입한다. 파이프라인: manifest.json → Rule Engine(섹션→모듈 매핑 + ★field_type→A+ 슬롯 타입 변환 — headline·body·bullet은 우리 쪽 분류(F-EXP-02)일 뿐 아마존 슬롯 이름과 1:1 대응이 보장되지 않으므로 변환 규칙을 데이터로 둔다. 매핑 테이블은 module_spec에 종속된다) → HTML/CSS 템플릿 슬롯 채우기 → 2차 번역 파생(F-TRN-10) → 규제 재검증(F-TRN-03a) → Playwright 렌더 → 후처리(2MB·RGB·72DPI). 검수는 템플릿 위에서 1회(원문/2차 번역). 재사용/재실행 구분은 변경안 §5. 2a 모듈 분해형(아마존 A+ — 텍스트가 이미지 밖)과 2b 긴 이미지형(Shopee·Lazada·일본 — 텍스트가 이미지 안)을 구분한다 — 이 대비가 "각국의 커머스 관습"의 가장 선명한 실례다.</t>
  </si>
  <si>
    <t>① 섹션→모듈 매핑과 field_type→슬롯 타입 변환이 Rule Engine 데이터로 정의됨 ② 슬롯보다 블록이 많을 때의 선별 로직은 미확정(OI-48 — 단위는 블록으로 확정, 로직은 미해결) ③ 2a는 텍스트가 content.csv로 분리되고 2b는 이미지에 조판됨</t>
  </si>
  <si>
    <t>A+ 모듈 슬롯보다 섹션·블록이 많은 경우의 선별 기준은 OI-48(미해결)로 남긴다 — 임의 확정 금지</t>
  </si>
  <si>
    <t>v3.0 신설 · 변경안 §5·§10 · 10월 초 X/Y 게이트("사람 손 없이 쓸 만한 섹션 비율 70~80%") 판정 대상 · S3 배치 POC 5/5가 기술 근거 · 9/1 5차 — field_type→A+ 슬롯 타입 변환 규칙 추가(module_spec 종속) · 9/1 6차 — 선별 단위 블록으로 통일</t>
  </si>
  <si>
    <t>v3.0 신설</t>
  </si>
  <si>
    <t>★v2.0 변경 3 · 삭제·무효화 규칙 확정 (PL-22 신설)</t>
  </si>
  <si>
    <t>블록의 생명주기를 배치에 종속시켰다. 조각 삭제 → 배치·블록 전부 삭제 / 배치에서 빼기 → 해당 배치의 블록만 삭제(조각은 남음) / 크롭 영역 수정 → 캐시 무효화 후 S4 재실행 시 블록 재생성(사전 경고). 동작 용어를 「배치에서 빼기」(S3)와 「조각 삭제」(S2)로 정리했다. ※ v2.1에서 조각 삭제를 S2 전용으로 한정했다.</t>
  </si>
  <si>
    <t>F-CH-11</t>
  </si>
  <si>
    <t>이미지 슬롯 처리 (누끼+패딩)</t>
  </si>
  <si>
    <t>[12월] 템플릿 이미지 슬롯 채우기: 누끼 + 슬롯 종횡비에 맞춘 투명 패딩(Pillow). 정사각 패딩이 아니라 슬롯별 종횡비를 맞춰야 한다(변경안 §10).</t>
  </si>
  <si>
    <t>★v2.0 변경 4 · 줄→문단 병합 방식 확정</t>
  </si>
  <si>
    <t>① 슬롯 종횡비에 맞는 패딩이 적용됨 ② 누끼 실패 시 원본 크롭 폴백</t>
  </si>
  <si>
    <t>줄 단위 레코드를 별도 테이블로 두지 않고 텍스트 블록의 source_lines(jsonb)로 관리한다. 줄 원본은 크롭의 OCR 캐시에 이미 있어 중복이며, 블록이 배치마다 복제되므로 줄 테이블을 두면 행이 배수로 늘어난다. 개발계획서 6.1의 block_id·block_merge_id 두 필드는 source_lines로 대체한다.</t>
  </si>
  <si>
    <t>누끼 품질 미달 시 사람 확인으로 넘긴다</t>
  </si>
  <si>
    <t>v3.0 신설 · 변경안 §10</t>
  </si>
  <si>
    <t>F-SRC-01</t>
  </si>
  <si>
    <t>★v2.1 변경 1 · 크롭 목록 재정의</t>
  </si>
  <si>
    <t>N1 원본 등록</t>
  </si>
  <si>
    <t>F-PLC-06을 「미사용 조각 보관함」에서 「크롭 목록 패널」로 개명·재정의했다. 한 조각을 여러 모듈에 재사용할 수 있으므로(F-PLC-02b) 배치했다고 목록에서 사라지면 안 되며, 배치 여부와 무관하게 전체 조각을 표시하고 조각별 배치 횟수를 함께 보여준다. 배치 횟수는 배치 기록에서 집계하므로 별도 컬럼이 필요 없다. F-PLC-02b는 목록 표시를 F-PLC-06으로 넘기고 드래그·드롭 동작만 담당한다. F-PLC-05의 '미선별 조각은 보관함 유지' 표현도 함께 정정했다.</t>
  </si>
  <si>
    <t>원본 상세페이지, 썸네일 업로드</t>
  </si>
  <si>
    <t>드래그앤드롭 또는 파일 선택, 다중 업로드. 업로드 순서 = 원본 순서로 저장하며 드래그로 재정렬 가능.</t>
  </si>
  <si>
    <t>① 다중 업로드 ② 순서 표시 및 재정렬 ③ 업로드 순서가 섹션 분해 결과와 산출물 순서에 반영</t>
  </si>
  <si>
    <t>업로드 실패 시 개별 재시도 / 원본 언어는 탐지하지 않는다 — 출발어는 한국어로 고정이며, 한국어가 아닌 원본이 올라와도 경고 없이 그대로 진행한다. 그 경우 OCR·번역 품질은 보장하지 않으며 결과의 책임은 셀러에게 있다(PL-25)</t>
  </si>
  <si>
    <t>★v2.1 변경 2 · 조각 삭제는 S2 전용</t>
  </si>
  <si>
    <t>v1.5 수정 · F-SRC-05 폐기에 따라 출발어 경고를 이관</t>
  </si>
  <si>
    <t>v3.0 수정(4차) — 출발어 경고 삭제 · 원본 언어 미탐지 확정(PM 확정 9/1)</t>
  </si>
  <si>
    <t>배치 화면에서 조각을 삭제하는 것은 부자연스럽다. 쓰지 않으면 그만이고, 조각의 추가·삭제는 크롭 단계의 일이다. F-PLC-02e에서 「조각 삭제」를 제거하고 「배치에서 빼기」만 남겼으며, F-CRP-02를 조각 추가·삭제의 유일한 창구로 명시했다. 그 결과 MVP에서는 '조각 삭제로 인한 배치·블록 연쇄 삭제'가 발생하지 않는다 — 전진 이동만 지원해 S3 이후 S2로 갈 수 없고, S2 체류 중에는 배치·블록이 아직 없기 때문이다. ERD의 CASCADE 제약은 12월 되돌림 도입에 대비해 유지한다. PL-22에 반영했다.</t>
  </si>
  <si>
    <t>F-SRC-03</t>
  </si>
  <si>
    <t>★v2.1 변경 3 · 검증 규칙 단일 소스 (PL-23 신설)</t>
  </si>
  <si>
    <t>F-CH-05a는 '검증 항목을 규격 데이터로 보유'와 '판정 결과를 결과물에 저장' 둘 다를 요구하는데 v2.0은 결과만 정의했다. channel_specs.validation_rules를 신설해 규칙을 담고, 결과물.validation_result와 항목 key로 대응시킨다. 아울러 channel_specs의 검증 기준 스칼라 컬럼(resolution·aspect_ratio·background_rule·max_text_length)을 validation_rules로 통합해 단일 소스로 만든다. 안내(F-CH-03)와 검증(F-CH-05)이 다른 데이터를 읽으면 '1600px 권장이라 안내하고 500px로 통과'시키는 불일치가 조용히 발생하기 때문이다. image_count는 성격이 달라 module_spec으로 이동했다. NFR-22(코드 수정 없이 채널 확장)의 근거이며 12월 다규격 확장에서 값을 한다.</t>
  </si>
  <si>
    <t>파일 등록 안내</t>
  </si>
  <si>
    <t>권장 파일명 형식, 지원 포맷, 수량 기준, 다중 등록 번호 규칙. 채널별 규격은 F-CH-03이 동적으로 덧붙인다.</t>
  </si>
  <si>
    <t>① 가이드 상시 노출 ② 예시 파일명이 실제 규칙과 일치</t>
  </si>
  <si>
    <t>일부 채널은 반각 영숫자 파일명만 허용</t>
  </si>
  <si>
    <t>★v2.2 변경 1 · 검증 규칙 적용 범위(scope) 필수화</t>
  </si>
  <si>
    <t>F-CH-05a가 상품 이미지 규정(짧은 변 최소 500px)과 A+ 규정을 한 목록에 담고 있어, 정상적으로 만든 970×300 A+ 배너가 짧은 변 300px로 항상 위반 판정되는 오류가 있었다. Amazon 공식 자료상 500px은 기본 등록(상품 이미지) 규정이고 Basic A+는 '명시 없음(모듈별 상이)'이다. 모든 검증 규칙에 scope(detail / thumbnail_main / thumbnail_sub / all)를 필수로 두고 결과물 용도와 일치하는 규칙만 적용한다. scope 없는 규칙은 등록을 금지해 같은 실수가 반복되지 않게 했다. MVP는 A+ 단독이므로 thumbnail 계열 규칙은 시드에 두되 발동하지 않는다. PL-23에 반영.</t>
  </si>
  <si>
    <t>F-SRC-04</t>
  </si>
  <si>
    <t>★상품 카테고리 선택</t>
  </si>
  <si>
    <t>셀러가 상품의 카테고리를 선택한다. 화면에 노출되는 목록은 Amazon 카테고리 트리에 준하는 상세 수준이며, 카테고리 마스터(F-SRC-04a)에서 읽어온다. 선택값은 F-SRC-04b를 통해 내부 카테고리로 환산되어 용어집을 결정한다. 규제 사전은 카테고리로 분기하지 않고 타겟 국가만 따른다.</t>
  </si>
  <si>
    <t>① 미선택 시 진행 불가 ② 목록이 카테고리 마스터에서 로드됨 ③ 선택값이 내부 카테고리로 환산되어 용어집에 반영됨</t>
  </si>
  <si>
    <t>환산된 내부 카테고리의 용어집이 미구축이면 공용 용어집으로 폴백하고 그 사실을 표시한다</t>
  </si>
  <si>
    <t>v1.6 수정 · 'MVP는 스킨케어·색조' 폐기 · 규제 사전의 카테고리 분기 폐기 · F-SRC-04a·04b 신설에 따른 책임 분리</t>
  </si>
  <si>
    <t>★v2.2 변경 2 · S3와 S4의 시점 정합</t>
  </si>
  <si>
    <t>MVP는 전진 이동만 지원하므로 S3 시점에는 OCR이 실행되지 않아 텍스트 블록이 존재하지 않는다. 그런데 F-PLC-02c(텍스트 좌표 재계산)·02h(잘린 텍스트 블록 수 표시)가 S3에서 동작하는 것처럼 기재돼 있어 12월 조건으로 정정했다. F-PLC-02d는 성격이 달라 '조각 배율은 S4에서 텍스트 좌표를 변환할 때 곱해지는 값'으로 재작성했다 — S3의 실시간 반응이 아니라 S4 생성 규칙이다.</t>
  </si>
  <si>
    <t>F-SRC-04a</t>
  </si>
  <si>
    <t>★카테고리 마스터</t>
  </si>
  <si>
    <t>화면에 노출하는 상품 카테고리를 Amazon 트리에 준하는 상세 수준으로 관리한다. 규격·국가와 독립인 전 채널 공통 마스터이며 데이터로 관리한다.</t>
  </si>
  <si>
    <t>★v2.2 변경 3 · 인페인팅 실패 정책 (PL-24 신설)</t>
  </si>
  <si>
    <t>재시도 상한 도달 시 마지막 결과를 그대로 표시하고 조각을 숨기지 않는다. 인페인팅 실패는 원본 텍스트가 남은 상태이므로 노출해야 사용자가 상황을 이해한다. 사용자용 재시도 버튼은 제공하지 않는다 — 인페인팅은 결정적이라 조건을 바꾸지 않은 재실행은 같은 결과를 내고, 그것이 오히려 신뢰를 떨어뜨린다. 경고 배지를 처리 실패와 품질 주의 두 종류로 구분했다. 조건을 바꾸는 재실행은 F-INP-01d·01e(12월)로 신설했다.</t>
  </si>
  <si>
    <t>① 카테고리 목록이 데이터로 보유됨 ② 규격을 바꿔도 목록이 변하지 않음 ③ 코드 수정 없이 항목 추가 가능</t>
  </si>
  <si>
    <t>마스터 조회 실패 시 작업 생성을 차단하고 사유를 표시한다</t>
  </si>
  <si>
    <t>v1.7 · Amazon Beauty &amp; Personal Care &gt; Skin Care 트리 기준</t>
  </si>
  <si>
    <t>★v2.3 변경 1 · 재시도 정책 정정</t>
  </si>
  <si>
    <t>F-SRC-04b</t>
  </si>
  <si>
    <t>v2.2에서 인페인팅의 성질(결정적)을 근거로 사용자 재시도 버튼을 전부 없앴는데, 이는 과잉 일반화였다. 재시도 가능 여부는 조각/작업 단위가 아니라 실패가 결정적이냐 일시적이냐로 갈린다. 번역(API 타임아웃·레이트 리밋)과 렌더링(캡처 타임아웃·폰트 로드 실패)은 같은 입력으로도 성공할 수 있으므로 실패 항목 개별 재시도를 제공한다. 인페인팅만 재시도 버튼을 두지 않는다. 일괄 재시도는 두지 않되, 실패 5건 초과 시 개별 재시도를 반복하게 두지 않고 잠시 후 재시도하도록 안내한다. F-JOB-06·F-INP-01b와 PL-24가 서로 어긋나 있던 것도 함께 정합시켰다.</t>
  </si>
  <si>
    <t>★카테고리 매핑</t>
  </si>
  <si>
    <t>표시 카테고리를 내부 카테고리 7종으로 환산해 용어집을 분기한다. 7종은 Amazon Skin Care 하위 기준으로 Body · Eyes · Face · Lip Care · Maternity · Sets, Kits · Sunscreens &amp; Tanning Products이다. 매핑은 데이터(리프→7종)로 관리하며 코드에 넣지 않는다. 규제 사전은 이 축을 사용하지 않고 국가만 따른다.</t>
  </si>
  <si>
    <t>① 표시 카테고리 선택 시 내부 7종 중 하나로 환산됨 ② 매핑되지 않은 리프는 공용 용어집으로 폴백 ③ 매핑 추가가 데이터 작업만으로 가능</t>
  </si>
  <si>
    <t>매핑 미등록 리프는 공용 용어집을 사용하고 경고 없이 진행한다</t>
  </si>
  <si>
    <t>v1.7 확정 · 7종 = Skin Care 하위 · OI-32 종결</t>
  </si>
  <si>
    <t>★v2.3 변경 2 · 실패 표시를 인라인 배지로</t>
  </si>
  <si>
    <t>실패 항목을 별도 목록으로 보여주던 것을 사용자가 보는 모듈 위 해당 조각·블록의 인라인 경고 배지로 바꿨다. 목록은 조각이 어디 있는지 찾아가야 하지만 배지는 위치 자체가 정보다. 목록 형태는 운영자 화면(A-OPS-03 실패 원인 분석 뷰)에만 남긴다.</t>
  </si>
  <si>
    <t>핵심 키워드 입력</t>
  </si>
  <si>
    <t>이번 상품에서 강조할 키워드를 태그로 입력. 번역 단계에서 반영된다.</t>
  </si>
  <si>
    <t>① 태그 추가·삭제 ② 번역 프롬프트에 반영</t>
  </si>
  <si>
    <t>★v2.3 변경 3 · 재인페인팅 진입 지점 정의</t>
  </si>
  <si>
    <t>금지표현과 충돌하는 키워드 입력 시 경고</t>
  </si>
  <si>
    <t>F-INP-01d·01e가 어디서 열리는지 정의되지 않아 S4 화면 레이아웃을 잡을 수 없었다. 조각을 클릭하면 우측 패널이 열려 원본과 처리 결과를 나란히 보여주고, 그 안에 배경 유형 토글이 들어간다. 마스크 조정은 정밀 작업이라 패널의 버튼으로 전체 편집 모드에 진입한다. S5·S7이 이미 우측 패널 패턴이라 일관성도 맞는다. 우측 패널의 원본·결과 비교는 MVP에도 넣는다 — 고칠 수 없더라도 지금 알면 취소하고 다시 시작할 수 있어, 번역까지 마친 뒤 S8에서 발견하는 것보다 낫기 때문이다.</t>
  </si>
  <si>
    <t>F-SRC-08</t>
  </si>
  <si>
    <t>v2.3 변경 4 · F-PLC-02e 문장 명확화</t>
  </si>
  <si>
    <t>★보유 인증 뱃지 업로드</t>
  </si>
  <si>
    <t>「배치에서 빼기」의 텍스트 블록 연쇄 삭제가 MVP에서 일어나는 것처럼 읽혀 12월 조건으로 명시했다. MVP는 S3 시점에 텍스트 블록이 아직 생성되지 않는다. v2.2에서 F-PLC-02c·02h를 같은 이유로 고쳤는데 02e를 빠뜨렸던 것이다.</t>
  </si>
  <si>
    <t>셀러가 인증 기관에서 받아 보유하고 있는 인증 뱃지 이미지를 업로드한다. [12월 이월] v3.0에서 삽입 지점(배치 캔버스)이 삭제되어 9월에는 사용처가 없다. 12월 규격 변경 템플릿의 뱃지 슬롯 검토와 함께 재개한다. 진위는 검증하지 않으며 허위 입력의 책임은 셀러에게 있다(PL-01·08). 사용권 보유 확인은 업로드 시점에 받는다. 원본에 이미 그려진 국내 인증마크는 섹션 확인의 🏷 "현지 기준 수정 필요" 배지(F-SEC-04)가 다룬다.</t>
  </si>
  <si>
    <t>① 뱃지 이미지 다중 업로드 ② 업로드분이 12월 규격 변경 템플릿의 뱃지 슬롯 검토 대상으로 전달 ③ 진위 미검증 고지 ④ 사용권 확인 체크 필수</t>
  </si>
  <si>
    <t>미업로드 상태로도 진행 가능하며 이 경우 S3에서 뱃지 영역을 숨김 / 사용권 미확인 시 업로드 차단</t>
  </si>
  <si>
    <t>PL-01, PL-08</t>
  </si>
  <si>
    <t>v3.0 수정 — 12월 이월(뱃지 배치 삭제에 따름), 원본 내 인증마크는 F-SEC-04로 · v3.0 수정(5차) — 구 S번호 정정</t>
  </si>
  <si>
    <t>v2.3 변경 5 · F-PLC-02i 신설</t>
  </si>
  <si>
    <t>배치된 조각을 다른 모듈로 옮기는 기능을 should로 신설했다. DB는 placements.module_id 변경만으로 지원되어 추가 컬럼이 없으나, 모듈 간 드래그가 단일 캔버스 내 이동보다 UI 비용이 커 12월로 둔다. MVP는 「배치에서 빼기」 후 다시 놓는 방식으로 대체한다. 이동 시 기본 상태의 텍스트 블록은 따라가고 사용자가 옮겨둔 블록은 남는데, 블록의 표시 모듈과 배치의 모듈이 같은지로 판정하므로 별도 플래그가 필요 없다.</t>
  </si>
  <si>
    <t>F-SRC-09</t>
  </si>
  <si>
    <t>책임 한계 안내</t>
  </si>
  <si>
    <t>인증·시험 정보의 적용 가능 여부를 사용자가 최종 확인해야 하며 문제 발생 시 플랫폼이 책임지지 않음을 상시 노출.</t>
  </si>
  <si>
    <t>★v2.4 변경 1 · 인페인팅 단일 경로 확정 (F-INP-01d 폐기)</t>
  </si>
  <si>
    <t>① 상시 노출 ② 동의 시점 저장</t>
  </si>
  <si>
    <t>PL-02</t>
  </si>
  <si>
    <t>배경 유형(단색/사진) 판정과 분기 처리를 폐지하고 모든 조각을 단일 인페인팅 경로로 처리한다. 단색 배경은 인페인팅 모델이 잘 처리하는 영역이라 품질 손실이 낮고, 판정 오류로 인한 오처리와 F-INP-01d(배경 유형 수동 지정)의 필요 자체가 사라진다. F-INP-01d를 폐기하고 F-INP-02의 배경 유형 판정을 삭제했다. 모든 조각이 GPU를 사용하므로 NFR-01 성립 여부를 PoC 확인 항목에 추가했다(OI-26). ※ 배경 가공(F-BG-01·02·06 — 모듈 여백 채움)은 별개 기능으로 이 폐지와 무관하다.</t>
  </si>
  <si>
    <t>v3.0 수정 — F-SRC-08과 동반 12월 이월</t>
  </si>
  <si>
    <t>F-SRC-10</t>
  </si>
  <si>
    <t>다음 단계 진행</t>
  </si>
  <si>
    <t>★v2.4 변경 2 · 마스크 형식·재시도 방식 확정</t>
  </si>
  <si>
    <t>필수값 검증 후 작업 생성 → N2 분석(전체 OCR → 섹션 자동 분해 → 규제·현지적합성 판정)으로 이동.</t>
  </si>
  <si>
    <t>마스크를 조각과 동일 해상도의 이진 마스크 이미지(1채널, 픽셀별 지움/보존)로 확정했다. 검출 bbox는 생성 입력일 뿐이며 마스크 형태를 사각형으로 제한하지 않는다. 자동 재시도는 마스크 팽창 폭을 단계적으로 키워 수행한다 — 같은 조건의 재실행이 아니므로 재시도가 의미를 갖고, PL-24의 재시도 버튼 미제공 근거도 「모델 결정성」에서 「시도 조건 소진」으로 바꿔 모델 선택(OI-26, Nano Banana 후보 유지)에 비종속으로 만들었다.</t>
  </si>
  <si>
    <t>① 필수값 누락 시 비활성 ② Job ID 발급 및 상태 '생성됨' ③ 분석(N2)이 자동 시작됨</t>
  </si>
  <si>
    <t>작업 생성 실패 시 입력값을 유지한 채 재시도 제공</t>
  </si>
  <si>
    <t>v1.9 폐지 상태값 참조 정정</t>
  </si>
  <si>
    <t>v3.0 수정 — 다음 단계 S2 크롭→N2 분석</t>
  </si>
  <si>
    <t>★v2.4 변경 3 · OCR 1회 원칙 · 마스크 조정과 OCR 분리</t>
  </si>
  <si>
    <t>OCR은 조각당 1회만 추출하며 재추출 경로를 두지 않는다. 마스크 조정 재실행(F-INP-01e)은 인페인팅만 갱신하고 OCR 캐시·텍스트 블록은 보존한다. 마스크 변경으로 생기는 화면-블록 불일치는 블록 자동 생성·삭제 없이 사용자가 직접 수정한다(F-TXT-02·07). 01e는 마지막 사용 마스크(자동 재시도로 팽창된 경우 그 마스크)를 편집 대상으로 하며, 마스크 오버레이 표시도 12월이다(MVP 미제공).</t>
  </si>
  <si>
    <t>F-CRP-01</t>
  </si>
  <si>
    <t>★v2.4 변경 4 · 작업 취소 확인 신설 (F-JOB-07)</t>
  </si>
  <si>
    <t>취소에 기능 ID가 없어 확인 다이얼로그를 정의할 자리가 없었다. F-JOB-07을 신설해 [X] 취소 시 삭제 대상을 항목별로 열거하는 확인 다이얼로그를 필수화했다. 처리 중(S4·S6) 취소는 진행 중 비동기 작업을 중단하고 작업 전체를 취소하며, 처리만 멈추고 화면에 머무는 상태는 두지 않는다. F-INP-01b·F-JOB-06의 「선택지는 진행 또는 작업 취소」 문구와 「제외하고 진행할지 선택」(v2.3 정합 누락 잔재)을 함께 정리했다.</t>
  </si>
  <si>
    <t>★원본에서 조각 크롭</t>
  </si>
  <si>
    <t>★v2.4 변경 5 · 보관함 액션 정리</t>
  </si>
  <si>
    <t>다운로드·삭제는 카드 선택(F-LST-03)을 거치는 단일 경로로 확정했다. 카드 상세의 단건 다운로드와 개별 카드 즉석 삭제 UI를 제거했고, 선택 0건이면 액션 버튼을 비활성한다. F-LST-06(다운로드)은 MVP에서 제외해 12월로 이월했다(P1·should) — MVP는 완료 결과물의 조회까지만 지원한다. 이에 따라 OI-29(HTML 패키징)도 12월 과제가 된다.</t>
  </si>
  <si>
    <t>업로드한 원본 이미지에서 새 결과물에 넣을 영역을 사용자가 직접 크롭한다. 자유 영역 지정, 다중 크롭, 크롭 영역 수정·삭제를 지원한다.</t>
  </si>
  <si>
    <t>★v2.4 변경 6 · S8 렌더 실패 복귀·완료 조건</t>
  </si>
  <si>
    <t>오류 상태의 다음 가능 상태에 최종합성(S8)이 없어 렌더 실패 시 돌아갈 자리가 없었다. 상태표에 S8 복귀를 추가하고, F-FIN-03에 「모든 모듈 렌더 성공 시에만 완료 전환」을 명시했다. 렌더 실패는 일시적 원인(캡처 타임아웃·폰트 로드)이 대부분이라 시간을 두고 S8을 재시도하면 해결된다. 부분 결과물 다운로드는 도입하지 않되 12월 재검토 항목으로 남겼다(OI-45).</t>
  </si>
  <si>
    <t>① 자유 영역 크롭 ② 다중 크롭 ③ 크롭 영역 재조정·삭제 ④ 원본 해상도 유지 ⑤ 영역 수정 시 해당 조각의 캐시가 무효화됨</t>
  </si>
  <si>
    <t>모듈 최소 해상도에 못 미치는 크기로 크롭하면 경고한다. 이미 처리된 조각의 크롭 영역을 수정하면 조각 ID는 유지하되 해당 조각의 캐시(인페인팅 결과·마스크·추출 텍스트)를 무효화하고 재처리 대상으로 표시한다</t>
  </si>
  <si>
    <t>v1.6 수정 · 영역 수정과 F-INP-01c 캐시의 충돌 방지 규칙 추가</t>
  </si>
  <si>
    <t>v3.0 삭제 — 자유 크롭 삭제 — 편집 축 제거(변경안 §11)</t>
  </si>
  <si>
    <t>★v2.4 변경 7 · 세션 이탈 처리 명시</t>
  </si>
  <si>
    <t>MVP는 세션 이탈을 감지하지 않고 재진입 경로도 제공하지 않는다. 진행 중 비동기 처리는 완료까지 수행하고 결과를 저장하되 이탈 작업은 어떤 목록에도 노출하지 않는다(F-JOB-05). 12월 재진입(F-LST-08)의 이음새 3건을 미리 명시했다 — 텍스트 블록 수정의 즉시 서버 반영(저장 시점 없음), 비동기 처리 중 이탈 작업의 재진입 시 완료 상태 반영, 실행취소 스택 미복원 고지.</t>
  </si>
  <si>
    <t>F-CRP-02</t>
  </si>
  <si>
    <t>★v2.5 변경 1 · 규제 분류 축 신설 (F-LNG-03)</t>
  </si>
  <si>
    <t>미국 FDA는 선크림·여드름 치료제를 화장품이 아닌 OTC 의약품으로 규제하며, 내부 카테고리 7종에 Sunscreens &amp; Tanning이 포함되어 MVP 범위에 OTC 제품이 존재한다. 화장품은 네거티브 규제(금지만 회피), OTC는 포지티브 규제(모노그래프 열거 용도만 허용)라 구조가 반대이므로, 규제 분류(regulatory_class) 없이 검증하면 OTC 정상 문구를 전부 오탐한다. S5에서 국가 선택 후 분류 체계가 정의된 국가만 셀렉터를 노출하며 선택지는 국가별 데이터로 관리한다. 미국은 화장품 / OTC 의약품 / 화장품+OTC 복합 / 잘 모름 4개. 복합(21 CFR 701.3(d))은 문구별로 규칙이 갈려 제품 단위 선택으로 처리되지 않으므로 MVP는 OTC와 동일 처리하고 한계를 고지한다(OI-46). '잘 모름'은 화장품 기준으로 검증하되 상시 경고 배지와 확인 필요 신호(F-CFM-05)를 단다 — OTC 규칙을 무차별 적용하면 오탐 홍수로 PL-20을 위반하므로 합집합 검증은 불가하고, 네거티브 규제가 어느 분류에도 유효한 최소 기준이기 때문. 판정 책임은 셀러에게 있다(F-ACC-04·PL-02). 카테고리 축(F-SRC-04)과 완전 독립. OI-42 종결.</t>
  </si>
  <si>
    <t>크롭 조각 목록 관리</t>
  </si>
  <si>
    <t>크롭한 조각을 목록으로 보여주고 순서 변경·이름 지정·삭제를 지원한다. 조각의 추가·삭제는 이 단계에서만 하며, 배치 화면(S3)에서는 조각을 지울 수 없다. 조각은 원본 이미지 출처를 유지한다.</t>
  </si>
  <si>
    <t>① 조각 목록 표시 ② 순서 변경 ③ 조각 추가·삭제 ④ 원본 출처 추적 가능</t>
  </si>
  <si>
    <t>[12월] 되돌림으로 S2에 재진입한 경우, 배치에 사용 중인 조각을 삭제하면 해당 배치와 텍스트 블록도 함께 제거됨을 사전에 경고한다. MVP는 전진 이동만 지원하므로 이 상황이 발생하지 않는다</t>
  </si>
  <si>
    <t>v2.1 · 조각 추가·삭제의 유일한 창구 · S3에서는 배치 해제만 가능</t>
  </si>
  <si>
    <t>★v2.5 변경 2 · 검증 파이프라인에 규제 분류 반영</t>
  </si>
  <si>
    <t>v3.0 삭제 — 크롭 조각 목록 삭제 — 크롭 축 소멸</t>
  </si>
  <si>
    <t>규제 사전 조회 키를 (target_country, regulatory_class)로 확장했다(F-TRN-03a). LLM 판정 프롬프트에는 규제 분류를 반드시 전달한다 — 누락 시 OTC 모노그래프 허용 문구가 화장품 기준으로 전부 위반 판정된다(F-TRN-03). 해당 분류 항목이 없으면 국가 공통(common) 계층으로 폴백하고 폴백 사실을 표시한다(기본안 — OI-47). S5 삭제 키워드 제안(F-TXT-05)도 분류 축으로 조회하며 선택·변경 시 갱신된다. 대체 표현 제안(F-TRN-03b, 12월)은 분류별 분기 — 화장품은 자유 제안, OTC는 모노그래프 허용 목록 내로 한정(21 CFR 333.350(b)).</t>
  </si>
  <si>
    <t>F-CRP-03</t>
  </si>
  <si>
    <t>크롭 개수 가이드</t>
  </si>
  <si>
    <t>선택한 채널의 권장 배치 개수를 안내한다. 개수를 강제 제한하지 않으며 권장을 초과해도 크롭은 허용한다.</t>
  </si>
  <si>
    <t>① 채널 권장 개수 표시 ② 초과 시 안내만 표시하고 차단하지 않음</t>
  </si>
  <si>
    <t>크롭 0개로 다음 단계 시도 시 차단</t>
  </si>
  <si>
    <t>v3.0 삭제 — 크롭 개수 가이드 삭제 — 크롭 축 소멸</t>
  </si>
  <si>
    <t>★v2.5 변경 3 · 규제 사전 마스터 신설 (F-TRN-07)</t>
  </si>
  <si>
    <t>규제 사전을 데이터 자산으로 정의했다. 용어집 마스터(F-TRN-06)와 나란한 F-TRN-07로 편입하고 F-CH-01과 동일 패턴을 적용한다 — P0 · should · X, 스키마·시드는 MVP부터 사용(PL-16·NFR-28), 편집 콘솔은 A-CFG-02(12월). 항목: 출발 표현·변형 표현·타겟 국가·규제 분류·판정 상태(규제/조건부/허용 — 기존 용어 체계로 통일)·대체 표현·사유·근거 출처 유형(FDA 공식 문서/Warning Letter/OTC 모노그래프)·근거 문서·조문·URL·확인일자. 근거 강도 필드는 척도 미정의로 제외하고 근거 출처 유형으로 갈음한다.</t>
  </si>
  <si>
    <t>F-CRP-01a</t>
  </si>
  <si>
    <t>★v2.5 변경 4 · 정책·연쇄 규칙 정합</t>
  </si>
  <si>
    <t>PL-18을 국가·언어·규제분류 독립 원칙으로 개정하고, PL-17의 「규제 사전은 국가만 따른다」를 「국가·규제 분류만 따른다」로 수정했다. 분류 변경은 국가 변경과 동일하게 번역·규제 검증만 재실행하며 규격·배치·인페인팅은 유지된다. 국가를 변경하면 분류 선택값은 무효화되어 재선택한다(분류 체계가 국가 종속 — F-LNG-01). 다른 국가 버전 생성(F-VER-01, 12월) 시에도 분류를 재선택한다.</t>
  </si>
  <si>
    <t>공통 뷰어</t>
  </si>
  <si>
    <t>N3·N5</t>
  </si>
  <si>
    <t>★초장축 원본 뷰어</t>
  </si>
  <si>
    <t>세로 수천~수만 px의 원본·결과물을 브라우저에서 스크롤·확대하며 탐색한다. 표시는 다운스케일 프리뷰를 쓰고 좌표는 원본 해상도 기준으로 기록한다. v3.0 용도: 섹션 확인(N3)의 원본·섹션 표시, 검수(N5)의 원본/결과 대조(9월은 슬라이더 겹쳐 보기, 12월은 상하 2단). 크롭 용도(v2.5)는 폐기. S2 실물 스모크 자산을 그대로 쓴다.</t>
  </si>
  <si>
    <t>① 10,000px 원본에서 스크롤이 끊기지 않음 ② 표시 배율과 원본 좌표가 분리됨 ③ ★N5에서 원본/결과를 슬라이더로 겹쳐 대조할 수 있음 — 두 이미지가 같은 섹션 집합·같은 높이이므로 좌표 매핑 없이 성립한다(제외 섹션은 양쪽 모두에서 빠짐, F-CFM-01) ④ 섹션 ID로 특정 위치에 이동할 수 있음(F-CFM-13·F-CFM-05 배지 점프)</t>
  </si>
  <si>
    <t>v2.5 변경 5 · 명명·번호 정리</t>
  </si>
  <si>
    <t>원본 로딩 실패 시 재시도 후 작업을 중단한다</t>
  </si>
  <si>
    <t>v1.5 신설 · 성능 리스크 · 9/1 4차 — 동기 스크롤 대신 슬라이더 겹쳐 보기로 확정. 제외 섹션을 N5에서 빼기로 하면서 원본·결과 높이가 같아져 스크롤 위치 매핑 문제 자체가 소멸</t>
  </si>
  <si>
    <t>이 축의 정식 명칭을 '제품 유형(product_type)'에서 '규제 분류(regulatory_class)'로 확정했다 — 이커머스 문맥에서 제품 유형은 카테고리로 오독되며, 이 축의 정체는 규제 사전을 결정하는 법적 분류이기 때문. 화면 라벨은 질문형(「이 제품은 미국에서 어떤 분류로 판매되나요?」)으로 별도 운용하며 문구는 03_화면정의서 S5에 둔다. 신설 이슈는 v2.4의 OI-45(부분 결과물 다운로드)에 이어 OI-46(복합 제품)·OI-47(폴백 정책)로 번호를 부여했다. 골든 샘플 기준에 선크림 계열(OTC) 1건 포함을 추가했다(OI-37).</t>
  </si>
  <si>
    <t>v3.0 수정 — 크롭 뷰어→섹션 확인·검수 공용 뷰어로 이동(삭제 아님) · v3.0 수정(4차) — 동기 스크롤 → 슬라이더 겹쳐 보기 · 섹션 ID 이동 추가</t>
  </si>
  <si>
    <t>F-PLC-01</t>
  </si>
  <si>
    <t>★모듈 캔버스 표시</t>
  </si>
  <si>
    <t>채널 규격에 따라 모듈(슬롯) 캔버스를 생성한다. 모듈 수·크기·비율은 채널 규격의 모듈 정의를 따른다.</t>
  </si>
  <si>
    <t>v3.0 수정 4차 (2026-09-01) — PM 확정 반영</t>
  </si>
  <si>
    <t>① 채널별 모듈 캔버스 자동 생성 ② 모듈 경계 시각 표시 ③ 규격 정보 상시 노출</t>
  </si>
  <si>
    <t>규격 조회 실패 시 기본 모듈로 생성하고 미검증 배지 표시</t>
  </si>
  <si>
    <t>F-CH-07 의존</t>
  </si>
  <si>
    <t>v3.0 삭제 — 배치 캔버스 삭제(변경안 §11)</t>
  </si>
  <si>
    <t>4-1 · 원본 언어 미탐지 확정</t>
  </si>
  <si>
    <t>업로드 시 원본 언어를 탐지하지 않는다. 출발어는 한국어 고정이며 비한국어 원본도 경고 없이 진행하고, OCR·번역 품질 책임은 셀러에게 있다(F-SRC-01, 화면정의서 N1). 폐기된 F-SRC-05를 되살리지 않는다.</t>
  </si>
  <si>
    <t>F-PLC-01a</t>
  </si>
  <si>
    <t>4-2 · 「다른 번역 보기」 개칭</t>
  </si>
  <si>
    <t>화면에 노출하는 말은 「다른 번역」, 명세·API·로그의 내부 용어는 「번역 후보」로 분리(F-TRN-08·F-CFM-11, 화면정의서 N5, PL-26, NFR-30, 용어집 신설 항목).</t>
  </si>
  <si>
    <t>★모듈 용도 구분</t>
  </si>
  <si>
    <t>썸네일용 모듈과 상세페이지용 모듈을 구분한다. 썸네일 중에서는 대표이미지와 부가이미지를 구분한다. 대표이미지 모듈은 F-CH-06의 텍스트 금지 규칙을 적용받는다.</t>
  </si>
  <si>
    <t>① 모듈이 용도별로 구분 표시됨 ② 대표이미지 모듈이 1개만 존재 ③ 용도가 F-NAV-07 탭과 연결됨</t>
  </si>
  <si>
    <t>대표이미지 모듈이 비어 있으면 완료로 간주하지 않는다</t>
  </si>
  <si>
    <t>v1.8 이월 · 대표/부가 구분은 썸네일 전용</t>
  </si>
  <si>
    <t>v3.0 삭제 — 모듈 용도 구분 삭제 — 썸네일 별도 작업 결정</t>
  </si>
  <si>
    <t>4-3 · 단위 용어 섹션 통일</t>
  </si>
  <si>
    <t>삭제되지 않은 기능·정책·용어집에 남아 있던 「조각」을 전수 섹션으로 교체(F-NAV-02·08, F-INP-01·01a·01b·01c·01e·02, F-BG-01, F-CFM-02a, F-LST-08·09, F-VER-03, F-JOB-04·05·06·07, PL-07, 용어집 9항목). 삭제 행·구버전 변경 이력·용어집의 폐기 개념 정의는 이력이므로 보존.</t>
  </si>
  <si>
    <t>F-PLC-02a</t>
  </si>
  <si>
    <t>★모듈 규격 맞춤 크롭창</t>
  </si>
  <si>
    <t>모듈의 가로·세로 폭에 맞는 크롭 프레임을 제공해 조각을 규격 비율로 잘라 넣을 수 있게 한다.</t>
  </si>
  <si>
    <t>4-4 · 검수 화면 경로별 구조 명시</t>
  </si>
  <si>
    <t>03_화면정의서 N5를 F-CFM-01 정의대로 재작성 — 9월은 상단 원본/제자리 렌더 + 하단 원문/1차 번역, 12월은 상단 원본/템플릿 렌더 + 하단 원문/2차 번역(1차 번역 접힘).</t>
  </si>
  <si>
    <t>① 모듈 비율에 맞는 프레임이 표시됨 ② 프레임 내부만 조각으로 확정됨</t>
  </si>
  <si>
    <t>v1.4 원문 유지 · F-PLC-02 분해</t>
  </si>
  <si>
    <t>v3.0 삭제 — 배치 캔버스 삭제</t>
  </si>
  <si>
    <t>4-5 · N1 비활성 규격 배지 삭제</t>
  </si>
  <si>
    <t>사이트별·커스텀 규격은 배지 없이 비활성 노출만 한다(F-CH-02·02b, 화면정의서 N1). 판정 티저(N3 채널 정책 배지)는 유지.</t>
  </si>
  <si>
    <t>F-PLC-02b</t>
  </si>
  <si>
    <t>★크롭 목록에서 모듈로 배치</t>
  </si>
  <si>
    <t>크롭 목록 패널(F-PLC-06)의 조각을 모듈로 드래그·드롭해 배치한다. 한 조각을 여러 모듈에 재사용할 수 있으며(조각:배치 1:N), 배치할 때마다 배치 기록이 하나씩 생긴다.</t>
  </si>
  <si>
    <t>① 드래그·드롭으로 배치됨 ② 같은 조각이 복수 모듈에 배치 가능 ③ 배치마다 배치 기록이 생성됨 ④ 배치 후에도 목록에 조각이 남음</t>
  </si>
  <si>
    <t>빈 영역에 드롭하면 배치되지 않고 원위치</t>
  </si>
  <si>
    <t>v2.1 · 목록 표시는 F-PLC-06으로 분리 · 드래그·드롭 동작만 담당</t>
  </si>
  <si>
    <t>4-6 · 잔여 구용어·집계 정리</t>
  </si>
  <si>
    <t>F-SRC-01 수용기준의 크롭 화면 참조 삭제 · 잔존 기능의 화면 열 구 S번호를 N번호로 일괄 교체(S1·S5→N1, S4·S6→N4, S7→N5, S8→N6 — S0 프로세스 바는 유효 ID로 유지) · MVP 완주 표현 S1→S8을 N1→N6으로(F-LST-08, PL 주석, 로드맵, OI-37). 집계 셀(전체·must·should·could·신설·수정·삭제)은 COUNTIF 수식이라 자동 반영된다. 잔존 158 / must 82 / should 66 / could 9 / won't 1 · v3.0 신설 28은 변동 없음.</t>
  </si>
  <si>
    <t>F-PLC-02c</t>
  </si>
  <si>
    <t>★조각 위치 이동</t>
  </si>
  <si>
    <t>배치된 조각을 모듈 내에서 이동한다.</t>
  </si>
  <si>
    <t>① 드래그로 위치가 변경됨 ② 모듈 경계 안에서만 이동 ③ [12월] 되돌림으로 S3에 재진입한 경우 이동 후 텍스트 좌표가 재계산됨</t>
  </si>
  <si>
    <t>모듈 경계를 넘으면 F-PLC-02h 규칙 적용 / MVP는 S3 시점에 텍스트 블록이 아직 생성되지 않았으므로 좌표 재계산이 발생하지 않는다</t>
  </si>
  <si>
    <t>v2.2 · 텍스트 좌표 재계산은 12월 조건(S4 이후 재진입 시)</t>
  </si>
  <si>
    <t>v2.2 수정 · v3.0 삭제 — 배치 캔버스 삭제</t>
  </si>
  <si>
    <t>4-7 · 인페인팅 결과 확인 지점 확정 (C안)</t>
  </si>
  <si>
    <t>N4가 자동 전환 처리 화면이 되어 인페인팅 경고 배지를 볼 지점이 사라진 문제를 C안으로 해소. ① F-CFM-05 신호 목록에 인페인팅 잔존율(처리 실패·품질 주의) 추가 — N5 응답 스키마에 실려야 하므로 9/7 N4·N5 명세 확정 전 반영 필요 ② 배지 클릭 시 상단 뷰어가 해당 섹션으로 이동(확대 비교 UI는 만들지 않음 — 뷰어의 기본 스크롤·확대로 대체) ③ F-INP-01e(마스크 조정) 진입점을 소멸한 우측 패널에서 N5 배지로 재정의하고 12월 범위임을 명시, 릴리스 로드맵에서도 삭제 행(에디터 자유도)에서 분리해 12월 살아있는 행으로 이동. 9월은 발견까지, 수정 수단(마스크 조정)은 12월 — A안으로의 확장은 배지에 상호작용을 얹는 것이라 데이터·API 변경 없음.</t>
  </si>
  <si>
    <t>F-PLC-02d</t>
  </si>
  <si>
    <t>4-8 · N5 레이아웃 확정 (좌우 2분할)</t>
  </si>
  <si>
    <t>★조각 크기 조절</t>
  </si>
  <si>
    <t>배치된 조각의 배율을 핸들로 조절한다. 여기서 정한 배율은 S4에서 텍스트 좌표를 모듈 좌표계로 변환할 때 그대로 곱해지므로(F-INP-02c), 조각을 축소해 배치하면 그 조각에서 추출될 텍스트도 같은 비율로 작게 생성된다. 폰트 크기의 개별 조절은 MVP 범위 밖이다(F-CFM-08).</t>
  </si>
  <si>
    <t>초장축은 폭보다 높이가 중요하므로 상단 뷰어+하단 표를 좌우 2분할로 전환 — 좌 뷰어(세로 전체) / 우 블록 표(섹션별 그룹 헤더). 9월은 원본↔결과를 나란히 놓지 않고 한 뷰에서 슬라이더로 겹쳐 본다(제자리 번역이라 레이아웃이 동일). 12월 규격 변경은 좌측을 상하 2단으로 — 위 템플릿 렌더(가로 970 모듈이 폭을 온전히 씀, 주역) / 아래 원본 세로(보조·기본 접힘). ★검수는 결과물에 포함되는 섹션만 다루며 제외 섹션은 좌·우 어디에도 표시하지 않는다(PM 확정 9/1) — 원본도 제외분을 뺀 스택 상태이므로 두 결과의 높이가 같아지고, 앞서 논의한 스크롤 위치 매핑(제외 구간 처리) 문제 자체가 소멸해 F-CRP-01a의 동기 스크롤이 슬라이더 겹쳐 보기로 대체됐다. 삭제 내역은 N3·content.csv·manifest로 계속 노출(F-SEC-05·NFR-31).</t>
  </si>
  <si>
    <t>① 핸들로 배율이 변경됨 ② 원본 비율이 유지됨 ③ 최소·최대 배율 제한이 적용됨 ④ S4 생성 시 텍스트가 이 배율로 변환됨</t>
  </si>
  <si>
    <t>배율이 낮아 텍스트가 최소 폰트 크기 미만이 될 것으로 예상되면 배치 시점에 경고하되 허용한다 / MVP는 S3 시점에 텍스트가 없으므로 실시간 폰트 크기 변화는 표시되지 않는다</t>
  </si>
  <si>
    <t>v2.2 · S3의 실시간 반응이 아니라 S4 좌표 변환 시 적용되는 배율 규칙임을 명시</t>
  </si>
  <si>
    <t>4-9 · 블록↔섹션 연동 선택 신설 (F-CFM-13, must)</t>
  </si>
  <si>
    <t>F-PLC-02e</t>
  </si>
  <si>
    <t>좌측 뷰어와 우측 표가 선택 상태 하나를 공유해 양방향 이동. 표 행 → 뷰어 이동·블록 하이라이트 / 섹션 → 표 그룹 스크롤. 우측 표는 섹션별 그룹 헤더로 묶는다. 인페인팅 배지 점프와 같은 상태를 쓰므로 추가 데이터·API 없음. 12월에는 같은 상태를 섹션↔모듈 하이라이트로 확장하되, 연결은 문자열 비교가 아니라 manifest의 origin_block_ids로 조회한다 — 2차 번역이 선별→압축으로 파생되어 문장이 잘리고 합쳐지므로 텍스트 매칭이 성립하지 않기 때문. 필드 자리는 9월 스키마 확정 시 함께 잡아 12월에 manifest를 다시 열지 않는다(F-EXP-03·F-TRN-10, OI-48 비고 갱신).</t>
  </si>
  <si>
    <t>조각 겹침 순서 및 배치 해제·복제</t>
  </si>
  <si>
    <t>배치된 조각의 앞뒤 순서를 바꾸고, 복제하거나 모듈에서 뺀다. 「배치에서 빼기」는 배치 기록만 지우고 조각 자체는 크롭 목록에 남겨 다시 배치할 수 있게 한다. [12월] 되돌림으로 S3에 재진입한 뒤 배치를 빼면, 그 배치에서 S4가 생성했던 텍스트 블록도 함께 삭제된다. 사용자가 F-TXT-08로 다른 모듈에 옮겨둔 블록도 출처가 같으면 함께 사라진다. MVP는 S3 시점에 텍스트 블록이 아직 없으므로 이 연쇄가 발생하지 않는다.</t>
  </si>
  <si>
    <t>① 앞으로·뒤로 이동 ② 복제 ③ 배치에서 빼기 — 조각은 크롭 목록에 남음 ④ [12월] 되돌림 후 빼기 시 그 배치의 텍스트 블록이 함께 삭제되고, 옮겨간 블록도 출처 기준으로 사라짐</t>
  </si>
  <si>
    <t>배치에서 빼기 전 조각 이름을 확인시킨다 / [12월] 사라지는 텍스트 블록 수를 함께 안내한다</t>
  </si>
  <si>
    <t>v2.3 · 텍스트 블록 연쇄 삭제가 12월 조건임을 명확화 · 조각 삭제는 S2 전용</t>
  </si>
  <si>
    <t>v2.3 수정 · v3.0 삭제 — 배치 캔버스 삭제</t>
  </si>
  <si>
    <t>4-10 · 중간 공유 하루 순연</t>
  </si>
  <si>
    <t>2026-09-30(수) → 2026-10-01(목). 실행계획 M3 구간(09/24~10/01, 근무일 3.0→4.0)·M4 시작(10/02, 22.0→21.0)·W6 일정·게이트 5 표기를 함께 갱신. 9/28 통합 완료(게이트 5)와 리허설은 날짜를 유지하므로 준비 시간이 하루 늘어난다.</t>
  </si>
  <si>
    <t>F-PLC-02f</t>
  </si>
  <si>
    <t>★모듈 추가·삭제·순서 변경</t>
  </si>
  <si>
    <t>모듈을 추가·삭제하고 출력 순서를 변경한다. 개수는 F-CH-08의 상한을 따른다.</t>
  </si>
  <si>
    <t>① 모듈 추가·삭제 ② 순서 변경이 출력 순서에 반영 ③ 상한 도달 시 추가 차단</t>
  </si>
  <si>
    <t>조각이 배치된 모듈 삭제 시 확인을 받는다</t>
  </si>
  <si>
    <t>F-PLC-02 분해</t>
  </si>
  <si>
    <t>F-PLC-02g</t>
  </si>
  <si>
    <t>정렬 보조</t>
  </si>
  <si>
    <t>스냅, 정렬 가이드, 캔버스 확대·축소·팬을 제공한다.</t>
  </si>
  <si>
    <t>v3.0 수정 5차 (2026-09-01) — N5 검수 · 조판 · 산출물</t>
  </si>
  <si>
    <t>① 인접 조각·모듈 경계에 스냅 ② 확대·축소·팬 동작</t>
  </si>
  <si>
    <t>5-1 · 조판 조정에서 줄 추가·자간 삭제</t>
  </si>
  <si>
    <t>F-PLC-02h</t>
  </si>
  <si>
    <t>★조각 모듈 경계 초과 처리</t>
  </si>
  <si>
    <t>9월 경로의 조판 조정을 폰트 축소(−10% 상한)와 줄바꿈 위치로 한정. 줄을 늘리면 원본 좌표 절대 배치(F-INP-03)와 슬라이더 대조 전제(F-CRP-01a ③ 같은 높이)가 양립하지 않는다. 폰트 하한으로도 안 들어가면 넘치게 두고 경고 — 잘라내면 규제 단서 조항이 먼저 사라져 우리가 만든 위반이 된다. 폰트 하한의 절대값 전환은 V4 실측 후로 예고만(−10%는 잠정 유지 — 하한 값이 없는 채로 상한을 지우면 F-TRN-04 수용기준 ③이 검증 불가가 되고, 24px은 아마존 A+ 기준이라 9월 원본 규격에 적용할 근거가 없다).</t>
  </si>
  <si>
    <t>조각이 모듈 경계를 넘으면 경고를 표시한 뒤 모듈 바깥 영역을 잘라서 보여준다. 잘린 영역에 포함된 텍스트 블록은 경고 대상에 함께 표시한다.</t>
  </si>
  <si>
    <t>① 경계 초과 시 경고 표시 ② 바깥 영역이 잘려 렌더링됨 ③ [12월] 되돌림으로 S3 재진입 시 잘린 텍스트 블록 수가 함께 표시됨</t>
  </si>
  <si>
    <t>MVP는 S3 시점에 텍스트 블록이 없으므로 잘린 블록 수를 계산할 수 없다. 조각 영역 기준으로만 경고한다</t>
  </si>
  <si>
    <t>v2.2 · 잘린 텍스트 블록 수 표시는 12월 조건</t>
  </si>
  <si>
    <t>5-2 · 폴백 ⑥ — 폭 초과 번역 제시</t>
  </si>
  <si>
    <t>통과 후보가 0개일 때 빈칸을 주던 것을 폭 초과·규제 통과 후보 제시로 개정(F-TRN-08 ⑥·F-CFM-11). 규제 위반 후보는 응답에 싣지 않고 폐기. 초과량은 상대 표시만. 이미 생성·측정한 데이터라 추가 호출·렌더 없음. N5 응답에 초과 사유 필드 필요(9/7 명세 확정 전). 실행계획 3단계 축소안의 "후보 선택 UI 제외"에서 이 폴백은 제외 대상이 아니다.</t>
  </si>
  <si>
    <t>F-PLC-02i</t>
  </si>
  <si>
    <t>조각 모듈 간 이동</t>
  </si>
  <si>
    <t>배치된 조각을 다른 모듈로 옮긴다. 배치 기록의 모듈만 바뀌고 위치는 대상 모듈 원점 기준으로 재계산한다. 이동 시 그 배치의 텍스트 블록도 함께 따라가되, 사용자가 F-TXT-08로 이미 다른 모듈에 옮겨둔 블록은 그 자리에 남는다. 이동 직전 블록의 표시 모듈이 배치의 모듈과 같은지로 판정한다. MVP에서는 「배치에서 빼기」 후 원하는 모듈에 다시 놓는 방식으로 대체한다.</t>
  </si>
  <si>
    <t>① 다른 모듈로 드래그 이동 ② 좌표가 대상 모듈 기준으로 재계산 ③ 기본 상태의 텍스트 블록은 따라감 ④ 사용자가 옮겨둔 블록은 그 자리에 남음</t>
  </si>
  <si>
    <t>대상 모듈이 상한에 도달했으면 이동을 막는다</t>
  </si>
  <si>
    <t>v2.3 신설 · DB는 placements.module_id 변경만으로 지원(추가 컬럼 없음) · 모듈 간 드래그 UI 비용으로 12월</t>
  </si>
  <si>
    <t>5-3 · 12월 후보 생성 · 용어</t>
  </si>
  <si>
    <t>신설 · v3.0 삭제 — 배치 캔버스 삭제</t>
  </si>
  <si>
    <t>F-TRN-10에 슬롯별 후보 생성 추가 — 화면정의서 N5의 [다른 번역 보기]가 12월에 채울 데이터가 없던 모순 해소. 빈 슬롯에는 1차 번역을 후보로 제시. "선별 탈락" 용어 금지, 미사용 문장은 N5 미표시(F-SEC-05가 요구하는 것은 판정으로 뺀 것이지 용량으로 담지 못한 것이 아니다).</t>
  </si>
  <si>
    <t>F-PLC-03</t>
  </si>
  <si>
    <t>5-4 · F-CFM-14 신설 — 검수 중 섹션 제외 (must)</t>
  </si>
  <si>
    <t>인페인팅 실패 섹션 하나 때문에 작업 전체를 버려야 하던 문제의 9월 해법. 제외해도 사라지지 않고 회색 오버레이 + [되돌리기]로 자리에 남는다 — 높이가 변하지 않아 슬라이더가 유지되고 검수 중 재렌더가 발생하지 않으며(스택은 N6 최종 렌더에서만), 사유 코드도 user_manual 재사용이라 스키마 변경이 없다. N3 제외는 여전히 N5에 표시하지 않는다 — "이 화면에서 한 일은 이 화면에서 되돌린다".</t>
  </si>
  <si>
    <t>★AI 초안 생성 (전체 재생성)</t>
  </si>
  <si>
    <t>AI가 전체 레이아웃 초안을 생성한다. 사용자가 이미 배치한 요소는 고려하지 않고 처음부터 새로 배치한다. 사용자 배치를 고정한 채 나머지만 재배치하는 방식은 채택하지 않는다.</t>
  </si>
  <si>
    <t>① 초안이 전체 레이아웃을 생성 ② 기존 사용자 배치를 참조하지 않음 ③ 여러 번 실행 가능</t>
  </si>
  <si>
    <t>생성 실패 시 기존 배치를 그대로 유지하고 오류만 표시</t>
  </si>
  <si>
    <t>기각안: 사용자 배치 고정형 재배치 — 삭제한 요소가 되살아나는 문제. PL-12</t>
  </si>
  <si>
    <t>v3.0 삭제 — AI 초안 축 삭제 — 배치 개념 소멸</t>
  </si>
  <si>
    <t>5-5 · F-JOB-08 신설 — 처리 중단 및 복귀 (must)</t>
  </si>
  <si>
    <t>F-PLC-04</t>
  </si>
  <si>
    <t>구 F-JOB-07의 "처리 중 취소 = 작업 전체 취소"를 분리. N2 중단은 N1로, N4 중단은 N3으로 복귀하며 작업은 남는다. [X] 작업 취소는 S0 프로세스 바에 전 화면 고정(N1은 「보관함으로 나가기」 + 미저장 확인 모달). 9월 MVP의 후퇴 수단이 [X] 전체 취소뿐이던 문제를 F-CFM-14와 함께 해소.</t>
  </si>
  <si>
    <t>★AI 초안 수락 / 수정 / 폐기</t>
  </si>
  <si>
    <t>생성된 초안을 수락하거나, 수락 후 수정하거나, 폐기하고 이전 상태로 되돌릴 수 있다. AI 초안 생성을 건너뛰고 수동으로만 작업해도 된다.</t>
  </si>
  <si>
    <t>① 수락 시 캔버스 반영 ② 폐기 시 직전 상태 복원 ③ 수락 후에도 개별 수정 가능 ④ 초안 미생성 경로 지원</t>
  </si>
  <si>
    <t>폐기 시 복원 실패하면 초안을 유지하고 사용자에게 알림</t>
  </si>
  <si>
    <t>v3.0 삭제 — AI 초안 축 삭제</t>
  </si>
  <si>
    <t>5-6 · F-CFM-03 실행 취소 — MVP 무동작 (PM 확정 9/1)</t>
  </si>
  <si>
    <t>must→should. 버튼은 N5에 노출하되 동작하지 않고 툴팁으로 12월 기능임을 안내한다(F-NAV-01 프로세스 바와 같은 방식) — 화면 버튼 구성을 지금 확정해 12월에 다시 짜지 않기 위함. NFR-09도 12월 적용으로 한정.</t>
  </si>
  <si>
    <t>F-PLC-05</t>
  </si>
  <si>
    <t>★AI 초안의 조각 선별 규칙</t>
  </si>
  <si>
    <t>AI 초안은 크롭 조각 전부를 쓰지 않고 채널 권장 개수만큼 선별해 배치한다. 선별 개수는 설정값으로 두어 테스트 결과에 따라 조정할 수 있게 한다.</t>
  </si>
  <si>
    <t>① 권장 개수만큼 선별 ② 선별 개수 설정값 변경 가능 ③ 미선별 조각은 배치되지 않은 상태로 크롭 목록에 남음</t>
  </si>
  <si>
    <t>크롭 조각이 권장 개수보다 적으면 전부 사용</t>
  </si>
  <si>
    <t>v2.1 · '보관함 유지' 표현 정정 · 12월 범위</t>
  </si>
  <si>
    <t>5-7 · content.csv 경로별 행 단위</t>
  </si>
  <si>
    <t>규격 그대로는 행=텍스트 블록·trans_1, 규격 변경(A+)은 행=모듈 슬롯·trans_2+origin_block_ids. A+ CSV는 셀러가 아마존 폼에 입력할 값이라 슬롯 단위가 아니면 쓸 수 없다. 규격 변경 경로에서 제외 섹션이 어느 슬롯에도 안 들어가 행이 사라지므로, 슬롯 행 아래에 제외 섹션 행 그룹을 붙여 NFR-31(content.csv·manifest 양쪽 누락 0건)을 충족한다.</t>
  </si>
  <si>
    <t>F-PLC-06</t>
  </si>
  <si>
    <t>★크롭 목록 패널</t>
  </si>
  <si>
    <t>S2에서 만든 조각 전체를 배치 화면 좌측 패널에 목록으로 표시한다. 배치 여부와 무관하게 모든 조각이 항상 보이며, 조각을 여러 모듈에 재사용할 수 있으므로 배치했다고 목록에서 사라지지 않는다. 각 조각에 현재 배치 횟수를 표시해 어떤 조각을 아직 쓰지 않았는지 알 수 있게 한다. 배치 횟수는 별도 상태 값을 저장하지 않고 배치 기록에서 집계한다.</t>
  </si>
  <si>
    <t>5-8 · F-EXP-07 신설 — baked 산출물 (should·12월)</t>
  </si>
  <si>
    <t>① S2에서 만든 조각 전체가 목록에 표시됨 ② 배치해도 목록에 남음 ③ 조각별 배치 횟수가 표시됨 ④ 목록에서 모듈로 끌어다 놓을 수 있음</t>
  </si>
  <si>
    <t>조각이 0개면 배치 화면 진입을 차단하고 S2로 안내한다</t>
  </si>
  <si>
    <t>텍스트가 구워진 모듈 이미지를 산출물 구성요소로 추가. 확인용이 아니라 셀러가 고르는 결과물이며 분리형과 함께 제공된다. 아마존 이미지 슬롯 규격에 정확히 맞춰 렌더하고, 텍스트 필드가 이미지 밖인 모듈 모양도 단일 슬롯 안에 조판해 만든다. 템플릿 슬롯을 아마존 글자수 상한이 들어가는 크기로 설계해야 분리형과 같은 2차 번역을 공유한다(F-CH-07). 모바일 축소·스크린리더 미인식·아마존 정책은 선택 시 고지(단정 금지).</t>
  </si>
  <si>
    <t>v2.1 · '미사용 조각 보관함'에서 개명·재정의 · 조각 재사용(F-PLC-02b)과 정합 · placement_count는 파생 집계(is_unused 컬럼 폐기)</t>
  </si>
  <si>
    <t>v3.0 삭제 — 크롭 목록 패널 삭제</t>
  </si>
  <si>
    <t>F-PLC-07</t>
  </si>
  <si>
    <t>인증 뱃지 배치</t>
  </si>
  <si>
    <t>S1에서 업로드한 인증 뱃지를 모듈에 배치한다. 위치는 사용자가 수동으로 지정한다. AI 초안 생성 시 업로드된 뱃지는 전부 포함한다.</t>
  </si>
  <si>
    <t>5-9 · 결과물 분할 규칙</t>
  </si>
  <si>
    <t>섹션 분해를 원본 1장 단위로 명시(F-SEC-01)해 파일 경계에 걸친 섹션이 생기지 않게 하고, 결과물은 원본 업로드 단위를 유지해 분할한다. 검수(N5)는 통짜, 분할은 N6, 순서는 렌더 → 분할 → 규격 검증(용량은 파일당 기준이라 통짜로 재면 항상 위반).</t>
  </si>
  <si>
    <t>① 수동 배치 ② AI 초안에서 업로드 뱃지 전부 포함 ③ 개별 삭제 가능</t>
  </si>
  <si>
    <t>업로드된 뱃지가 없으면 영역을 숨김 / S1로 되돌아가 뱃지를 삭제하면 배치에서도 제거</t>
  </si>
  <si>
    <t>F-SRC-08이 공급원. PL-09</t>
  </si>
  <si>
    <t>v3.0 삭제 — 뱃지 배치 삭제 — 삽입 지점(배치 캔버스) 소멸. 업로드(F-SRC-08)는 12월 이월</t>
  </si>
  <si>
    <t>F-PLC-08</t>
  </si>
  <si>
    <t>5-10 · 9월 규격 검증 기준 · NFR-12 한정</t>
  </si>
  <si>
    <t>★뱃지 흰 배경 토글</t>
  </si>
  <si>
    <t>9월 원본 규격용 최소 channel_spec을 두고 포맷·색공간만 검증, 용량은 미검사(OI-53 신설) — 근거 없는 기준값을 만들지 않는다. NFR-12는 적용 범위를 우리가 렌더하는 산출물(제자리 렌더·baked·html·psd)로 한정하고, 아마존이 그리는 12월 분리형은 요구사항이 아니라 셀러 고지 대상으로 옮긴다.</t>
  </si>
  <si>
    <t>뱃지 삽입 시 뒤에 흰 배경을 넣을지 여부를 사용자가 토글한다.</t>
  </si>
  <si>
    <t>① 흰 배경 유무 토글 ② 즉시 미리보기 반영 ③ 뱃지별 개별 설정</t>
  </si>
  <si>
    <t>투명 배경이 아닌 뱃지는 토글 효과가 제한됨을 안내</t>
  </si>
  <si>
    <t>PL-09</t>
  </si>
  <si>
    <t>v3.0 삭제 — 뱃지 흰 배경 토글 삭제 — F-PLC-07과 동반</t>
  </si>
  <si>
    <t>5-11 · F-CFM-13 확장 · 12월 표 그룹</t>
  </si>
  <si>
    <t>F-PLC-09</t>
  </si>
  <si>
    <t>좌측 뷰어의 블록 클릭 → 우측 표 셀 포커스 추가(인라인 편집은 두지 않으며 근거는 PL-26·F-CFM-02의 기존 정책을 유지). 겹치는 bbox는 최소 우선, 12월 모듈 슬롯 클릭은 전부 하이라이트+첫 행 포커스. 우측 표 그룹 헤더는 9월 섹션별·12월 모듈별.</t>
  </si>
  <si>
    <t>배치 완료 및 다음 단계</t>
  </si>
  <si>
    <t>배치를 확정하면 S4 인페인팅·배경 가공·텍스트 추출이 시작된다.</t>
  </si>
  <si>
    <t>① 빈 모듈이 있으면 경고 ② 확정 시 S4 처리 실행</t>
  </si>
  <si>
    <t>모든 모듈이 비어 있으면 진행 차단</t>
  </si>
  <si>
    <t>v3.0 삭제 — 배치 확정 단계 삭제</t>
  </si>
  <si>
    <t>5-12 · 12월 준비 항목</t>
  </si>
  <si>
    <t>field_type→A+ 슬롯 타입 변환 규칙을 Rule Engine에 정의(F-CH-10) · module_spec 시드 신설(F-CH-07 — 모듈명·슬롯 규격·필드 종류·글자수 상한·baked 가능 여부·출처 URL·확인일자, 12월 W9 착수 전 필수) · A+ 글자수 초과 경고 문구 강화는 module_spec 확정 후로 연기(미확인 값을 근거로 단정하지 않는다).</t>
  </si>
  <si>
    <t>F-INP-01</t>
  </si>
  <si>
    <t>N4 인페인팅</t>
  </si>
  <si>
    <t>처리</t>
  </si>
  <si>
    <t>★원본 텍스트 제거 (인페인팅)</t>
  </si>
  <si>
    <t>포함 버킷 섹션에 한해 원본 텍스트를 제거하고 배경을 복원한다. 제외 섹션은 처리하지 않는다. 처리 방식: 단색·그라디언트 배경은 배경색 채우기, 사진 위 텍스트는 LaMa(V1 실측으로 품질·속도 확정 필요). 결과는 섹션 단위로 캐시한다(F-INP-01c). 인페인팅은 마스크(bbox)만 필요하고 번역문과 무관하므로 1차 번역·규제 검증과 병렬 수행한다(변경안 §1 A-2).</t>
  </si>
  <si>
    <t>① 포함 섹션만 처리됨 ② 텍스트 잔존율이 기준 이내 ③ 단색 배경은 배경색 채우기, 사진 배경은 LaMa로 분기됨 ④ 번역과 병렬 수행됨</t>
  </si>
  <si>
    <t>실패한 섹션은 원본 상태로 두고 해당 섹션만 재시도 대상으로 표시</t>
  </si>
  <si>
    <t>F-JOB-06 연계</t>
  </si>
  <si>
    <t>v2.4 수정 · 배경 유형 분기 폐지 — 단일 경로 확정 · v3.0 수정 — 자체 처리 확정(단색=채우기/사진=LaMa) · 병렬 명시 · 대상을 조각→섹션으로</t>
  </si>
  <si>
    <t>v3.0 수정 6차 (2026-09-01) — 텍스트 블록 단위 정리</t>
  </si>
  <si>
    <t>F-INP-01a</t>
  </si>
  <si>
    <t>6-1 · 선별 단위를 블록(문단)으로 확정</t>
  </si>
  <si>
    <t>F-INP-02a는 "텍스트 블록 1건 = 문단 1개"인데 F-TRN-10·F-CH-10·OI-48·용어집의 산문은 선별을 "문장" 단위로 서술해 어긋나 있었다(변경안 §3-3의 표현이 블록 정의 확정 전에 쓰인 잔재). 선별 = 블록 단위(블록을 쪼개 여러 슬롯에 담지 않음), 압축 = 선별한 블록 안에서 문장 단위로 확정하고 네 곳의 용어를 통일했다. 이로써 origin_block_ids가 출처를 완전히 표현하므로 스키마를 열 이유가 없고, 별도 문장 계층(콘텐츠 4층)은 도입하지 않는다 — 문장에는 직사각형 bbox가 없어 폭 제약이 성립하지 않고, 규제 검증이 문장으로 내려가면 F-TRN-08의 "통과 후보"가 이진성을 잃으며, 번역이 문장 수를 보존하지 않아 검수 표 행 대응이 깨진다. 미사용 블록을 화면에 표시하지 않기로 한 결정(5차 16번)과도 짝이 맞는다 — 보여주지 않을 것을 추적할 이유가 없다.</t>
  </si>
  <si>
    <t>★텍스트 영역 검출 및 마스크 생성</t>
  </si>
  <si>
    <t>ㅣㅂ</t>
  </si>
  <si>
    <t>① 마스크가 섹션과 동일 해상도의 이진 마스크 이미지로 저장됨 ② 글자 테두리가 마스크에 포함됨 ③ 인접 텍스트 영역이 병합됨 ④ 마스크가 섹션 단위로 저장됨</t>
  </si>
  <si>
    <t>6-2 · 남긴 것</t>
  </si>
  <si>
    <t>검출 실패 영역은 사용자에게 수동 지정을 요청한다 / 섹션 전체에서 텍스트를 하나도 찾지 못한 경우, 섹션 크기의 빈 텍스트 블록 1개를 자동 생성해 검수(N5)에서 직접 입력할 수 있게 한다</t>
  </si>
  <si>
    <t>v2.2 · 검출 0건 시 빈 블록 자동 생성 · OI-26 핵심 변수</t>
  </si>
  <si>
    <t>규제 검출 해상도(F-TRN-03a 수용 ②가 "블록 단위")는 선별 단위와 무관한 별건이므로 이번에 손대지 않았다. V7(9/3, 초장축 OCR 실측)에 "문단당 문장 수 분포"를 측정 항목으로 얹어, 1~2문장이 대부분이면 종결하고 3문장 이상이 흔하면 금지표현 매칭 offset을 화면 표시까지 올릴지 그때 판단한다. OI-48은 단위만 좁혀졌을 뿐 로직은 미해결로 유지.</t>
  </si>
  <si>
    <t>v2.4 수정 · 마스크 형식 확정(이진 마스크 이미지 · 사각형 제한 없음) · v3.0 수정(4차) — 단위 조각→섹션 · 입력 지점 S5→N5</t>
  </si>
  <si>
    <t>★인페인팅 결과 검증</t>
  </si>
  <si>
    <t>인페인팅 결과에 텍스트가 남았는지 검사한다. 재검출로 잔존 픽셀 비율을 산출하고 기준 초과 시 마스크 팽창 폭을 단계적으로 키워 재시도한다. 재시도 상한에 도달하면 자동 재시도를 멈추고 마지막 결과를 그대로 표시하며 경고 배지를 단다. 배지는 두 종류다 — 처리 실패(상한 도달, 원본 텍스트 잔존)와 품질 주의(기준은 통과했으나 잔존율이 임계 근처).</t>
  </si>
  <si>
    <t>① 잔존율이 수치로 산출됨 ② 기준 초과 시 마스크를 넓혀 자동 재시도 ③ 상한 도달 시 마지막 결과를 표시하고 처리 실패 배지 ④ 임계 근처 통과분에 품질 주의 배지 ⑤ 배지가 N5 검수 좌측 뷰어 결과의 해당 섹션 위에 표시됨(F-CFM-05) ⑥ 배지를 누르면 그 섹션 위치로 뷰어가 이동함</t>
  </si>
  <si>
    <t>실패 섹션을 숨기지 않는다. 인페인팅 실패는 원본 텍스트가 남은 상태이므로 그대로 보여야 사용자가 상황을 이해할 수 있다. 배지가 노출되는 지점은 검수(N5)다 — N4는 완료 시 자동 전환되는 처리 화면이라 머무를 수 없으므로, 잔존율 신호를 F-CFM-05에 실어 N5 좌측 뷰어 결과의 해당 섹션 위에 표시한다. 사용자 재시도 버튼은 제공하지 않는다 — 시스템이 마스크를 넓혀가며 상한까지 이미 시도한 뒤이므로 같은 버튼으로 더 시도할 조건이 남아 있지 않기 때문이며, 조건을 바꾸는 재실행은 F-INP-01e(12월)로 제공한다. 실패 시 별도의 선택 다이얼로그를 띄우지 않는다 — 9월에는 배지로 사실을 알리는 것까지가 범위이고(원본/결과 확대 비교는 뷰어의 기본 스크롤·확대로 대신한다), 결과를 받아들일 수 없으면 해당 섹션을 검수에서 제외하거나(F-CFM-14 — 회색 처리·되돌리기 가능) [X]로 작업 전체를 취소한다(F-JOB-07 · 12월에는 되돌림·마스크 조정이 추가된다)</t>
  </si>
  <si>
    <t>v2.3 · 배지 2종 · 인페인팅 한정 재시도 버튼 미제공(번역·렌더링은 F-JOB-06에서 허용)</t>
  </si>
  <si>
    <t>v2.4 수정 · 재시도 = 마스크 팽창 명시 · 버튼 미제공 근거를 조건 소진으로 수정(모델 비종속) · 「선택지」 문구 정리 · v3.0 수정(4차) — 단위 조각→섹션 · v3.0 수정(4차) — 배지 표시 지점을 우측 패널(소멸)→N5 검수로 이관, F-CFM-05 신호로 연결</t>
  </si>
  <si>
    <t>v3.0 수정 7차 (2026-09-01) — 산출물 배포 범위</t>
  </si>
  <si>
    <t>F-INP-01c</t>
  </si>
  <si>
    <t>★섹션 단위 결과 캐시</t>
  </si>
  <si>
    <t>인페인팅 결과·마스크·OCR 원본(줄 단위 텍스트·bbox·순서)·스타일 속성을 섹션 ID를 키로 저장한다. 섹션 되살리기·제외가 반복돼도 재실행하지 않는다. 다른 규격 버전 생성(F-VER-02) 시 재사용한다 — 무거운 것(OCR·인페인팅·규제 검증)이 전부 재사용 쪽에 있어 두 번째 규격이 훨씬 빠르게 나온다(변경안 §5). OCR 원본은 원본당 1회만 추출하며 재추출 경로를 두지 않는다. 마스크 조정 재실행(F-INP-01e)은 인페인팅 결과만 갱신하며 OCR 캐시와 텍스트 블록은 보존한다.</t>
  </si>
  <si>
    <t>① 섹션 되살리기/제외 반복 시 재실행되지 않음 ② 다른 규격 버전에서 재사용됨 ③ 마스크 조정 재실행 후 OCR 캐시·텍스트 블록이 유지됨</t>
  </si>
  <si>
    <t>작업이 삭제되면 캐시도 함께 삭제한다. 재분해로 섹션 경계가 달라지면 해당 섹션의 캐시를 무효화하고 재처리한다</t>
  </si>
  <si>
    <t>v2.2 · OCR 원본 캐시 포함 · 3층 구조의 최상위 층 · 직전 결과 보관은 F-INP-01e 전제(01d는 v2.4 폐기)</t>
  </si>
  <si>
    <t>v2.4 수정 · OCR 1회 원칙 · 마스크 재실행과 OCR 분리 · v3.0 수정 — 캐시 단위 조각→섹션, 모듈·배치 종속 문구 제거 · v3.0 수정(4차) — 예외 처리의 조각·크롭 종속 문구를 섹션 기준으로 교체</t>
  </si>
  <si>
    <t>7-1 · manifest.json을 셀러 배포 대상에서 제외</t>
  </si>
  <si>
    <t>최종 산출물은 셀러에게 가는 것이라는 기준으로 export.zip과 보관함 다운로드 목록에서 manifest.json을 뺐다(구성요소 선택지로도 두지 않는다 — 아무도 켤 이유가 없는 선택지는 노이즈). 셀러가 열어도 의미가 없고, 고쳐서 되돌릴 경로가 없으며(F-EXP-05는 content.csv 재업로드만), 서비스 밖 재생성도 불가능하다(Rule Engine·템플릿·폰트 매핑·인페인팅 배경이 모두 서비스 안, 배경 자산 패키징은 OI-29 미해결). manifest 자체는 그대로 생성·보관하며 F-EXP-03은 must를 유지한다 — PL-21 3층의 산출물 층이자 F-CH-10·F-VER-01·02·F-CFM-13의 근거이고, 생성 확인은 서버에서 한다. 대분류는 산출물 내보내기로 유지했다(N6에서 export와 함께 생성되는 형제이므로).</t>
  </si>
  <si>
    <t>마스크 조정 후 재실행</t>
  </si>
  <si>
    <t>[12월] 검수(N5) 좌측 뷰어에서 인페인팅 경고 배지(F-INP-01b·F-CFM-05)를 누르면 열리는 [마스크 조정]으로 진입한다. 인페인팅에 실제 사용된 마지막 마스크(자동 재시도로 팽창된 경우 그 마스크)를 브러시로 넓히거나 좁힌 뒤 해당 섹션만 재실행한다. 재실행은 인페인팅만 수행하며 OCR 캐시와 텍스트 블록은 보존한다(F-INP-01c). 마스크 변경으로 화면과 텍스트 블록이 어긋나는 경우 — 새로 지운 자리에 대응 원문이 없거나, 마스크에서 제외해 살려낸 원본 글자 위에 블록이 겹치는 경우 — 블록의 자동 생성·삭제는 하지 않으며 사용자가 검수 표(N5)에서 해당 블록의 번역문을 수정하거나 비워서 대응한다(블록 추가·삭제 UI는 v3.0에 없음 — F-CFM-02). 처음부터 영역을 그리는 것이 아니라 자동 결과를 보정하는 방식이다. 글자 테두리가 남으면 넓히고, 제품이 함께 지워지면 좁히며, 지우면 안 되는 로고는 마스크에서 제외한다. 실패·성공을 구분하지 않고 모든 섹션에 제공한다 — 잔존율 기준을 통과했더라도 사용자 눈에 거슬리는 경우가 있기 때문이다.</t>
  </si>
  <si>
    <t>① N5 좌측 뷰어의 인페인팅 배지 → [마스크 조정]으로 편집 모드 진입 ② 마지막 사용 마스크가 섹션 위에 표시됨 ③ 브러시로 가감 가능 ④ 저장 시 해당 섹션만 인페인팅 재실행됨 ⑤ 재실행 후 OCR 캐시·텍스트 블록이 보존됨 ⑥ 모든 섹션에서 사용 가능</t>
  </si>
  <si>
    <t>마스크가 섹션 전체를 덮으면 경고한다 / 재실행 중 오류가 나면 직전 결과를 유지한다</t>
  </si>
  <si>
    <t>v2.3 신설 · v2.4 · 01d 폐기로 유일한 재인페인팅 수단 · 마스크 오버레이 표시도 12월(MVP 미제공) · 12월 우선순위 높음 · 9/1 4차 — 진입 지점을 우측 패널(v3.0에서 소멸)에서 N5 경고 배지로 재정의</t>
  </si>
  <si>
    <t>v2.4 수정 · v3.0 수정 — 어긋남 수습 경로를 검수 표로 변경 · v3.0 수정(4차) — 단위 조각→섹션 · v3.0 수정(4차) — 진입점 우측 패널→N5 배지 · 12월 범위 명시</t>
  </si>
  <si>
    <t>7-2 · 항목별 개별 다운로드 (should·9월)</t>
  </si>
  <si>
    <t>N6 저장 화면에 두 경로를 둔다 — 체크한 항목을 묶는 [선택 항목 export.zip 다운로드]와, 각 행의 [↓]로 체크와 무관하게 그것만 즉시 받는 개별 다운로드. 단일 파일 항목(content.csv·html·psd)은 파일 그대로, 복수 파일 항목(images/·baked/)은 그 항목만 묶은 zip. 생성 실패·12월 비활성 항목의 버튼은 비활성. 항목 목록이 곧 "셀러에게 주는 것"의 정의가 되어 manifest 제외가 화면으로 드러난다. F-LST-06(보관함, 12월)에도 같은 방식으로 구현하도록 비고를 남겼다.</t>
  </si>
  <si>
    <t>★텍스트 및 스타일 추출</t>
  </si>
  <si>
    <t>섹션 내 텍스트와 시각 속성을 추출한다. 텍스트 인식은 원본 해상도에서 수행한다. 스타일 추출은 자체 구현한다(Codia 미채택의 대가 — F-STY-01~05): 색·크기·정렬·굵기를 추정하고 폰트 패밀리는 식별을 포기하고 역할 기반 매핑으로 대체한다.</t>
  </si>
  <si>
    <t>① 텍스트가 원문 그대로 인식됨 ② 색·크기·정렬·굵기가 F-STY 정의대로 추정됨 ③ 원본 해상도 기준으로 처리됨</t>
  </si>
  <si>
    <t>인식 신뢰도가 낮은 블록은 표시하고 사용자 확인을 요청한다. 글자를 읽지 못한 블록은 빈 상태로 두어 검수(N5)에서 직접 입력하게 한다. 섹션 전체에서 텍스트를 찾지 못한 경우 섹션 크기의 빈 블록 1개가 자동 생성된다(F-INP-01a)</t>
  </si>
  <si>
    <t>7-3 · 삭제 내역 증빙의 단독 담당</t>
  </si>
  <si>
    <t>v2.2 · 추출 실패 두 케이스(영역은 있음 / 영역 없음) 구분</t>
  </si>
  <si>
    <t>manifest가 배포에서 빠지면서 셀러 쪽 삭제 내역 증빙은 content.csv가 단독으로 담당한다(F-SEC-05·NFR-31에 역할 구분 명시). 다만 F-SEC-05가 화면에 요구하는 5개 항목 중 "근거(조문)"를 CSV의 verdict_basis가 어느 수준으로 담는지(전문/요약/조문 식별자+링크)는 정의되어 있지 않다 — 9/7 content.csv 스키마 확정 시 함께 정한다.</t>
  </si>
  <si>
    <t>v2.4 수정 · 배경 유형 판정 삭제(단일 경로 확정에 따름) · v3.0 수정 — 스타일 추출 자체 구현(F-STY-01~05) 연결 · v3.0 수정(4차) — 단위 조각→섹션 · 입력 지점 S5→N5</t>
  </si>
  <si>
    <t>F-INP-02a</t>
  </si>
  <si>
    <t>★줄·문단 병합</t>
  </si>
  <si>
    <t>인식 결과는 줄 단위로 나오므로 문단 단위로 병합해 번역 단위를 만든다. 줄 간격·들여쓰기·문장 종결을 근거로 판단한다. 텍스트 블록 1건이 문단 1개이며, 그 문단을 구성한 줄 목록(원문·bbox·순서)은 source_lines에 보관한다 — 줄 단위 위치 정보를 보존하고 12월 편집 기능 확장에 대비하기 위함이며 백엔드 스키마는 기존과 동일하다.</t>
  </si>
  <si>
    <t>① 이어지는 줄이 한 문단으로 병합됨 ② 병합 결과가 번역 단위가 됨 ③ 줄 목록(source_lines)이 블록에 보관됨</t>
  </si>
  <si>
    <t>병합 판단이 모호한 경우 병합하지 않고 분리 상태로 두고 표시한다 — MVP 단계에서는 과병합을 피하는 보수적 동작이 유일한 방어선이다. 병합 오류를 사용자가 편집으로 수정해 원문이 바뀐 블록은 재번역 대상이 된다(F-TRN-02d)</t>
  </si>
  <si>
    <t>v2.0 · 줄 단위 별도 테이블 없이 source_lines(jsonb)로 관리 · block_merge_id 폐기 · v3.0 — 병합 오류 수습은 검수 표의 번역문 수정(F-CFM-02)으로 한정(블록 추가 축 삭제)</t>
  </si>
  <si>
    <t>v3.0 수정 — 블록 추가 참조 제거</t>
  </si>
  <si>
    <t>F-INP-02b</t>
  </si>
  <si>
    <t>★텍스트 역할 분류</t>
  </si>
  <si>
    <t>각 텍스트 블록을 제목·본문·캡션·가격·주의문구 등으로 분류한다. 역할에 따라 번역 톤, 최소 폰트 크기 하한, 규제 검증 강도가 달라진다.</t>
  </si>
  <si>
    <t>① 블록마다 역할이 부여됨 ② 역할별 폰트 하한이 적용됨 ③ 사용자가 역할을 수정 가능</t>
  </si>
  <si>
    <t>분류 실패 시 본문으로 처리</t>
  </si>
  <si>
    <t>F-INP-02c</t>
  </si>
  <si>
    <t>★조각→모듈 좌표 변환 및 초기 배치</t>
  </si>
  <si>
    <t>조각 내부 좌표로 추출된 텍스트를 모듈 좌표계로 변환한다. 배치 위치와 배율을 곱해 계산하며 AI 판단이 개입하지 않는다. 한 조각이 여러 모듈에 배치된 경우 배치(placement)마다 텍스트 블록을 각각 생성하며, 생성 시 module_id는 해당 배치의 module_id와 동일하게 설정한다. 조각 캐시의 추출 원문을 복사하되 좌표·배율·번역문·블록 상태는 배치별로 독립한다. 화면을 처음 열었을 때 텍스트는 조각 위 원래 위치에 놓인 상태로 보이며, 사용자가 조각이나 텍스트를 옮기면 그때부터 둘은 독립적으로 움직인다.</t>
  </si>
  <si>
    <t>① 초기 표시가 원본과 동일한 배치로 보임 ② 변환 오차가 허용 범위 이내 ③ 조각 이동 후 텍스트가 따라가지 않음 ④ 같은 조각이 복수 모듈에 배치되면 텍스트 블록이 배치 수만큼 생성됨 ⑤ 생성 시 module_id 초기값이 배치의 module_id와 일치</t>
  </si>
  <si>
    <t>조각이 잘린 영역의 텍스트는 F-PLC-02h 규칙을 따른다</t>
  </si>
  <si>
    <t>v2.0 · 3층 구조(크롭·배치·블록) · module_id 초기값 규칙 · OI-27</t>
  </si>
  <si>
    <t>v3.0 삭제 — 조각→모듈 좌표 변환 삭제 — 모듈 소멸. 제자리 조판은 원본 좌표를 그대로 사용</t>
  </si>
  <si>
    <t>F-INP-03</t>
  </si>
  <si>
    <t>★HTML 텍스트 레이어 생성</t>
  </si>
  <si>
    <t>추출된 텍스트와 스타일을 HTML 요소로 변환하고, 인페인팅된 배경 이미지 위에 원본 좌표 기준 절대 좌표로 배치한다(제자리 조판). 배경은 이미지 레이어, 텍스트는 HTML 레이어로 분리된다. 모듈 좌표 변환은 없다 — 제외 섹션만큼 아래가 위로 당겨지는 수평 절단+스택 오프셋(F-SEC-07)을 반영한다.</t>
  </si>
  <si>
    <t>① 원본 좌표와 렌더 좌표 일치 ② 배경·텍스트 레이어 분리 ③ 언어별 폰트 스택 적용</t>
  </si>
  <si>
    <t>좌표 오차가 허용치를 넘으면 해당 요소를 표시</t>
  </si>
  <si>
    <t>좌표 정확성 보장 필요 — OI-27 · v1.7 렌더링 HTML/Playwright 확정(OI-34 종결)</t>
  </si>
  <si>
    <t>v3.0 수정 — 좌표 기준을 모듈→원본(+스택 오프셋)으로</t>
  </si>
  <si>
    <t>F-INP-04</t>
  </si>
  <si>
    <t>★대표이미지 모듈 텍스트 제거</t>
  </si>
  <si>
    <t>대표이미지 모듈에 배치된 조각은 원본 텍스트를 인페인팅으로 제거하되 번역 텍스트 레이어를 생성하지 않는다. 배경은 규격이 요구하는 형태(순백 RGB 255,255,255)로 처리한다.</t>
  </si>
  <si>
    <t>① 대표이미지 모듈에 텍스트 레이어가 없음 ② 배경이 순백으로 처리됨 ③ 텍스트 잔존이 없음</t>
  </si>
  <si>
    <t>잔존 텍스트가 감지되면 저장 전 경고</t>
  </si>
  <si>
    <t>v3.0 삭제 — 대표이미지 모듈 텍스트 제거 삭제 — 썸네일 별도 작업 결정, 대표이미지 정책은 채널 정책 판정(F-LOC-03)으로</t>
  </si>
  <si>
    <t>F-STY-01</t>
  </si>
  <si>
    <t>★지배색 추출</t>
  </si>
  <si>
    <t>텍스트 bbox 내 지배색을 추출해 번역문 색으로 승계한다(OpenCV). 자체 OCR은 좌표와 텍스트만 주므로 스타일 추출은 자체 구현한다(Codia 미채택의 대가 — 변경안 §8).</t>
  </si>
  <si>
    <t>① bbox별 지배색이 추출됨 ② 번역문 렌더에 반영됨</t>
  </si>
  <si>
    <t>추출 실패 시 역할별 기본색 폴백</t>
  </si>
  <si>
    <t>v3.0 신설 · 난이도 ○ · 정확도는 V4 실측(미실행)</t>
  </si>
  <si>
    <t>F-STY-02</t>
  </si>
  <si>
    <t>★크기 역산</t>
  </si>
  <si>
    <t>폰트 크기를 bbox 높이에서 역산한다.</t>
  </si>
  <si>
    <t>① bbox 높이 기반 크기 추정이 반영됨</t>
  </si>
  <si>
    <t>v3.0 신설 · 난이도 ○ · V4</t>
  </si>
  <si>
    <t>F-STY-03</t>
  </si>
  <si>
    <t>★정렬 판정</t>
  </si>
  <si>
    <t>같은 섹션 내 bbox의 좌/우/중앙 위치로 정렬을 판정한다.</t>
  </si>
  <si>
    <t>① 좌/우/중앙 정렬이 판정되어 조판에 반영됨</t>
  </si>
  <si>
    <t>F-STY-04</t>
  </si>
  <si>
    <t>굵기 추정</t>
  </si>
  <si>
    <t>획 두께 비율로 굵기(볼드 여부)를 추정한다. 난이도 △.</t>
  </si>
  <si>
    <t>① 굵기 추정이 조판에 반영됨</t>
  </si>
  <si>
    <t>추정 불확실 시 역할 기본값 사용</t>
  </si>
  <si>
    <t>v3.0 신설 · 난이도 △ · V4</t>
  </si>
  <si>
    <t>F-STY-05</t>
  </si>
  <si>
    <t>★폰트 역할 기반 매핑</t>
  </si>
  <si>
    <t>폰트 패밀리 식별은 포기한다 — 텍스트 역할(제목/본문, F-INP-02b) 기준으로 2~3종 폰트에 고정 매핑한다(F-FIN-01a). 예람 문서 3절 "폰트 정교 매핑 = 선택적, 역할·굵기 수준이면 충분"과 정합적. "원본 느낌 유지"를 어디까지 약속할지는 미해결(OI-49).</t>
  </si>
  <si>
    <t>① 역할별 고정 매핑이 적용됨 ② 폰트 식별 시도가 파이프라인에 없음</t>
  </si>
  <si>
    <t>v3.0 신설 · 변경안 §8 · 범위는 OI-49 미해결</t>
  </si>
  <si>
    <t>F-BG-01</t>
  </si>
  <si>
    <t>N4 배경</t>
  </si>
  <si>
    <t>흰 배경</t>
  </si>
  <si>
    <t>결과 이미지에서 생기는 여백(섹션 제외에 따른 잔여 영역 등)을 흰색으로 채운다. 기본값이며 섹션 내부는 건드리지 않는다. 변경안 §11 "여백 흰배경 채우기 유지".</t>
  </si>
  <si>
    <t>① 여백이 흰색으로 채워짐 ② 섹션 내부가 변경되지 않음</t>
  </si>
  <si>
    <t>MVP 유일한 배경 가공 방식</t>
  </si>
  <si>
    <t>v3.0 수정 — 모듈 여백→결과 이미지 여백으로 재정의 · v3.0 수정(4차) — 단위 조각→섹션</t>
  </si>
  <si>
    <t>F-BG-02</t>
  </si>
  <si>
    <t>★크롭 배경 중간색 단색</t>
  </si>
  <si>
    <t>인페인팅 완료 후 크롭 조각들의 배경색에서 중간색을 추출해 모듈 배경에 단색으로 입힌다. S4에서 자동 계산해 기본값으로 적용하며 GPU를 사용하지 않는다.</t>
  </si>
  <si>
    <t>① 중간색 추출 ② 모듈 배경 자동 적용 ③ 사용자가 색상 직접 조정 가능</t>
  </si>
  <si>
    <t>조각별 배경색 편차가 크면 추출을 포기하고 흰 배경으로 폴백</t>
  </si>
  <si>
    <t>추출 알고리즘 미정 — OI-18</t>
  </si>
  <si>
    <t>v3.0 삭제 — 조각 배경 중간색 삭제 — 조각·모듈 전제 소멸(배경색 추출 알고리즘 자체는 인페인팅 단색 채우기에서 계속 사용, OI-18 유지)</t>
  </si>
  <si>
    <t>F-BG-03</t>
  </si>
  <si>
    <t>그라데이션 테두리</t>
  </si>
  <si>
    <t>각 크롭 이미지 주변에 그라데이션 테두리를 넣어 조각 경계의 기계적인 느낌을 줄인다. CSS 그라데이션이므로 즉시 적용된다.</t>
  </si>
  <si>
    <t>① 조각별 그라데이션 적용 ② 강도 조절 ③ 개별 해제 가능</t>
  </si>
  <si>
    <t>테두리를 금지하는 채널에서는 옵션을 비활성</t>
  </si>
  <si>
    <t>v3.0 삭제 — 그라데이션 테두리 삭제 — 조각 전제 소멸</t>
  </si>
  <si>
    <t>F-BG-04</t>
  </si>
  <si>
    <t>★배경 가공 방식 전환</t>
  </si>
  <si>
    <t>편집 화면 우측 패널에서 배경 방식을 전환하고 결과를 즉시 비교한다. 배경은 텍스트와 독립 레이어이므로 전환해도 텍스트 작업이 초기화되지 않는다.</t>
  </si>
  <si>
    <t>① 방식 전환 즉시 반영 ② 텍스트 작업 유지 ③ 원본 대비 비교</t>
  </si>
  <si>
    <t>미리보기 생성 실패 시 마지막 성공 상태를 유지</t>
  </si>
  <si>
    <t>배경은 텍스트와 독립 레이어 · F-NAV-05 보존 대상</t>
  </si>
  <si>
    <t>v3.0 삭제 — 배경 가공 방식 전환 삭제 — 전환 대상 소멸</t>
  </si>
  <si>
    <t>F-BG-05</t>
  </si>
  <si>
    <t>액자 그룹화</t>
  </si>
  <si>
    <t>여러 크롭 이미지를 하나의 액자 틀로 묶어 의도된 구성처럼 보이게 한다.</t>
  </si>
  <si>
    <t>① 다중 조각 그룹화 ② 액자 스타일 선택</t>
  </si>
  <si>
    <t>테두리 금지 채널에서는 사용 불가</t>
  </si>
  <si>
    <t>v3.0 삭제 — 액자 그룹화 삭제 — 조각 전제 소멸</t>
  </si>
  <si>
    <t>F-BG-06</t>
  </si>
  <si>
    <t>★크롭 배경 확장 (아웃페인팅)</t>
  </si>
  <si>
    <t>조각이 모듈을 다 채우지 못할 때 단색으로 메우는 대신 조각 자신의 배경을 바깥으로 이어 그린다. 이음매를 자연스럽게 하기 위해 조각 경계 안쪽 일정 폭까지 함께 재생성한다. 조각별 배경색이 서로 달라 단색 채우기로 경계가 남는 경우의 해법이다.</t>
  </si>
  <si>
    <t>① 경계 이음매 육안 식별 불가 ② 제품 영역은 마스크에서 제외 ③ 경계 안쪽 재생성은 지정 폭 이내 ④ 실패 시 중간색 단색으로 폴백</t>
  </si>
  <si>
    <t>복잡한 사진 배경은 시도하지 않고 단색으로 폴백 / GPU 호출이므로 사용자가 선택할 때만 실행하고 결과를 캐시</t>
  </si>
  <si>
    <t>★v1.4 부활. 유일하게 GPU가 필요한 배경 옵션</t>
  </si>
  <si>
    <t>v3.0 삭제 — 아웃페인팅 삭제 — "조각이 모듈을 못 채울 때"라는 전제 소멸</t>
  </si>
  <si>
    <t>★타겟 국가 선택</t>
  </si>
  <si>
    <t>입력 화면(N1)에서 판매 대상 국가를 선택한다. 목록에는 규제 사전이 구축된 국가만 노출한다. 이 값이 규제 사전과 로컬라이징 사전을 결정한다. 규격은 국가와 독립이다(PL-18). MVP는 미국, 12월 확장 시 일본·UAE를 추가한다. 국가 선택 후 해당 국가에 규제 분류 체계가 정의되어 있으면 규제 분류 선택(F-LNG-03)으로 이어진다.</t>
  </si>
  <si>
    <t>① 국가 선택 전에는 작업을 시작할 수 없음 ② 규제 사전 보유 국가만 목록에 노출됨 ③ 선택 결과가 규제 사전에 반영됨 ④ 변경 시 번역·판정만 재실행 대상이 됨 ⑤ 분류 체계가 있는 국가에서 규제 분류 선택 단계로 이어짐</t>
  </si>
  <si>
    <t>미선택 상태로 번역 시작 시 차단하고 안내한다. 사전 미보유 국가는 목록에 나타나지 않으므로 '사전 없음' 예외는 발생하지 않는다 / 국가를 변경하면 규제 분류 선택값은 무효화되어 재선택한다(분류 체계는 국가 종속)</t>
  </si>
  <si>
    <t>v1.6 수정 · 사전 보유 국가로 목록 제한 · MVP 미국 / 12월 일본·UAE · v2.5 F-LNG-03 선행 연결</t>
  </si>
  <si>
    <t>v2.5 수정 · v3.0 수정 — 선택 시점 S5→N1(입력)</t>
  </si>
  <si>
    <t>★타겟 언어 선택</t>
  </si>
  <si>
    <t>입력 화면(N1)에서 도착어를 선택한다. 출발어는 한국어로 고정되며 선택 대상이 아니다. 도착어는 MVP에서 영어, 12월 확장 시 일본어를 추가한다. 이 값이 용어집을 결정한다. 국가와 도착어는 독립이며 자유 조합을 허용한다(미국·영어 / UAE·영어 / 일본·일본어).</t>
  </si>
  <si>
    <t>① 도착어 선택 전에는 번역을 시작할 수 없음 ② 출발어 선택 UI가 존재하지 않음 ③ 선택 결과가 용어집 선택에 반영됨 ④ 국가와 독립적으로 변경 가능</t>
  </si>
  <si>
    <t>해당 도착어의 용어집이 없으면 경고 후 범용 번역으로 진행</t>
  </si>
  <si>
    <t>v1.6 수정 · 자유 조합 명시 · 출발어 KO 고정 · 도착어 EN(MVP)·JA(12월)</t>
  </si>
  <si>
    <t>v3.0 수정 — 선택 시점 S5→N1(입력)</t>
  </si>
  <si>
    <t>★규제 분류 선택</t>
  </si>
  <si>
    <t>타겟 국가 선택 후, 해당 국가의 규제 체계상 제품이 속하는 규제 분류(regulatory_class)를 셀러가 선택한다. 이 값이 국가와 함께 규제 사전 조회 조건을 결정한다. 미국은 4개 선택지다 — ① 화장품(Cosmetic) ② OTC 의약품(OTC Drug — Drug Facts 패널 보유: 자외선차단제·여드름 치료제 등) ③ 화장품+OTC 복합(Combination — Drug Facts 패널과 색조·보습 등 화장품 기능을 함께 갖춘 제품, 21 CFR 701.3(d)) ④ 잘 모름(분류 미상). 복합은 문구별로 적용 규칙이 갈려 제품 단위 선택으로 처리되지 않으므로 MVP에서는 OTC와 동일하게 처리하고 그 한계를 화면에 고지한다(OI-46). '잘 모름'은 화장품(네거티브 규제) 기준으로 검증하되 「분류 미확인 상태로 검증됨」 상시 경고 배지와 확인 필요 신호(F-CFM-05)를 부여한다 — OTC 규칙의 무차별 적용은 오탐 홍수로 확인 필요 신호 품질을 무너뜨리므로(PL-20) 합집합 검증은 하지 않는다. 셀러는 자사 제품의 분류를 안다고 전제하며 플랫폼은 분류를 판정하지 않는다. 선택지는 국가별 데이터로 관리한다. 화면 라벨은 질문형이며 문구 전문은 03_화면정의서 S5에 둔다.</t>
  </si>
  <si>
    <t>① 국가 선택 후, 분류 체계가 정의된 국가에서만 셀렉터가 노출됨 ② 미선택 시 번역을 시작할 수 없음('잘 모름'이 명시적 대안) ③ 선택값이 규제 사전 조회 조건에 반영됨 ④ '잘 모름' 선택 시 화장품 기준 검증 + 상시 경고 배지 + 확인 필요 신호 ⑤ 복합 선택 시 한계 고지가 표시됨 ⑥ 변경 시 번역·규제 검증만 재실행됨 ⑦ 선택지가 국가별 데이터로 관리되어 코드 수정 없이 확장됨</t>
  </si>
  <si>
    <t>미선택 상태로 번역 시작 시 차단하고 안내한다. 규제 분류 체계가 정의되지 않은 국가는 이 단계를 건너뛰고 국가 축만으로 검증한다. '잘 모름' 선택 시 미탐 가능성을 고지하고 책임 한계(PL-02)를 연결한다.</t>
  </si>
  <si>
    <t>v2.5 신설 · OI-42 종결 · F-LNG-01 후속 · 판정 책임은 셀러(F-ACC-04) · Drug Facts 패널 확인 안내 문구 포함 · 내부 카테고리 축(F-SRC-04b)과 독립 — 규제 사전 카테고리 분기 폐기(v1.6)와 충돌 없음 · 복합 문장 단위 처리는 OI-46, 폴백은 OI-47</t>
  </si>
  <si>
    <t>신설 · v3.0 수정 — 선택 시점 S5→N1(입력). 미선택 차단·"잘 모름" 탈출구 등 내용은 유지(변경안 §2 화면 1)</t>
  </si>
  <si>
    <t>★섹션 자동 분해</t>
  </si>
  <si>
    <t>업로드 직후 전체 OCR을 수행하고 상세페이지를 섹션 단위로 자동 분해한다. ★분해는 원본 1장 단위로 수행한다 — 여러 장을 올려도 장을 가로질러 잇지 않으므로 파일 경계에 걸친 섹션은 생기지 않는다. 초장축(수천~수만 px)이 대상이므로 소요 시간·타일 경계 누락·인식률은 V7 실측으로 확인한다(미실행). 분해 결과에 규제·현지적합성 판정이 붙어 섹션 확인(N3)으로 전달된다.</t>
  </si>
  <si>
    <t>① 섹션 경계가 자동 검출됨 ② 각 섹션에 OCR 텍스트·bbox가 귀속됨 ③ 판정 입력으로 전달됨 ④ ★원본이 여러 장이면 장별로 분해되고 섹션이 장 경계를 넘지 않음</t>
  </si>
  <si>
    <t>섹션 분해 실패 시 전체를 단일 섹션으로 두고 진행한다</t>
  </si>
  <si>
    <t>v3.0 신설 · 변경안 §2 화면 2 · V7(초장축 전체 OCR 실측) 미실행 — S2 스모크에 얹음 · v3.0 수정(5차) — 원본 1장 단위 분해 명시(결과물 분할 규칙의 전제)</t>
  </si>
  <si>
    <t>★섹션 확인 화면 — 버킷 2개</t>
  </si>
  <si>
    <t>섹션 확인은 버킷 2개로 구성한다: ⚠ 제외된 섹션(펼침) / ✓ 결과물에 포함될 섹션(접힘, 펼치기 가능). 체크박스·자동삭제 토글은 두지 않는다(변경안 §0 결정 4, §2 화면 1 삭제 근거 ①~④). 자동/수동 선택이라는 요구는 버킷의 기본값이 이미 흡수한다. 각 섹션 행에 썸네일·판정 배지·문제 문구·근거를 표시한다.</t>
  </si>
  <si>
    <t>① 버킷 2개만 존재(체크박스 없음) ② 제외 버킷이 기본 펼침, 포함 버킷이 기본 접힘 ③ 섹션별 배지·근거 표시</t>
  </si>
  <si>
    <t>판정 결과가 없는 섹션은 포함 버킷에 배지 없이 놓인다</t>
  </si>
  <si>
    <t>v3.0 신설 · 변경안 §2 화면 3 — 유일한 개입 지점</t>
  </si>
  <si>
    <t>★액션 2개 · 무조작 통과 · 재정렬 불가</t>
  </si>
  <si>
    <t>액션은 [되살리기](제외→포함)와 [제외하기](포함→제외) 2개뿐이다. 아무것도 건드리지 않고 [이대로 진행]하면 권고대로 진행된다(무조작 통과 — 전자동과 동일한 결과, 클릭 0회). 순서 재정렬은 불가하다 — 원본 세로 순서 고정. 허용하면 그것이 곧 배치 편집이고, 예람안이 삭제한 자유 배치가 뒷문으로 돌아온다.</t>
  </si>
  <si>
    <t>① 액션이 되살리기/제외하기 2개뿐 ② 무조작 [이대로 진행] 가능 ③ 순서 변경 UI가 존재하지 않음 ④ [이대로 진행] 시 번역(N4)이 시작됨</t>
  </si>
  <si>
    <t>v3.0 신설 · 변경안 §0 결정 4·§2 화면 3 · 9/1 5차 — "액션 2개"는 N3의 액션이 2개라는 뜻이다. 검수(N5)의 섹션 제외(F-CFM-14)는 별개 기능이며 N3의 액션 수와 무관하다</t>
  </si>
  <si>
    <t>★판정 배지 체계 (4종)</t>
  </si>
  <si>
    <t>배지 4종: 🔴 규제 위반(국가 규제 — FDA·약기법, 기본 제외 버킷, 9월 활성) / 🔴 채널 정책(아마존 A+ 리뷰·가격·연락처 금지 등, 기본 제외 버킷, 9월은 티저만 — 규격이 원본 고정이므로) / 🟡 현지 무의미(국내 배송비·계좌·카카오톡·국내 전화 등, 기본 제외 버킷, 9월 활성) / 🏷 현지 기준 수정 필요(교환·반품 정책·A/S·국내 인증마크, 포함 버킷 배지만, 9월 배지만). 현지 무의미(①확실)를 제외 버킷에 넣는 근거: 패턴 매칭이라 규제 사전 수준으로 확실하고, 포함 버킷에 두면 셀러가 하나씩 제외하는 수작업이 되며, 카카오톡 문의를 자동으로 빼주는 것이 "각국의 커머스 관습까지 반영"을 증명하는 가장 직접적인 장면이기 때문(변경안 §2).</t>
  </si>
  <si>
    <t>① 배지 4종이 기준·기본 위치대로 동작 ② 채널 정책은 9월 티저로만 표시됨 ③ 근거(조문·패턴)가 [보기]로 제공됨</t>
  </si>
  <si>
    <t>판정 근거 조회 실패 시 배지는 유지하되 근거 영역에 오류를 표시한다</t>
  </si>
  <si>
    <t>v3.0 신설 · 판정 데이터는 F-TRN-07(규제)·F-LOC-01(현지 부적합) · 티저 문구 예: "미국 아마존 기준: 리뷰 섹션 삭제 대상 · 이 페이지는 A+ 모듈 7종으로 분해 필요 (12월 지원 예정)"</t>
  </si>
  <si>
    <t>★삭제 내역 노출 (필수 요건)</t>
  </si>
  <si>
    <t>무엇이 왜 빠졌는지 보여주지 않으면 셀러가 결과물을 신뢰할 수 없다 — 자기 상세페이지에서 뭔가 사라졌는데 이유를 모르면 그 도구는 두 번 쓰지 않는다. 표시 항목: 어느 섹션(썸네일+원본 내 위치) / 무엇 때문에(문제 문구) / 어느 기준(예: 미국 FDA — OTC 의약품 클레임) / 근거(조문 [보기]) / 되돌리기([되살리기]). 세 곳에 남기되 역할이 다르다(NFR-31) — ① 화면(N3): 셀러가 확인하고 되살리는 지점 ② content.csv: ★셀러가 내려받는 유일한 증빙. manifest가 배포 대상에서 빠졌으므로(F-EXP-01) 셀러 쪽 삭제 내역은 이 파일이 단독으로 담당한다 ③ manifest.json: 서버 내부 데이터. 되살리기·재생성이 원래 판정을 복원하는 근거이며 셀러에게 배포하지 않는다. 결과물만 보고는 알 수 없는 정보이므로 어느 쪽에서도 누락되지 않아야 한다.</t>
  </si>
  <si>
    <t>① 제외 섹션마다 5개 표시 항목이 모두 제공됨 ② 동일 정보가 content.csv(셀러 배포)와 manifest.json(서버 내부)에 각각 누락 없이 포함됨 ③ ★셀러가 받는 파일만으로 5개 표시 항목의 근거를 확인할 수 있음</t>
  </si>
  <si>
    <t>v3.0 신설 · 변경안 §2 "삭제 내역 노출은 필수 요건" · 9/1 7차 — manifest가 셀러 배포 대상에서 빠지면서 content.csv가 단독 증빙이 됨. verdict_basis가 근거 조문을 어느 수준으로 담는지(전문/요약/링크)는 9/7 content.csv 스키마 확정 시 정한다</t>
  </si>
  <si>
    <t>★제외 사유 코드 기록</t>
  </si>
  <si>
    <t>섹션별 제외·복귀 사유를 코드로 기록한다: auto_regulatory(시스템 — 규제 위반, +조문) / auto_channel(시스템 — 채널 정책, 12월) / auto_local_irrelevant(시스템 — 현지 무의미) / user_manual(사용자 직접 제외) / restored_by_user(사용자가 권고를 무시하고 되살림, +원래 판정). user_manual은 N3과 N5(F-CFM-14) 양쪽의 사용자 직접 제외에 공통으로 쓰며 새 코드를 만들지 않는다. restored_by_user는 판정 책임이 셀러에게 있음을 보여주는 근거가 된다(PL-25, v2.5 "판정 책임 셀러"와 연결).</t>
  </si>
  <si>
    <t>① 5종 사유 코드가 기록됨 ② restored_by_user에 원래 판정이 함께 남음 ③ content.csv exclusion_reason 열과 일치</t>
  </si>
  <si>
    <t>v3.0 신설 · 변경안 §2 제외 사유 기록</t>
  </si>
  <si>
    <t>★수평 절단 + 스택</t>
  </si>
  <si>
    <t>제외된 섹션의 자리는 아래가 위로 당겨지는 수평 절단 + 스택으로 처리한다. 구멍 없이 전체 높이만 줄어든다. 섹션을 빼고 남은 것을 세로로 이어붙이면 배치가 자명해지므로 캔버스가 필요 없다(보완안 §2). 조판(F-INP-03)은 이 스택 오프셋을 반영한다.</t>
  </si>
  <si>
    <t>① 제외 섹션 제거 후 빈 공간이 없음 ② 잔여 섹션의 상대 순서·내부 좌표가 유지됨 ③ 전체 높이가 제외분만큼 감소</t>
  </si>
  <si>
    <t>F-TXT-05</t>
  </si>
  <si>
    <t>위험 표현 자동 판정 (배지 공급)</t>
  </si>
  <si>
    <t>타겟 국가·규제 분류 기준으로 규제 사전에서 위험 표현을 자동 검출해 섹션 확인(N3)의 판정 배지(F-SEC-04)에 공급한다. 브랜드 금지용어와 병합한다. v2.5의 "1차 피드백 제안 목록"(구 S5) 형태는 폐기하고, 섹션·문구 단위 판정 근거(조문 포함)로 노출한다.</t>
  </si>
  <si>
    <t>① 위험 표현이 섹션 확인 배지·근거로 노출됨 ② 국가별 다른 사전 적용 ③ 규제 분류 선택·변경 시 판정이 갱신됨</t>
  </si>
  <si>
    <t>사전 조회 실패 시 제안을 생략하되 번역 단계 검증은 정상 수행</t>
  </si>
  <si>
    <t>RAG 규제 DB</t>
  </si>
  <si>
    <t>v2.5 수정 · 조회 축에 규제 분류 추가 · v3.0 수정 — S5 제안 목록→N3 판정 배지 공급으로 재정의 · v3.0 수정(5차) — 구 S번호 정정</t>
  </si>
  <si>
    <t>F-TXT-01</t>
  </si>
  <si>
    <t>S5 1차 피드백</t>
  </si>
  <si>
    <t>★배경 위 원문 텍스트 표시</t>
  </si>
  <si>
    <t>인페인팅된 배경 위에 추출된 원문 텍스트를 얹어, 최종 결과물과 같은 모습으로 보여준다. 셀러가 자신의 텍스트가 실제로 어떻게 보이는지 확인하면서 작업하도록 하기 위함이다.</t>
  </si>
  <si>
    <t>① 실제 결과물과 동일한 배치로 표시 ② 배치 순서와 읽기 순서 일치 ③ 확대·축소</t>
  </si>
  <si>
    <t>추출 실패 항목은 빈 요소로 표시하고 직접 입력 유도</t>
  </si>
  <si>
    <t>목록형이 아닌 실물 편집 방식 채택 · v1.7 렌더링 HTML/Playwright 확정(OI-34 종결)</t>
  </si>
  <si>
    <t>v3.0 삭제 — 원문 수정(1차 피드백) 축 삭제 — PM 결정(8/31). 원문·결과 대조는 검수 화면(N5)이 담당</t>
  </si>
  <si>
    <t>F-TXT-02</t>
  </si>
  <si>
    <t>★원문 텍스트 수정 (1차 피드백)</t>
  </si>
  <si>
    <t>번역 전에 사용자가 원문 텍스트를 수정·삭제·추가한다. 여기서 '추가'는 기존 블록 안에 문장을 추가하는 것이며, 새 텍스트 블록(텍스트박스)의 생성은 F-TXT-07(12월)이다. 이 단계가 '어떤 문장을 번역할 것인지'를 결정한다. 원문을 고치는 방식은 번역의 맥락을 유지한다는 점에서 번역문 직접 수정보다 우선하는 경로다.</t>
  </si>
  <si>
    <t>① 내용 수정·삭제·추가 ② 삭제 문장은 번역 대상 제외 ③ 추가 문장도 번역 대상 포함</t>
  </si>
  <si>
    <t>전체 텍스트를 삭제하면 번역 없이 배경만 생성됨을 경고</t>
  </si>
  <si>
    <t>★핵심 인터랙션</t>
  </si>
  <si>
    <t>v3.0 삭제 — 원문 수정 축 삭제 — PM 결정(8/31)</t>
  </si>
  <si>
    <t>F-TXT-03</t>
  </si>
  <si>
    <t>★작업물 위 직접 편집</t>
  </si>
  <si>
    <t>Figma처럼 결과물 위에 커서를 올려 해당 텍스트를 직접 편집한다. 우측 패널 편집과 병행하며 양쪽이 실시간 동기화된다.</t>
  </si>
  <si>
    <t>① 텍스트 클릭 시 인라인 편집 진입 ② 우측 패널과 실시간 동기화 ③ 편집 중 요소 강조</t>
  </si>
  <si>
    <t>요소가 너무 작아 클릭이 어려우면 우측 패널에서 선택 가능</t>
  </si>
  <si>
    <t>v3.0 삭제 — 작업물 위 직접 편집 삭제 — 편집기 제거(예람안)</t>
  </si>
  <si>
    <t>F-TXT-04</t>
  </si>
  <si>
    <t>우측 패널 텍스트 목록 편집</t>
  </si>
  <si>
    <t>우측에 텍스트 목록을 표시하고 여기서도 편집할 수 있게 한다. 작업물 위 편집과 동일한 대상을 다룬다.</t>
  </si>
  <si>
    <t>① 목록에서 편집 ② 선택 시 작업물 상 위치 하이라이트 ③ 배치 순서대로 나열</t>
  </si>
  <si>
    <t>추출 실패로 비어 있는 블록은 우측 패널에서 사용자가 직접 입력해 번역 대상에 포함시킬 수 있다</t>
  </si>
  <si>
    <t>v1.7 · 추출 실패 조각 직접 입력 경로 · OI-20 종결</t>
  </si>
  <si>
    <t>v3.0 삭제 — 우측 패널 텍스트 편집 삭제 — 검수 표(F-CFM-02)가 대체</t>
  </si>
  <si>
    <t>F-TXT-06</t>
  </si>
  <si>
    <t>번역 시작</t>
  </si>
  <si>
    <t>확정된 텍스트를 기준으로 번역을 시작한다.</t>
  </si>
  <si>
    <t>① 수정사항 저장 ② 번역 Job 생성 및 상태 '번역 중'</t>
  </si>
  <si>
    <t>저장 실패 시 진행을 막고 재시도 제공</t>
  </si>
  <si>
    <t>v3.0 삭제 — 번역 시작 삭제 — 섹션 확인의 [이대로 진행](F-SEC-03)에 흡수</t>
  </si>
  <si>
    <t>F-TXT-07</t>
  </si>
  <si>
    <t>텍스트 블록 신규 추가</t>
  </si>
  <si>
    <t>원본에 없던 텍스트 블록을 사용자가 직접 추가한다.</t>
  </si>
  <si>
    <t>① 빈 블록 생성 ② 입력한 내용이 번역 대상이 됨</t>
  </si>
  <si>
    <t>v1.5 신설 · 12월 구현</t>
  </si>
  <si>
    <t>v3.0 삭제 — 텍스트 블록 신규 추가 삭제 — 원문 수정 축과 동반 삭제</t>
  </si>
  <si>
    <t>F-TXT-08</t>
  </si>
  <si>
    <t>S5·S7</t>
  </si>
  <si>
    <t>텍스트 블록 모듈 간 이동</t>
  </si>
  <si>
    <t>텍스트 블록을 다른 모듈로 옮긴다. 이동 시 표시 위치(module_id)만 바뀌고 출처(placement_id)는 유지되므로, 원 조각이 삭제되면 이동한 블록도 함께 사라진다. 좌표는 대상 모듈 원점 기준으로 재계산한다.</t>
  </si>
  <si>
    <t>① 다른 모듈로 이동 가능 ② 이동 후 좌표가 대상 모듈 기준으로 재계산 ③ 원 조각 삭제 시 이동한 블록도 함께 삭제됨 ④ 이동해도 블록의 출처(placement)는 바뀌지 않음</t>
  </si>
  <si>
    <t>[12월] 대표이미지 모듈로는 이동할 수 없다(F-CH-06). MVP는 대표이미지가 범위 밖이라 제약이 적용되지 않는다</t>
  </si>
  <si>
    <t>v2.0 · 텍스트블록에 module_id 신설 · 출처와 표시 위치 분리 · 수용 ③은 12월 되돌림 도입 후 유효(MVP는 조각 삭제 경로 없음) · 8/28 게이트에서 3단계 축소 후보</t>
  </si>
  <si>
    <t>v3.0 삭제 — 텍스트 블록 모듈 간 이동 삭제 — 모듈 소멸</t>
  </si>
  <si>
    <t>N2·N4</t>
  </si>
  <si>
    <t>번역 진행 표시</t>
  </si>
  <si>
    <t>분석(N2)·번역(N4) 처리 화면에서 진행 상태를 표시한다. 초장축 원본은 처리 시간이 길므로 진행률과 함께 현재 단계(OCR → 섹션 분해 → 판정 / 인페인팅 ∥ 1차 번역 ∥ 규제 검증 → 조판·렌더)를 노출한다.</t>
  </si>
  <si>
    <t>① 진행률·현재 단계 실시간 갱신 ② 완료 시 다음 화면으로 자동 전환</t>
  </si>
  <si>
    <t>장시간 무응답 시 타임아웃 처리 후 재시도 안내</t>
  </si>
  <si>
    <t>v3.0 수정 — N2·N4 처리 화면 공용, 현재 단계 노출 추가</t>
  </si>
  <si>
    <t>F-TRN-02</t>
  </si>
  <si>
    <t>★RAG 기반 번역</t>
  </si>
  <si>
    <t>범용 LLM에 도메인 용어집을 검색 주입해 번역한다. 파인튜닝 대신 RAG를 쓰는 이유는 용어집만 갱신하면 되기 때문이며, 신조어가 빠르게 생기는 뷰티 도메인에 적합하다. 브랜드 보이스와 핵심 키워드를 프롬프트에 함께 반영한다.</t>
  </si>
  <si>
    <t>① 용어집 검색 결과가 프롬프트에 주입됨 ② 등록 용어가 일관되게 적용 ③ 브랜드 보이스 반영</t>
  </si>
  <si>
    <t>용어집 조회 실패 시 일반 번역으로 폴백하고 해당 사실을 표시</t>
  </si>
  <si>
    <t>★v1.4: 파인튜닝·LoRA 폐기</t>
  </si>
  <si>
    <t>F-TRN-02a</t>
  </si>
  <si>
    <t>★번역 단위 및 순서</t>
  </si>
  <si>
    <t>번역은 원본 세로 순서로 수행한다. 섹션 확인에서 순서 재정렬이 불가하므로(F-SEC-03) 원본 순서가 곧 소비자가 읽는 순서이고, 그 순서를 문맥으로 삼는다. 제외 버킷 섹션의 텍스트는 번역 대상에서 제외한다.</t>
  </si>
  <si>
    <t>① 원본 세로 순서대로 번역됨 ② 제외 섹션의 텍스트는 번역되지 않음 ③ 앞뒤 블록이 문맥으로 제공됨</t>
  </si>
  <si>
    <t>v1.8 · 결과물 1종에 따라 탭 축 제거</t>
  </si>
  <si>
    <t>v3.0 수정 — 순서 기준 배치→원본 세로 순서, 모듈·탭 문구 제거</t>
  </si>
  <si>
    <t>F-TRN-02b</t>
  </si>
  <si>
    <t>★브랜드 톤 프롬프트 주입</t>
  </si>
  <si>
    <t>F-BRD-03(브랜드 개요)과 F-BRD-05(핵심 고객층)에 셀러가 입력한 설명을 번역 프롬프트에 주입해 톤을 지정한다. 값이 비어 있으면 중립 톤으로 번역한다.</t>
  </si>
  <si>
    <t>① 브랜드 개요·핵심 고객층이 프롬프트에 포함됨 ② 값 변경 시 이후 번역에 반영됨</t>
  </si>
  <si>
    <t>값이 비어 있으면 경고 없이 중립 톤 적용</t>
  </si>
  <si>
    <t>v1.5 신설 · F-BRD-04 삭제에 따른 대체</t>
  </si>
  <si>
    <t>F-TRN-02c</t>
  </si>
  <si>
    <t>★용어집 적용 검증 (강제 항목)</t>
  </si>
  <si>
    <t>용어집 항목 중 enforcement='강제'로 지정된 항목이 번역 결과에 실제로 사용되었는지 검사한다. 강제 대상은 성분명(INCI 표준명)·브랜드명·인증 공식 명칭이며, 마케팅 표현 등 enforcement='참고' 항목은 검사하지 않는다. 미적용 강제 항목은 목록으로 표시하고 F-CFM-05의 확인 필요 신호로 넘긴다.</t>
  </si>
  <si>
    <t>① 강제 항목의 적용 여부가 판정됨 ② 참고 항목은 검사 대상에서 제외됨 ③ 미적용 강제 항목이 사용자에게 표시됨</t>
  </si>
  <si>
    <t>강제 항목이 문맥상 부적절해 미적용된 경우도 표시하되 차단하지 않는다</t>
  </si>
  <si>
    <t>v1.7 · 용어집 강제/참고 구분 도입 · F-TRN-06 enforcement 필드 전제</t>
  </si>
  <si>
    <t>F-TRN-02d</t>
  </si>
  <si>
    <t>★증분 번역</t>
  </si>
  <si>
    <t>섹션 되살리기(F-SEC-03)나 검수(N5)의 원문 외 재번역 요청으로 블록이 추가되면 추가된 블록만 번역한다. 전체 재번역은 수행하지 않는다. 일관성은 ① 용어집 RAG ② 기번역 결과를 컨텍스트로 주입 ③ 원본 순서상 앞뒤 블록을 문맥으로 제공하여 확보한다. 사용자 수정 블록은 덮어쓰지 않는다.</t>
  </si>
  <si>
    <t>① 되살린 섹션의 블록만 재번역됨 ② 손대지 않은 블록의 번역문이 변경되지 않음 ③ 기번역 결과가 프롬프트에 포함됨 ④ 사용자 수정 블록이 덮어써지지 않음</t>
  </si>
  <si>
    <t>기번역 컨텍스트가 프롬프트 상한을 넘으면 용어집과 배치상 인접 블록을 우선한다</t>
  </si>
  <si>
    <t>v1.5 수정 · 문맥 기준을 배치 순서로 변경 · 전체 재번역 버튼 없음</t>
  </si>
  <si>
    <t>v3.0 수정 — 트리거를 조각 추가→섹션 되살리기로</t>
  </si>
  <si>
    <t>F-TRN-03</t>
  </si>
  <si>
    <t>★규제 검증 · 근거</t>
  </si>
  <si>
    <t>번역 결과가 타겟 국가·규제 분류의 규제를 위반하지 않는지 검사하고 판단 근거를 자연어로 제시한다. 국가는 F-LNG-01, 규제 분류는 F-LNG-03의 선택값을 따른다.</t>
  </si>
  <si>
    <t>① 위반 블록이 표시됨 ② 근거가 읽기 전용으로 제공됨 ③ 국가 또는 규제 분류 변경 시 재검증됨</t>
  </si>
  <si>
    <t>F-TRN-03a·b로 분해 · v2.5 ⚠ LLM 판정 프롬프트에 규제 분류를 반드시 전달한다 — OTC 모노그래프 허용 문구는 화장품 기준으로는 의약품 클레임으로 읽히므로, 누락 시 정상 문구를 전부 위반으로 오탐한다</t>
  </si>
  <si>
    <t>v2.5 수정</t>
  </si>
  <si>
    <t>F-TRN-03a</t>
  </si>
  <si>
    <t>★금지표현 사전 매칭</t>
  </si>
  <si>
    <t>국가별·규제 분류별 규제 사전과 대조해 금지 표현을 룰 기반으로 검출한다. 사전 조회 키는 (target_country, regulatory_class) 조합이다. LLM 판정과 별개로 수행해 누락을 줄인다. v3.0 추가: ① 검수(N5)에서 셀 수정 시 자동 재실행한다(재렌더와 함께 — 변경안 §2 화면 5). 차단이 아니라 경고이며 룰 기반이라 비용이 무시 가능하다. ② 현지 부적합 사전(F-LOC-01)도 동일 룰 엔진으로 매칭한다. ③ 12월 2차 번역 파생 후에도 재검증한다 — 압축 과정에서 단서 조항이 빠지면 위반이 된다(F-TRN-10).</t>
  </si>
  <si>
    <t>① 사전 등록어가 100% 검출됨 ② 검출 위치가 블록 단위로 표시됨 ③ 국가와 규제 분류 조합으로 사전이 조회됨 ④ 검수 셀 수정 시 자동 재실행됨 ⑤ 2차 번역 파생 시 재검증됨(12월)</t>
  </si>
  <si>
    <t>사전 미보유 국가는 검증을 건너뛰고 경고 / 해당 규제 분류의 사전 항목이 없으면 국가 공통(common) 항목으로 폴백하고 그 사실을 표시한다(기본안 — 세부 정책 OI-47)</t>
  </si>
  <si>
    <t>v1.5 신설 · v2.5 조회 축에 regulatory_class 추가 · 사전 데이터는 F-TRN-07</t>
  </si>
  <si>
    <t>v2.5 수정 · v3.0 수정 — 검수 수정 시 자동 재실행 추가(OI-19 결론 변경) · 현지 부적합 사전 연동</t>
  </si>
  <si>
    <t>F-TRN-03b</t>
  </si>
  <si>
    <t>대체 표현 제안</t>
  </si>
  <si>
    <t>규제 위반으로 판정된 표현에 대해 허용 가능한 대체 표현을 제안한다.</t>
  </si>
  <si>
    <t>① 위반 블록마다 대체안 제시 ② 수락 시 번역문에 반영</t>
  </si>
  <si>
    <t>v1.5 신설 · v2.5 · 12월 착수 시 규제 분류별 분기 — 화장품은 대체 표현 제안, OTC는 모노그래프 허용 목록 내 표현으로 한정. 근거: 21 CFR 333.350(b) 등이 '열거된 용도만을 기술하는 다른 진실된 문구'로 제한</t>
  </si>
  <si>
    <t>F-TRN-04</t>
  </si>
  <si>
    <t>★번역 텍스트 HTML 배치</t>
  </si>
  <si>
    <t>번역된 텍스트를 HTML 요소로 만들어 인페인팅된 배경 위 원본 박스에 조판한다. 원문의 색·크기·정렬 스타일을 승계한다(F-STY). 길이 초과 시의 조판 조정은 폰트 축소(−10% 상한)와 줄바꿈 위치뿐이다 — 줄 추가와 자간 조정은 하지 않는다(9월 규격 그대로 경로). 줄을 늘리면 원본 좌표 절대 배치(F-INP-03)를 지킬 때 아래 요소와 겹치고, 밀어내면 결과물 높이가 달라져 검수의 슬라이더 대조 전제(F-CRP-01a ③ — 같은 섹션 집합·같은 높이)가 깨진다. 원본 박스 아래에 줄을 넣을 여백이 있는지 판정하려면 인페인팅 배경에서 빈 공간을 찾아야 하는데 MVP 범위를 넘고, 무엇보다 줄 추가는 자리를 바꾸는 레이아웃 편집이라 PL-26이 막으려던 것이 시스템 쪽에 남는 형태가 된다. 자간은 한글·영문 혼용에서 가독성이 급격히 나빠지는 데 비해 얻는 폭이 −2% 수준이고 폰트 축소와 중복된다. 이 조정은 공간 제약 번역 루프(F-TRN-08)의 최후 수단이며 시스템 전용이다 — 사용자에게 조정 UI를 노출하지 않고 조정 내역을 알림으로만 표시한다(F-CFM-12). 조정 내역은 content.csv의 auto_adjust 열에 기록한다.</t>
  </si>
  <si>
    <t>① 원문 스타일 승계 ② 언어별 폰트 적용 ③ 자동 조정이 −10% 상한 안에서 수행되고 내역이 기록됨 ④ 조정 UI가 사용자에게 노출되지 않음</t>
  </si>
  <si>
    <t>자동 조정 상한 미달 시 공간 제약 루프의 폴백 순서(F-TRN-08 ⑤→⑥)를 따른다 / 폰트 하한으로도 들어가지 않으면 넘치게 두고 경고 배지를 단다 — 문장을 잘라내지 않는다. 잘리면 규제 단서 조항("helps", "the appearance of")이 먼저 사라져 우리가 만든 위반이 된다 / 12월 2a(A+)는 아마존이 렌더하므로 조판 조정 개념이 없고, 2b 긴 이미지형의 가변 높이 슬롯은 12월 별도 검토</t>
  </si>
  <si>
    <t>F-TRN-02a 배치 순서 기준 · 9/1 5차 — 상대값(−10%)은 잠정. 48px 헤드라인과 26px 본문에 같은 비율을 적용하는 것이 성립하지 않으므로 V4에서 원본 폰트 크기 분포를 실측한 뒤 절대 하한(px)으로 전환한다. 하한 값은 미정이며 임의 확정 금지 — 24px(F-CH-05a)은 아마존 A+ 기준이라 9월 원본 규격에 적용할 근거가 없고, 원본이 이미 24px 미만인 블록에 적용하면 번역문이 원문보다 커진다</t>
  </si>
  <si>
    <t>v3.0 수정 — 자동 축소를 루프 최후 수단으로 강등, 상한 −10%·알림 전용 · v3.0 수정(5차) — 조판 조정에서 줄 추가·자간 삭제(9월 경로) · 잘라내기 금지 명시 · 폰트 하한 절대값 전환 예고</t>
  </si>
  <si>
    <t>F-TRN-05</t>
  </si>
  <si>
    <t>번역 실패 처리</t>
  </si>
  <si>
    <t>작업 수준의 번역 실패를 처리한다. 성공한 블록이 하나도 없거나 실패 원인이 블록이 아니라 작업 수준(인증 실패·규제 사전 로드 실패·큐 유실 등)인 경우, N회 재시도 후 작업 상태를 '오류'로 전환하고 사유를 표시한다. 오류 상태에서 '번역중'으로 복귀해 재시도할 수 있다(05_상태_정책). 일부 블록만 실패한 경우(성공 블록 1개 이상)는 이 기능의 대상이 아니며 F-JOB-06을 따른다 — 성공분을 유지한 채 실패 블록에 인라인 배지를 달고 S7로 진행한다. 실패 블록은 원문이 남아 있고 S7에서 번역문을 직접 입력해(F-CFM-02) 구제할 수 있으므로 작업을 오류로 막지 않는다.</t>
  </si>
  <si>
    <t>① 작업 수준 실패 시에만 오류 상태로 전환됨 ② 사유 코드·메시지 노출 ③ 오류 상태에서 재시도 버튼 제공 ④ 부분 실패(성공 1개 이상)는 오류로 전환되지 않고 S7로 진행됨</t>
  </si>
  <si>
    <t>일부 블록만 실패하면 F-JOB-06에 따라 성공분을 유지하고 실패 블록만 개별 재시도·배지 표시한다. 부분/전체 실패의 판정 기준은 성공 블록 수 0건 여부다</t>
  </si>
  <si>
    <t>F-TRN-06</t>
  </si>
  <si>
    <t>★다국어 용어집 관리</t>
  </si>
  <si>
    <t>한국어를 출발어로 하는 도착어별·내부 카테고리별 용어쌍을 관리한다. 각 항목에 enforcement(강제/참고) 구분을 둔다. 강제는 성분명·브랜드명·인증 공식 명칭으로 F-TRN-02c의 검사 대상이며, 참고는 마케팅 표현으로 RAG 예시로만 주입된다. MVP는 KO→EN, 12월 KO→JA를 추가한다.</t>
  </si>
  <si>
    <t>① 도착어·카테고리별 용어집이 분리 관리됨 ② 항목마다 enforcement가 지정됨 ③ 강제 항목만 검증 대상이 됨 ④ 용어쌍 추가·수정·삭제 가능</t>
  </si>
  <si>
    <t>도착어 용어집이 비어 있으면 경고 후 범용 번역으로 진행</t>
  </si>
  <si>
    <t>v1.7 · enforcement 필드 신설 · A-CFG-02(12월) 운영 화면</t>
  </si>
  <si>
    <t>F-TRN-07</t>
  </si>
  <si>
    <t>★규제 사전 마스터 관리</t>
  </si>
  <si>
    <t>국가별·규제 분류별 규제 표현 사전을 데이터로 보유한다. 항목은 출발 표현, 변형 표현, 타겟 국가, 규제 분류, 판정 상태(규제/조건부/허용), 대체 표현, 사유, 근거 출처 유형, 근거 문서·조문·URL, 확인일자로 구성한다. 미국의 근거 출처 유형은 FDA 공식 문서·Warning Letter·OTC 모노그래프 중 하나를 명시하며, 규제 변동에 대비해 확인일자를 필수로 관리한다. 코드 수정 없이 데이터 추가만으로 국가·규제 분류·항목을 확장할 수 있어야 한다.</t>
  </si>
  <si>
    <t>① 데이터 추가만으로 신규 국가·규제 분류 사용 가능 ② 각 항목에 근거 출처 유형과 확인일자 보유 ③ (target_country, regulatory_class) 복합 인덱스 조회 ④ F-TRN-03a·F-TXT-05가 이 데이터를 읽음</t>
  </si>
  <si>
    <t>근거 출처 유형·확인일자가 없는 항목은 등록할 수 없다 / 조회 실패 시 F-TRN-03a는 검증을 건너뛰고 경고를 표시한다</t>
  </si>
  <si>
    <t>v2.5 신설 · F-CH-01·F-TRN-06과 동일 패턴 · 스키마·시드는 MVP부터 사용(PL-16·NFR-28) · 편집 콘솔은 A-CFG-02(12월) · MVP 물량: (미국×화장품)·(미국×OTC) 2벌 + 국가 공통 계층</t>
  </si>
  <si>
    <t>신설</t>
  </si>
  <si>
    <t>F-TRN-08</t>
  </si>
  <si>
    <t>★공간 제약 번역 루프</t>
  </si>
  <si>
    <t>원본 박스 폭 안에 들어가면서 규제를 통과하는 번역을 생성한다. 루프: ① 폭 제약을 주입해 번역 후보 여러 개 생성 → ② 실제 렌더 폭 측정(LLM은 픽셀을 모르므로 측정 필수) → ③ 규제 재검증(줄이면서 단서 조항이 지워졌는지) → ④ 통과한 번역 후보를 화면에 「다른 번역」으로 제시(F-CFM-11) → ⑤ 어떤 후보도 안 들어가면 제한적 조판 조정(폰트 −10%까지와 줄바꿈 위치만 — 줄 추가·자간은 하지 않는다, 최후 수단, F-TRN-04) → ⑥ 그래도 안 되면 폭은 초과했으나 규제를 통과한 번역 후보를 [다른 번역 보기]로 제시한다(F-CFM-11) — 후보 0개는 만들지 않았다는 뜻이 아니라 ②③에서 걸러냈다는 뜻이고, 폭 초과 번역은 틀린 문장이 아니라 긴 문장이라 사용자가 줄이면 그대로 쓸 수 있다. 규제를 위반한 후보는 화면에서 숨기는 정도가 아니라 응답에 싣지 않고 폐기한다 — 규제가 차단이 아니라 경고인 정책(F-TRN-03a)이라 보여주면 고르거나 베낀다. 방향재정의 §3-①의 설계를 그대로 따른다. ①~③ 루프의 규모가 실제 위험 지점이다 — 블록 50~100개 × 호출 2~3회 = 150~300회(R-12). 완화책은 NFR-30, 실측은 V6(미실행).</t>
  </si>
  <si>
    <t>① 번역 후보가 렌더 폭 실측으로 필터링됨 ② 번역 후보별 규제 재검증 수행 ③ 폴백 순서 ④→⑤→⑥이 지켜짐 ④ 재시도 상한 2회 후 ⑤로 폴백 ⑤ ⑥에서 폭 초과 후보가 제시되고 규제 위반 후보는 응답에 없음</t>
  </si>
  <si>
    <t>⑥ 도달 시 해당 블록에 "짧은 표현이 필요합니다" 경고와 [다른 번역 보기]를 함께 표시한다 — 버튼을 비활성으로 두지 않는다. 초과량은 픽셀 수치가 아니라 상대 표시("조금 김"/"많이 김")로만 알리고, 폰트가 몇 % 줄어들지는 예고하지 않는다(조정 후 알림은 F-CFM-12가 담당하므로 같은 정보를 두 번 다른 형식으로 말하게 된다). 편집 중 길이 게이지는 NFR-30 ⓒ의 글자수→픽셀 근사식을 재사용하고 확정 시에만 실제 렌더로 확인한다</t>
  </si>
  <si>
    <t>v3.0 신설 · 변경안 §3-4 · V6 실측 필요(미실행) · R-12 · 9/1 4차 — 화면 라벨 「다른 번역 보기」로 개칭(내부 용어는 「번역 후보」 유지, PM 확정 9/1) · 9/1 5차 — 폴백 ⑥을 「빈칸 + 경고」에서 「폭 초과 후보 제시」로 개정. 이미 생성·측정한 데이터를 응답에 싣는 것뿐이라 추가 LLM 호출·렌더 없음. N5 응답에 초과 사유(초과 px) 필드 필요 — 9/7 N4·N5 명세 확정 전 반영. 실행계획 3단계 축소안의 "후보 선택 UI 제외"에서 이 폴백은 제외 대상이 아님</t>
  </si>
  <si>
    <t>★1차 번역 — 상시 생성 공통 자산</t>
  </si>
  <si>
    <t>번역은 단일 단계다 — 항상 원본 박스 폭에 맞춘 1차 번역을 생성한다(규격 선택과 무관). 규격 그대로 경로에서는 최종 산출물이고, 규격 변경 경로에서는 2차 번역의 입력이자 재사용 자산이다. 어느 경우든 content.csv에 trans_1 열로 남는다(PL-27). 1차 번역이 재사용되므로 두 산출물의 문구가 일관된다.</t>
  </si>
  <si>
    <t>① 규격 선택과 무관하게 1차 번역이 생성됨 ② content.csv trans_1 열에 항상 존재 ③ 다른 규격 생성 시 1차 번역이 재번역 없이 재사용됨</t>
  </si>
  <si>
    <t>v3.0 신설 · 변경안 §3-1</t>
  </si>
  <si>
    <t>★2차 번역 — 1차 번역에서 파생 (선별→압축)</t>
  </si>
  <si>
    <t>[12월] 규격 변경 시 2차 번역를 1차 번역에서 파생한다. 원문을 템플릿에 직접 매칭하지 않는 이유: ① 1차 번역은 셀러가 검수·수정한 문장이다 — 원문에서 다시 번역하면 그 수정이 증발한다 ② 규제 검증이 1차 번역 블록 단위로 이미 끝났다 ③ 용어집 일관성 — 제품명·성분명 표기가 자사몰과 아마존에서 갈리는 사고를 구조적으로 막는다. 작업 순서는 선별 → 압축이며 ★두 단계의 단위가 다르다. 선별은 블록(문단) 단위다 — 어떤 블록을 슬롯에 가져갈지 먼저 고르며 블록을 쪼개 담지 않는다. 압축은 선별한 블록 안에서 문장 단위로 줄인다 — 슬롯 제약을 넘칠 때만 수행한다. 통째로 버리는 것이 뭉개는 것보다 안전하다(문장을 뭉개면 규제 단서 조항 "helps"·"the appearance of"가 먼저 지워진다). 선별이 블록 단위이므로 출처는 origin_block_ids로 완전히 표현되며, 블록 안에서 어떤 문장이 남았는지는 기록하지 않는다 — 사용되지 않은 것을 화면에 표시하지 않기로 했으므로(예외 처리) 추적할 이유가 없다. 파생 시 각 2차 번역 항목에 출처 블록을 origin_block_ids(배열, F-EXP-03)로 기록한다 — 여러 1차 블록이 한 슬롯으로 합쳐질 수 있으므로 배열이며, 이것이 12월 섹션↔모듈 하이라이트 연동(F-CFM-13)의 유일한 연결 수단이다. 선별·압축 시 슬롯마다 후보를 여러 개 만들어 제시한다(F-CFM-11) — bullet 25자·headline 160자 같은 강한 제약에서는 들어가는 표현이 여럿 나오고 어느 것을 고르냐가 마케팅적으로 갈린다. A+는 글자수 제약이라 문자열 길이로 거르면 되고 렌더가 필요 없어 R-12(150~300회 렌더)의 재발이 아니다. 어떤 블록도 담지 못해 빈 슬롯이 남으면 그 슬롯에서 1차 번역을 후보로 연다 — 빈칸을 채우는 노동이 되면 PL-26에서 후퇴한다. 12월 폴백은 9월보다 한 칸 짧다: 조판 조정 수단이 없다(아마존이 렌더하므로 폰트를 줄일 수 없다). 2차 번역에도 규제 검증을 다시 돌린다 — 사전 매칭이라 비용은 무시 가능. 참고: A+ 텍스트 필드는 픽셀 폭이 아니라 글자수 제약이다("또 줄인다"가 아니라 "다른 자로 재단한다"). 2차 번역에서 고친 내용이 1차 번역에 반영되지 않아 세 번째 규격에서 같은 오역이 재발할 수 있는 문제는 빈도가 낮고, 용어 수준 수정의 용어집 반영은 확인 절차와 함께 12월 후보다(OI-50).</t>
  </si>
  <si>
    <t>① 2차 번역가 1차 번역에서 파생됨(원문 직접 번역 아님) ② 선별(블록 단위)이 압축(선별한 블록 안에서 문장 단위)보다 먼저 수행됨 ③ 파생 후 규제 재검증 수행 ④ content.csv trans_2 열에 기록됨 ⑤ 각 항목에 origin_block_ids가 기록됨 ⑥ 슬롯별 번역 후보가 생성되고 빈 슬롯에는 1차 번역이 후보로 제시됨 ⑦ ★블록이 쪼개져 여러 슬롯에 나뉘어 담기지 않음</t>
  </si>
  <si>
    <t>어떤 선별·압축으로도 제약을 못 맞추면 해당 슬롯을 비우고 1차 번역을 후보로 제시한다 / 2차 번역에 쓰이지 않은 1차 번역 블록을 "선별 탈락"이라 부르지 않는다 — 탈락이 아니라 이번 규격에 선택되지 않은 것이다. N3 섹션 제외는 판정(근거·조문이 있고 셀러가 뒤집을 수 있으며 삭제 내역으로 남는다)이지만 선별은 구성(서비스의 주장이 없고 재생성 입력으로만 남는다)이므로 성격이 다르다. 사용되지 않은 블록은 N5에 표시하지 않는다 — 결과에 반영되지 않는 작업을 시키는 구조가 되고(변경안 §3-3), A+ 5개 모듈에 원본 8섹션 138블록이면 목록이 100개를 넘어 무의미하다. F-SEC-05(삭제 내역 노출)가 요구하는 것은 규제·현지 판정으로 뺀 것이지 용량으로 담지 못한 것이 아니다</t>
  </si>
  <si>
    <t>v3.0 신설 · 변경안 §3-2·§3-3 · 검수는 하류 1회(원문/2차 번역, 3단 대조 미채택) · 9/1 4차 — origin_block_ids 기록 의무 추가 · 9/1 5차 — 슬롯별 후보 생성 단계 추가(화면정의서 N5의 [다른 번역 보기]가 12월에도 채울 데이터를 갖게 됨) · "선별 탈락" 용어 금지 · 미사용 문장 N5 미표시 · 9/1 6차 — 선별 단위를 블록(문단)으로 확정, 압축은 선별한 블록 안에서 문장 단위. F-INP-02a(블록 1건 = 문단 1개)와 어긋나던 산문 용어를 정정 — 변경안 §3-3의 표현이 블록 정의 확정 전에 쓰인 데서 온 잔재</t>
  </si>
  <si>
    <t>F-LOC-01</t>
  </si>
  <si>
    <t>현지 부적합 판정</t>
  </si>
  <si>
    <t>★현지 부적합 판정 사전</t>
  </si>
  <si>
    <t>현지(도착 시장)에서 무의미하거나 수정이 필요한 요소를 판정하는 사전. 규제 사전(F-TRN-07)과 동일 스키마이며 10~20 패턴으로 시작한다: 원화 표기·계좌 패턴·플랫폼 로고(카카오톡 등)·국내 전화 형식·국내 배송비·국내 한정 이벤트 등. "데이터 추가만으로 확장"이라는 F-TRN-07 설계 철학의 두 번째 실증 사례가 되며 X안(일본 확장)의 예고편 역할도 한다. 매칭 엔진은 F-TRN-03a와 공용.</t>
  </si>
  <si>
    <t>① 패턴 매칭으로 검출됨(의미 판정 아님) ② 사전 데이터 추가만으로 패턴이 늘어남 ③ 검출 결과가 F-SEC-04 배지·기본 버킷에 반영됨</t>
  </si>
  <si>
    <t>사전 조회 실패 시 현지 부적합 판정을 생략하되 규제 판정은 정상 수행한다</t>
  </si>
  <si>
    <t>v3.0 신설 · 변경안 §2 신규 사전 · 시드 구축은 데이터 담당</t>
  </si>
  <si>
    <t>★현지 부적합 3유형 처리</t>
  </si>
  <si>
    <t>현지 부적합을 세 유형으로 나눈다: ① 확실히 무의미(패턴 매칭으로 확실 — 원화·계좌·플랫폼 로고·국내 전화) → 제외 버킷 / ② 수정 필요(해외에도 필요하나 내용이 달라져야 함 — 교환·반품, A/S, 국내 인증마크) → 포함 버킷 + 🏷 배지 / ③ 문화적 차이(과장 그래픽·연예인 마케팅 — 판정 난이도 높음) → 9월 제외, 12월 검토.</t>
  </si>
  <si>
    <t>① 유형별 기본 버킷·배지가 규칙대로 적용됨 ② ③유형은 9월 판정 대상에서 제외됨</t>
  </si>
  <si>
    <t>v3.0 신설 · 변경안 §2 유형표</t>
  </si>
  <si>
    <t>★채널 정책 판정 · 티저</t>
  </si>
  <si>
    <t>채널(규격) 정책 위반을 판정한다 — 아마존 A+의 리뷰 인용·가격·연락처 금지, 대표이미지 텍스트 금지(F-CH-06) 등. 9월에는 규격이 원본 고정이므로 티저로만 노출한다: "미국 아마존 기준: 리뷰 섹션 삭제 대상 · 이 페이지는 A+ 모듈 7종으로 분해 필요 (12월 지원 예정)". 12월 규격 변경이 열리면 같은 화면에서 실제 판정으로 승격된다 — 화면 구조를 바꾸지 않고 데이터만 켜지는 형태(변경안 §7). ⚠ 근거 강도 주의: Seller Central 포럼에 이미지 내 텍스트 반려 사례 보고가 있으나(로고·제품 인쇄 문자까지 반려) Amazon 공식 전면 금지 정책은 미확인. "반려 리스크 존재" 수준으로만 기록하고 단정하지 말 것(변경안 §10).</t>
  </si>
  <si>
    <t>① 9월 티저 배지가 표시됨 ② 12월 승격 시 화면 구조 변경 없이 판정 데이터만 활성화됨 ③ 근거 문구가 "반려 리스크 존재" 수준을 넘지 않음</t>
  </si>
  <si>
    <t>v3.0 신설 · 변경안 §7·§10 · 판정 티저는 로드맵 영상보다 강한 예고편(보완안 §4-③)</t>
  </si>
  <si>
    <t>★원문·번역문 비교</t>
  </si>
  <si>
    <t>검수 화면(N5)은 좌우 2분할이다 — 좌측은 초장축 뷰어(F-CRP-01a), 우측은 블록별 표. 초장축 원본은 폭보다 높이가 중요하므로 뷰어가 화면 세로 전체를 쓰게 하고, 표는 열이 많으므로 가로 절반을 준다. 대조 대상은 경로별로 1회만. 【9월 · 규격 그대로】 좌측: 원본과 제자리 렌더 결과를 나란히 놓지 않고 한 뷰에서 슬라이더(전/후)로 겹쳐 본다 — 제자리 번역은 두 결과의 레이아웃이 같아 같은 자리에서 글자만 바뀌므로, 나란히 배치보다 겹쳐 보기가 차이를 정확히 드러내고 뷰어 폭도 절반만 쓴다. 우측 표: 원문/1차 번역(1차 번역이 곧 최종). 【12월 · 규격 변경】 좌측은 상하 2단 — 위는 템플릿 렌더 결과(주역: 아마존 규격대로 배치된 모듈 밴드이며 가로 970px 모듈이 폭을 온전히 쓴다 — 입력칸 목록이 아니라 실제 배치다. 셀을 수정하면 배치가 즉시 갱신되므로 셀러는 모듈 위에 문구가 어떻게 올라가는지 보고 확정한다. 2a는 텍스트가 이미지 밖이라 셀 수정 시 사진을 다시 만들 필요 없이 텍스트만 다시 흐르면 되고(CSS 리플로우), 2b는 텍스트가 이미지 안이라 재렌더가 필요하다), 아래는 원본 세로(보조, 기본 접힘이며 표 행·모듈 클릭 시 하이라이트와 함께 펼쳐진다 — F-CFM-13). 레이아웃이 서로 달라 슬라이더가 성립하지 않으므로 이 경로만 2단이다. 우측 표: 원문/2차 번역 · 1차 번역은 기본 숨김이며 "원본 규격 번역 보기"로 접어둔다(데이터로는 항상 존재 — content.csv trans_1). ★제외 섹션은 두 종류를 구분한다. 【N3에서 제외】 좌측 뷰어와 우측 표 어디에도 나타나지 않으며, 원본도 제외분을 빼고 스택한 상태로 표시해 두 결과의 높이가 같아진다 — 슬라이더가 성립하는 조건이다. 제외 확인은 이미 N3에서 끝났고 삭제 내역은 N3 화면과 content.csv·manifest에 남는다(F-SEC-05·NFR-31). 【N5에서 제외】 사라지지 않고 회색 오버레이로 남아 되돌릴 수 있다(F-CFM-14) — 자리를 유지하므로 높이가 바뀌지 않아 슬라이더가 유지되고, 스택은 N6 최종 렌더에서만 적용된다. "이 화면에서 한 일은 이 화면에서 되돌린다"는 원칙이다. 셀 수정 시 해당 경로의 렌더(제자리/템플릿)를 재실행한다. 3단 대조(원문/1차/2차)는 채택하지 않는다 — 2차 번역은 선별·압축된 결과라 1차와 1:1 대응이 아니며, 결과에 반영되지 않는 작업을 사용자에게 시키는 구조가 된다(변경안 §3-3).</t>
  </si>
  <si>
    <t>① 좌측 뷰어 + 우측 블록별 표의 2분할 ② 9월 경로에서 원본/결과가 한 뷰의 슬라이더로 대조됨 ③ 12월 경로에서 좌측이 상하 2단(위 템플릿 렌더·아래 원본 접힘)으로 전환됨 ④ 경로별 대조가 1회만 수행됨(9월 원문/1차, 12월 원문/2차) ⑤ 규격 변경 경로에서 1차 번역이 기본 숨김·접기로 제공됨 ⑥ ★N3에서 제외한 섹션이 좌·우 어디에도 나타나지 않고 원본도 제외분을 뺀 스택 상태로 표시되어 두 결과의 높이가 같음 ⑦ ★N5에서 제외한 섹션은 회색으로 남아 되돌릴 수 있고 높이가 변하지 않음(F-CFM-14)</t>
  </si>
  <si>
    <t>원문이 없는 추가 문장은 '사용자 추가'로 표시</t>
  </si>
  <si>
    <t>v3.0 수정 — 검수 화면을 표+재렌더로 확정, 경로별 대조 정의 · v3.0 수정(2차) — 12월 검수 화면 구체화(PM 확인 9/1) · v3.0 수정(4차) — 상단/하단 → 좌/우 2분할, 9월 슬라이더·12월 좌측 상하 2단 확정, 제외 섹션 N5 미표시 명시(PM 확정 9/1) · v3.0 수정(5차) — 제외 섹션을 N3 제외/N5 제외로 구분 · 12월 템플릿 위 검수임을 명확화(성능 주석 포함)</t>
  </si>
  <si>
    <t>F-CFM-02</t>
  </si>
  <si>
    <t>★번역문 직접 수정 (2차 피드백)</t>
  </si>
  <si>
    <t>검수 표의 번역문 셀을 직접 수정한다. 셀 수정 시 재렌더하고 금지표현 사전 매칭(F-TRN-03a)을 자동 재실행한다(차단 없이 경고 — 변경안 §2 화면 5). 캔버스 위 인라인 편집은 없다 — 표 수정은 폼이지 편집기가 아니다. 수정 결과의 책임은 사용자에게 있다.</t>
  </si>
  <si>
    <t>① 표 셀 수정 → 재렌더 ② 수정 시 F-TRN-03a 자동 재실행(경고 표시) ③ 수정 이력이 기록됨(A-QA-01) ④ 수정 시 책임 고지</t>
  </si>
  <si>
    <t>재실행 결과 위반 검출 시 차단하지 않고 경고 배지를 단다</t>
  </si>
  <si>
    <t>v1.7 · 재검증 범위 확정 — 경고만, 자동 재검증 없음 · OI-19 종결</t>
  </si>
  <si>
    <t>v3.0 수정 — 인라인 편집 폐기·표로 확정 · 사전 자동 재실행 추가(OI-19 v1.7 결론 변경)</t>
  </si>
  <si>
    <t>F-CFM-02a</t>
  </si>
  <si>
    <t>★번역 블록 상태 관리</t>
  </si>
  <si>
    <t>텍스트 블록마다 번역 상태를 관리한다. 상태는 기계번역 / 사용자수정 두 가지이며, 사용자가 번역문을 직접 수정하면 사용자수정으로 전환된다. 사용자수정 블록은 F-TRN-02d의 재번역 대상에서 제외되어 수정 내역이 보존된다.</t>
  </si>
  <si>
    <t>① 수정 시 상태가 전환됨 ② 사용자수정 블록이 재번역되지 않음 ③ 상태가 화면에 표시됨</t>
  </si>
  <si>
    <t>원문이 수정되면 사용자수정 상태여도 재번역 대상이 되며 사전에 안내한다</t>
  </si>
  <si>
    <t>v1.9 · v3.0 수정 — 블록 상태는 텍스트 블록 단위로 관리한다(구 배치 종속 폐기 — PL-21·22)</t>
  </si>
  <si>
    <t>v3.0 수정(4차) — 배치·조각 종속 문구 삭제</t>
  </si>
  <si>
    <t>★실행 취소 (Undo)</t>
  </si>
  <si>
    <t>텍스트 수정과 삭제를 되돌린다. MVP에서는 버튼을 노출하되 동작하지 않으며, 툴팁으로 12월 기능임을 안내한다(F-NAV-01 프로세스 바와 같은 방식) — 검수 화면의 버튼 구성을 처음부터 확정해 12월에 화면을 다시 짜지 않기 위함이다. 12월에 다단계 실행 취소와 재실행을 제공한다.</t>
  </si>
  <si>
    <t>① MVP는 버튼이 노출되고 클릭이 동작하지 않음 ② 12월 기능임이 툴팁으로 안내됨 ③ [12월] 수정·삭제 되돌리기 ④ [12월] 다단계 실행 취소 ⑤ [12월] 재실행(Redo) 지원</t>
  </si>
  <si>
    <t>스택 상한을 넘으면 가장 오래된 항목부터 폐기한다(12월) / MVP는 단계 되돌림이 없으므로 단계 이동에 의한 초기화는 발생하지 않는다 / MVP에서 셀 수정을 잘못하면 원문이 표에 남아 있으므로 다시 입력해 복구한다</t>
  </si>
  <si>
    <t>v1.6 수정 · NFR-09 연계(12월 적용) · 9/1 5차 — MVP must→should, 버튼만 노출·무동작(PM 확정 9/1) · 단계 이동 초기화 조항 삭제</t>
  </si>
  <si>
    <t>v3.0 수정(5차) — must→should · MVP는 버튼 노출·무동작(F-NAV-01 방식)</t>
  </si>
  <si>
    <t>★로컬라이징 근거 확인</t>
  </si>
  <si>
    <t>각 블록의 로컬라이징 근거를 확인할 수 있다. 사용자가 로컬라이징 판단 자체를 수정할 수는 없다.</t>
  </si>
  <si>
    <t>① 블록별 근거 표시 ② 규제 치환 사유 명시 ③ 근거는 읽기 전용</t>
  </si>
  <si>
    <t>근거 미산출 블록은 '근거 없음'으로 표시하고 재생성 요청 제공</t>
  </si>
  <si>
    <t>PL-11</t>
  </si>
  <si>
    <t>★확인 필요 블록 표시</t>
  </si>
  <si>
    <t>확인이 필요한 번역 블록과 섹션을 표시한다. 점수를 산출하지 않고 이미 생성되는 신호를 재사용한다: 규제 검증 결과(compliance_flags), 미적용 강제 용어(F-TRN-02c), 낮은 OCR 인식 신뢰도, 번역 실패·재시도 이력, ★인페인팅 잔존율 기준 초과·임계 근접(F-INP-01b의 처리 실패·품질 주의 2종). 신호가 있는 블록·섹션에 플래그를 달고 사유를 함께 표시한다. 인페인팅 신호는 블록이 아니라 섹션에 붙으므로 좌측 뷰어 결과의 해당 섹션 위에 인라인 배지로 표시하고(PL-24), 나머지 신호는 우측 표의 블록 행에 표시한다.</t>
  </si>
  <si>
    <t>① 신호가 있는 블록·섹션이 시각적으로 구분됨 ② 플래그 사유가 표시됨 ③ 구조화된 규제 검증 결과를 읽어 항목별로 표시 ④ ★인페인팅 잔존율 신호가 N5 응답에 포함되어 섹션 배지로 표시됨 ⑤ ★배지를 누르면 좌측 뷰어가 해당 섹션 위치로 이동함(F-CFM-13과 동일한 선택 상태)</t>
  </si>
  <si>
    <t>신호 산출이 실패한 블록은 표시를 생략하고 오류를 내지 않는다</t>
  </si>
  <si>
    <t>v2.0 · compliance_flags(jsonb) 구조화 결과 사용 · 점수화는 OI-33 · 9/1 4차 — 인페인팅 잔존율 신호 추가(N4가 자동 전환 화면이라 인페인팅 결과를 볼 지점이 N5뿐이므로). N5 응답 스키마에 반영 필요 — 김도연 9/7 N4·N5 명세 확정 전 입력</t>
  </si>
  <si>
    <t>v3.0 수정(4차) — 신호 목록에 인페인팅 잔존율 추가 · 섹션 배지 + 위치 이동 명시</t>
  </si>
  <si>
    <t>F-CFM-06</t>
  </si>
  <si>
    <t>줄바꿈·띄어쓰기 조정</t>
  </si>
  <si>
    <t>번역으로 길이가 달라진 텍스트의 줄바꿈 지점과 띄어쓰기를 조정한다. 위치와 크기는 변경되지 않는다.</t>
  </si>
  <si>
    <t>① 줄바꿈 지점 조정 ② 띄어쓰기 조정 ③ 조정 결과 즉시 반영</t>
  </si>
  <si>
    <t>조정 후에도 영역을 넘치면 경고 표시</t>
  </si>
  <si>
    <t>v3.0 삭제 — 줄바꿈·띄어쓰기 조정 삭제 — 시스템 자동 처리 + 알림만(F-CFM-12, 변경안 §4-2)</t>
  </si>
  <si>
    <t>F-CFM-07</t>
  </si>
  <si>
    <t>텍스트 위치 이동</t>
  </si>
  <si>
    <t>비개발 셀러가 텍스트 요소의 위치를 이동한다.</t>
  </si>
  <si>
    <t>① 드래그로 위치 이동 ② 모듈 경계 내 제한</t>
  </si>
  <si>
    <t>MVP에서는 위치 고정</t>
  </si>
  <si>
    <t>v3.0 삭제 — 텍스트 위치 이동 삭제 — 미세조정 UI 제거(예람안)</t>
  </si>
  <si>
    <t>F-CFM-08</t>
  </si>
  <si>
    <t>텍스트 색상·폰트 변경</t>
  </si>
  <si>
    <t>사용자가 텍스트 블록의 색상·폰트·크기를 직접 변경한다. MVP에서는 자동 매핑만 제공하고 개별 변경은 지원하지 않는다.</t>
  </si>
  <si>
    <t>① 블록별 색상·폰트·크기 변경 ② 변경 후 규격 최소 폰트 검증</t>
  </si>
  <si>
    <t>12월 구현 · F-PLC-02d 보완</t>
  </si>
  <si>
    <t>v3.0 삭제 — 텍스트 색상·폰트 변경 삭제 — 폰트 크기 슬라이더를 노출하는 순간 디자인 편집기가 됨(변경안 §4-2)</t>
  </si>
  <si>
    <t>★번역 후보 선택 (화면 라벨 「다른 번역 보기」)</t>
  </si>
  <si>
    <t>공간 제약 루프(F-TRN-08)가 통과시킨 후보 여러 개 중에서 선택한다. 표의 [다른 번역 보기]로 접근한다. 화면에 노출하는 말은 「다른 번역」이며, 명세·API·로그의 내부 용어는 「번역 후보」로 유지한다(PM 확정 9/1). 사용자의 일이 "넘치는 걸 줄이는 노동"에서 "후보 중 고르는 선택"으로 바뀐다(방향재정의 §3-①).</t>
  </si>
  <si>
    <t>① 통과한 번역 후보가 2개 이상일 때 선택 UI 제공 ② 선택 즉시 재렌더 ③ 선택 이력 기록(A-QA-01) ④ 화면 문구에 "후보"라는 말이 노출되지 않음</t>
  </si>
  <si>
    <t>통과한 번역 후보가 없으면 "짧은 표현이 필요합니다" 경고와 직접 수정으로 안내</t>
  </si>
  <si>
    <t>v3.0 신설 · 변경안 §4-2 허용 목록 · 9/1 4차 — 화면 라벨 「다른 번역 보기」로 개칭</t>
  </si>
  <si>
    <t>★자동 조정 알림 (조작 불가)</t>
  </si>
  <si>
    <t>시스템이 수행한 조판 자동 조정(폰트 −8% 등)을 알림으로만 표시한다: "ℹ 자동 조정됨 (폰트 −8%)". 조작 UI는 없다 — 폰트 크기 슬라이더를 노출하는 순간 디자인 편집기가 된다. 알리지 않으면 셀러가 "왜 글자 크기가 다르지?" 하고 놀라고, 만지게 하면 편집기가 된다(변경안 §4-2). 조정 내역은 content.csv auto_adjust 열과 일치한다.</t>
  </si>
  <si>
    <t>① 자동 조정 블록에 알림 표시 ② 조정 조작 UI가 존재하지 않음 ③ auto_adjust 기록과 일치</t>
  </si>
  <si>
    <t>v3.0 신설 · 변경안 §4-2</t>
  </si>
  <si>
    <t>★블록 ↔ 섹션 연동 선택</t>
  </si>
  <si>
    <t>검수 화면의 좌측 뷰어와 우측 블록 표가 하나의 선택 상태(선택 섹션·선택 블록)를 공유해 양방향으로 이동한다. ① 우측 표의 블록 행을 누르면 좌측 뷰어가 그 블록이 속한 섹션 위치로 이동하고 블록 bbox를 하이라이트한다 ② 좌측 뷰어에서 섹션을 누르면 우측 표가 그 섹션 그룹으로 스크롤되고 해당 블록들을 하이라이트한다. 우측 표는 섹션별 그룹 헤더로 묶어 표시한다 — 묶여 있지 않으면 역방향 이동이 어디로 갔는지 알 수 없다. ③ 좌측 뷰어에서 블록을 누르면 그 행으로 스크롤하고 우측 표의 번역문 셀에 커서가 들어간다 — 인라인 편집은 두지 않는다(F-CFM-02·PL-26). 겹치는 bbox는 가장 작은 것을 우선하고, 슬라이더가 원본 쪽에 있어도 bbox가 같으므로 같은 블록으로 간다. 인페인팅 경고 배지 클릭(F-INP-01b·F-CFM-05)도 같은 선택 상태를 쓴다. 좌표는 manifest의 섹션 bbox·스택 오프셋과 블록 원본 bbox를 그대로 사용하므로 추가 데이터가 없다. 【12월 · 규격 변경】 같은 선택 상태를 섹션↔모듈 하이라이트로 확장한다 — 2차 번역 행을 누르면 템플릿의 해당 모듈 슬롯과 출처 섹션들이 함께 하이라이트되고, 모듈을 누르면 그 슬롯에 들어간 블록 행들을 전부 하이라이트하고 첫 행에 포커스를 준다(origin_block_ids가 배열이라 여러 행이 대응한다). 우측 표의 그룹 헤더 기준은 경로별로 다르다 — 9월은 섹션별, 12월은 행이 모듈 슬롯이므로 모듈별로 묶는다. 연결은 문자열 비교가 아니라 manifest의 origin_block_ids(F-EXP-03)로 조회한다 — 2차 번역은 선별→압축으로 파생되어 문장이 잘리고 합쳐지므로 텍스트 매칭이 성립하지 않는다.</t>
  </si>
  <si>
    <t>① 표 행 클릭 시 좌측 뷰어가 해당 섹션으로 이동하고 블록이 하이라이트됨 ② 뷰어의 섹션 클릭 시 표가 그 섹션 그룹으로 스크롤되고 블록들이 하이라이트됨 ③ 우측 표가 섹션별 그룹 헤더로 묶여 표시됨 ④ 배지 클릭과 동일한 선택 상태를 사용함 ⑤ 뷰어의 블록 클릭 시 해당 셀에 커서가 들어감 ⑥ 표 그룹 헤더가 9월 섹션별·12월 모듈별로 묶임 ⑦ [12월] 2차 번역 행 ↔ 템플릿 모듈 슬롯이 origin_block_ids로 상호 하이라이트됨</t>
  </si>
  <si>
    <t>블록에 대응 섹션이 없으면(사용자 추가 문장) 이동 없이 표에서만 하이라이트한다 / [12월] origin_block_ids가 비어 있는 예외 건은 정규화 후 최장 공통 부분열로 폴백 매칭하고 추정임을 표시한다</t>
  </si>
  <si>
    <t>v3.0 신설(4차) · PM 확정 9/1 — 배지 점프(F-CFM-05 ⑤)와 같은 선택 상태를 재사용하므로 추가 데이터·API 없음 · 12월 확장은 origin_block_ids 존재가 전제 · 9/1 5차 — 블록 클릭→셀 포커스 확장(정방향에서 이미 bbox를 뷰어 좌표로 그리므로 핸들러·scrollIntoView·focus만 추가) · 12월 표 그룹은 모듈별</t>
  </si>
  <si>
    <t>★검수 중 섹션 제외 (회색 처리 · 되돌리기)</t>
  </si>
  <si>
    <t>검수(N5)에서 섹션을 결과물에서 빼고, 뺀 것을 다시 되돌릴 수 있다. 제외해도 화면에서 사라지지 않는다 — 좌측 뷰어의 해당 자리를 회색 오버레이로 덮고 「저장 시 제외됨 · 위아래가 붙습니다」와 [되돌리기]를 함께 표시하며, 우측 표의 해당 섹션 그룹도 회색 처리하고 편집을 막는다. 자리를 유지하므로 원본과 결과의 높이가 그대로여서 슬라이더 대조가 깨지지 않고(F-CFM-01), 재조판·재렌더가 발생하지 않는다 — 수평 절단+스택(F-SEC-07)은 N6 최종 렌더에서 한 번만 적용된다. 회색 오버레이와 [되돌리기]는 슬라이더 위치와 무관하게 항상 표시되는 레이어다. N3에서 제외한 섹션은 이 화면에 나타나지 않으며(F-CFM-01 ⑥) 여기서 되살릴 수 없다 — 이 화면에서 한 일만 이 화면에서 되돌린다. 인페인팅이 실패한 섹션 때문에 작업 전체를 버려야 하던 문제(PL-24 · F-INP-01e가 12월)의 9월 해법이다.</t>
  </si>
  <si>
    <t>① 제외한 섹션이 사라지지 않고 회색 오버레이 + 사유 + [되돌리기]로 표시됨 ② 되돌리면 원상 복귀함 ③ 제외 상태에서도 원본/결과 높이가 같아 슬라이더가 유지됨 ④ 우측 표의 해당 그룹도 회색·편집 불가 ⑤ 제외 반영은 N6 최종 렌더에서만 일어남 ⑥ N3에서 제외한 섹션은 이 화면에 없음</t>
  </si>
  <si>
    <t>전 섹션을 제외하면 확정을 차단하고 안내한다(N3와 동일 원칙) / 제외 상태로 확정하면 사유 코드 user_manual로 기록한다(F-SEC-06 · 새 코드를 만들지 않는다) / 되돌린 섹션은 제외가 아니므로 사유를 남기지 않는다</t>
  </si>
  <si>
    <t>v3.0 신설(5차) · PM 확정 9/1 — 5차 원안의 「즉시 삭제·되살리기 없음」을 회색 처리 방식으로 대체. 자리를 유지해 슬라이더 전제(같은 섹션 집합·같은 높이)를 지키고 검수 중 재렌더를 없앰</t>
  </si>
  <si>
    <t>05. 작업 상태 및 비즈니스 정책 — v3.0</t>
  </si>
  <si>
    <t>컨펌 완료 및 다음 단계</t>
  </si>
  <si>
    <t>검수를 확정하면 N6 저장(산출물 묶음 생성)으로 이동한다.</t>
  </si>
  <si>
    <t>① 확정 시 최종 합성 단계로 전환</t>
  </si>
  <si>
    <t>미해결 규제 경고가 있으면 확인을 받고 이력을 저장</t>
  </si>
  <si>
    <t>v3.0 수정 — 다음 단계 S8→N6</t>
  </si>
  <si>
    <t>F-CFM-10</t>
  </si>
  <si>
    <t>★AI 텍스트 배치 제안</t>
  </si>
  <si>
    <t>번역으로 길이가 달라져 원위치가 부적절해진 텍스트 블록에 대해, 모듈 여백·조각 경계·세이프존을 고려한 재배치 위치를 AI가 제안한다. 사용자는 블록 단위로 수락·거부한다. 조각은 움직이지 않는다.</t>
  </si>
  <si>
    <t>P3</t>
  </si>
  <si>
    <t>★연녹 = v3.0 신규 · 연노랑 = v3.0 수정 · 연빨강+취소선 = v3.0 삭제 · (연보라 = v2.5 · 주황 = v2.4)</t>
  </si>
  <si>
    <t>① 제안 적용 후 세이프존을 침범하지 않음 ② 조각 위 가독 영역에 놓임 ③ 블록 단위 수락·거부</t>
  </si>
  <si>
    <t>제안 실패 시 기존 위치를 유지</t>
  </si>
  <si>
    <t>v1.5 신설 · 발표 시 언급만</t>
  </si>
  <si>
    <t>v3.0 삭제 — AI 텍스트 배치 제안 삭제 — 배치 개념 소멸(기존 won't)</t>
  </si>
  <si>
    <t>F-FIN-01</t>
  </si>
  <si>
    <t>N6 최종</t>
  </si>
  <si>
    <t>★최종 이미지 렌더링</t>
  </si>
  <si>
    <t>작업 상태</t>
  </si>
  <si>
    <t>확정된 배치와 텍스트를 HTML로 조립해 Playwright로 최종 이미지를 렌더링한다. ★결과물은 원본 업로드 단위를 유지해 분할한다 — 셀러가 나눠 올린 경계가 이미 그 셀러의 편집 단위이고, 섹션 분해도 장별로 수행되므로(F-SEC-01) 경계에 걸친 섹션이 없다. 검수(N5)는 전체를 하나로 이어 보고(슬라이더 대조가 그래야 성립한다) 분할은 저장(N6)에서 수행하며, 순서는 렌더 → 분할 → 규격 검증이다 — 용량은 파일당 기준이라 통짜 상태에서 재면 항상 위반으로 나온다. 제외된 섹션만큼 결과물이 원본보다 짧아지는 것은 F-SEC-07이 의도한 정상 동작이다. 진행 상태를 3단계(HTML 조립 → 폰트 로딩 → 이미지 캡처)로 표시하고, 모듈이 여러 개면 '3/7 모듈 렌더링 중'처럼 개수로 함께 보여준다.</t>
  </si>
  <si>
    <t>진입 조건</t>
  </si>
  <si>
    <t>의미</t>
  </si>
  <si>
    <t>다음 가능 상태</t>
  </si>
  <si>
    <t>① 화면에서 본 결과와 렌더링 결과 일치 ② 채널 요구 해상도로 출력 ③ 폰트 렌더링 일관 ④ 진행 단계와 모듈 진행 개수가 표시됨 ⑤ ★결과물이 원본 업로드 장수와 같은 수로 분할됨 ⑥ ★규격 검증이 분할 후에 수행됨</t>
  </si>
  <si>
    <t>렌더링 실패 시 재시도 후 오류 상태 전환 — 오류 상태에서 저장(N6)으로 복귀해 재시도할 수 있다(05_상태_정책) / 폰트 로드 실패 시 대체 폰트로 렌더링하고 표시</t>
  </si>
  <si>
    <t>v2.2 · 대기 중 진행 표시 정의 · F-JOB-05 비동기</t>
  </si>
  <si>
    <t>v2.4 수정 · 오류 상태의 S8 복귀 명시 · v3.0 수정(5차) — 결과물 분할 규칙 신설 — 원본 업로드 단위 · N6에서 분할 · 렌더→분할→검증 · v3.0 수정(5차) — 구 S번호 정정</t>
  </si>
  <si>
    <t>F-FIN-01a</t>
  </si>
  <si>
    <t>생성됨 (created)</t>
  </si>
  <si>
    <t>N1 완료</t>
  </si>
  <si>
    <t>★폰트 매핑 및 임베드</t>
  </si>
  <si>
    <t>폰트는 역할 기반으로 매핑한다 — 원본 폰트 패밀리 식별은 포기하고(F-STY-05), 텍스트 역할(제목/본문 등, F-INP-02b)에 따라 백엔드에 등록된 2~3종 폰트로 고정 매핑한다. 렌더 서버에 폰트를 임베드해 로컬과 서버 결과가 동일하도록 한다.</t>
  </si>
  <si>
    <t>원본·조건(국가·규제분류·규격) 등록 완료</t>
  </si>
  <si>
    <t>분석중 / 취소</t>
  </si>
  <si>
    <t>① 역할별 매핑 테이블에 따라 폰트가 적용됨 ② 서버 렌더 결과가 미리보기와 동일 ③ 폰트 누락 시 폴백이 적용됨</t>
  </si>
  <si>
    <t>매핑되지 않은 폰트는 역할별 기본 폰트로 대체</t>
  </si>
  <si>
    <t>v1.5 신설 · 12월 사용자 변경 지원 예정 · v1.7 렌더링 HTML/Playwright 확정(OI-34 종결)</t>
  </si>
  <si>
    <t>v3.0 수정 — 추정 폰트 치환→역할 기반 고정 매핑(F-STY-05)</t>
  </si>
  <si>
    <t>F-FIN-01b</t>
  </si>
  <si>
    <t>★출력 후처리</t>
  </si>
  <si>
    <t>렌더 결과를 규격에 맞게 후처리한다. 리사이즈, 색공간 변환(RGB), 포맷 변환, 파일 크기 압축을 포함한다. A+ 이미지는 2MB 미만이어야 한다.</t>
  </si>
  <si>
    <t>분석중 (analyzing)</t>
  </si>
  <si>
    <t>① 색공간이 RGB로 변환됨 ② 파일 크기가 상한 이내 ③ 포맷이 규격 허용 목록에 포함</t>
  </si>
  <si>
    <t>압축으로도 상한을 못 맞추면 경고 후 저장</t>
  </si>
  <si>
    <t>N2 진입</t>
  </si>
  <si>
    <t>v1.5 신설 · F-CH-05a 연계</t>
  </si>
  <si>
    <t>전체 OCR·섹션 분해·판정 실행 — 비동기</t>
  </si>
  <si>
    <t>섹션확인 / 오류</t>
  </si>
  <si>
    <t>F-FIN-02</t>
  </si>
  <si>
    <t>규격 준수 상태 표시</t>
  </si>
  <si>
    <t>규격 검증 결과(F-CH-05)를 요약해 보여준다. 해상도·종횡비·배경·장수 항목별 통과 여부와 위반 사유를 표시한다.</t>
  </si>
  <si>
    <t>섹션확인 (section_review)</t>
  </si>
  <si>
    <t>① 항목별 통과·경고 표시 ② 위반 항목 클릭 시 위치 하이라이트</t>
  </si>
  <si>
    <t>검증 자체가 실패하면 '검증 불가'로 표시하고 강행 선택을 로그로 남김</t>
  </si>
  <si>
    <t>N3 섹션 확인 대기 (되살리기/제외)</t>
  </si>
  <si>
    <t>F-CH-05 의존</t>
  </si>
  <si>
    <t>번역중 / 취소</t>
  </si>
  <si>
    <t>v3.0 수정(3차) — 검증 용어 개칭</t>
  </si>
  <si>
    <t>번역중 (translating)</t>
  </si>
  <si>
    <t>최종 확인 및 저장</t>
  </si>
  <si>
    <t>인페인팅 ∥ 1차 번역 ∥ 규제 검증 → 조판·렌더 — 비동기</t>
  </si>
  <si>
    <t>확인하면 결과물이 보관함에 카드로 저장되고 산출물 묶음(export.zip — F-EXP-01)이 생성된다. ★보관과 배포를 구분한다 — 서버에는 이미지·content.csv·html과 manifest.json을 모두 보관해 다른 규격 생성(F-VER-02)과 재생성이 가능하게 하되, 셀러가 내려받는 대상은 manifest를 제외한 이미지·content.csv·html(·12월 baked·psd)이다(F-EXP-01·F-LST-06).</t>
  </si>
  <si>
    <t>검수 / 오류</t>
  </si>
  <si>
    <t>① 보관함에 신규 카드 생성 ② 산출물 묶음 구성요소가 모두 저장됨 ③ 작업 상태 '완료' 전환 ④ 렌더 성공 시에만 완료 전환 가능</t>
  </si>
  <si>
    <t>저장 실패 시 결과물을 유지하고 재시도 제공</t>
  </si>
  <si>
    <t>v2.4 수정 · 완료 조건 명시(부분 결과물 없음 — OI-45) · v3.0 수정 — 단일 이미지→산출물 묶음(F-EXP) · v3.0 수정(7차) — 보관 대상과 다운로드 대상 분리(manifest는 보관만)</t>
  </si>
  <si>
    <t>검수 (reviewing)</t>
  </si>
  <si>
    <t>N5 검수 표 수정 대기</t>
  </si>
  <si>
    <t>완료 / 취소</t>
  </si>
  <si>
    <t>산출물 내보내기</t>
  </si>
  <si>
    <t>★산출물 묶음 (export.zip)</t>
  </si>
  <si>
    <t>완료 (completed)</t>
  </si>
  <si>
    <t>N6 확인</t>
  </si>
  <si>
    <t>산출물 묶음 확정. 보관함에 카드 생성</t>
  </si>
  <si>
    <t>저장(N6)에서 export.zip을 생성한다. 구성: images/(must·9월) · content.csv(must·9월) · html(should·9월) · ★baked/(should·12월 — 텍스트가 구워진 모듈 이미지, F-EXP-07) · psd(12월 — 비활성 노출). 경로별 비중: 규격 그대로는 긴 세로 이미지가 본체이고 content.csv는 보조(문구가 이미 이미지에 구워짐), 규격 변경(2a)은 모듈별 여러 장 + content.csv가 본체의 절반(A+는 텍스트를 아마존 폼에 따로 입력 — 없으면 등록 불가). ★manifest.json은 넣지 않는다 — 셀러가 열어도 의미가 없고, 고쳐서 되돌릴 경로가 없으며(F-EXP-05는 content.csv 재업로드만 지원), 서비스 밖에서 재생성할 수도 없다(Rule Engine·템플릿·폰트 매핑·인페인팅 배경이 모두 서비스 안에 있다). 최종 산출물은 셀러에게 가는 것이고 manifest는 파이프라인 내부 상태이므로 구성요소 선택지로도 두지 않는다 — 아무도 켤 이유가 없는 선택지는 노이즈다. manifest는 그대로 생성·보관되며 확인은 서버에서 한다(F-EXP-03). ★다운로드는 두 경로다 — 체크한 항목을 묶는 [선택 항목 export.zip 다운로드]와, 각 항목 행의 [↓]로 체크와 무관하게 그것만 즉시 받는 개별 다운로드(should·9월). 개별 다운로드는 단일 파일 항목(content.csv·html·psd)은 파일 그대로, 복수 파일 항목(images/·baked/)은 그 항목만 묶은 zip으로 내려준다.</t>
  </si>
  <si>
    <t>① zip에 images/·content.csv가 항상 포함됨 ② html 포함(should) ③ psd 슬롯이 12월 비활성으로 노출됨 ④ ★셀러가 구성요소를 선택해 무엇을 받을지 고를 수 있음(분리형 images/+content.csv와 baked/는 배타적이지 않고 함께 제공된다) ⑤ ★manifest.json이 zip과 다운로드 목록 어디에도 없음 ⑥ ★항목별 개별 다운로드 버튼이 제공되며 단일 파일은 파일로, 복수 파일 항목은 그 항목만 묶은 zip으로 받아짐(should·9월) ⑦ ★생성되지 않은 항목의 버튼은 비활성</t>
  </si>
  <si>
    <t>일부 구성요소 생성 실패 시 성공분만 묶고 실패를 명시한다 / 생성 실패했거나 12월 비활성인 항목은 개별 다운로드 버튼도 비활성으로 둔다</t>
  </si>
  <si>
    <t>v3.0 신설 · 변경안 §4-3·§4-5 · S8 단일 이미지→묶음 확장(A-6) · v3.0 수정(5차) — 구성요소에 baked/ 추가 · 구성요소 선택 명시 · v3.0 수정(7차) — export.zip에서 manifest.json 제외(셀러 배포 대상 아님, PM 확정 9/1) · 항목별 개별 다운로드 추가(should·9월)</t>
  </si>
  <si>
    <t>오류 (error)</t>
  </si>
  <si>
    <t>재시도 소진</t>
  </si>
  <si>
    <t>실패 사유 표시, 해당 단계 재시도 가능</t>
  </si>
  <si>
    <t>분석중 / 번역중</t>
  </si>
  <si>
    <t>★content.csv 스키마</t>
  </si>
  <si>
    <t>취소 (cancelled)</t>
  </si>
  <si>
    <t>사용자 취소</t>
  </si>
  <si>
    <t>작업 중단 및 리소스 정리</t>
  </si>
  <si>
    <t>열: section_id / block_id / field_type(headline·body·bullet) / source_ko(원문) / trans_1(원본 규격 박스 폭 기준 번역) / trans_2(템플릿 기준 번역 — 규격 변경 시) / ★origin_block_ids(2차 번역의 출처 1차 블록 배열 — manifest와 같은 값) / char_count / limit / overflow / verdict / verdict_basis(규제 판정+근거) / excluded / exclusion_reason(사유 코드 — F-SEC-06) / auto_adjust(자동 조판 조정 내역). ★행의 의미는 경로에 따라 다르다 — 규격 그대로는 한 행이 텍스트 블록이고 trans_1이 채워지며(기록·재생성 입력, F-EXP-01 "보조"), 규격 변경(A+)은 한 행이 모듈 슬롯이고 trans_2와 origin_block_ids가 채워진다(셀러가 아마존 폼에 입력할 값이라 슬롯 단위가 아니면 쓸 수 없다 — F-EXP-01 "본체의 절반"). 열 정의는 하나로 둔다. ★규격 변경 경로에서는 제외 섹션이 어느 슬롯에도 들어가지 않아 행이 사라지므로, 슬롯 행 아래에 제외 섹션 행 그룹을 별도로 붙여 사유 코드·판정 근거를 남긴다 — NFR-31이 content.csv와 manifest 양쪽에 누락 0건을 요구하므로 manifest만으로는 충족되지 않는다. 축 A(내용 수정)의 본체다 — 셀러가 파일을 열어 글자를 고치면 그 수정이 파이프라인 밖으로 나가 다른 규격 재생성에 반영되지 않으므로, 내용 수정은 검수 표(서비스 안)로 흡수한다(변경안 §4-1).</t>
  </si>
  <si>
    <t>① 정의된 전 열이 존재 ② 규격 그대로는 행=블록·trans_1, 규격 변경은 행=모듈 슬롯·trans_2+origin_block_ids ③ 제외 섹션의 사유가 두 경로 모두에서 누락 없이 기록됨(NFR-31) ④ 규격 변경 경로에 제외 섹션 행 그룹이 존재함</t>
  </si>
  <si>
    <t>v3.0 신설 · 변경안 §4-4 · 1차 번역/2차 번역 2단 번역이 스키마에 반영됨 · 9/1 5차 — 경로별 행 단위 정의 · origin_block_ids 열 추가 · 제외 섹션 행 그룹(NFR-31 충족)</t>
  </si>
  <si>
    <t>★manifest.json</t>
  </si>
  <si>
    <t>bbox·스타일·판정·선택 상태(버킷 결과·사유 코드)를 담는다. ★셀러 배포용이 아니라 파이프라인 입력 포맷이므로 export.zip과 보관함 다운로드 목록에 포함하지 않는다(9/1 결정) — 생성·보관은 그대로 유지하며 must다. 없으면 12월 규격 변경(F-CH-10)·다른 버전 만들기(F-VER-01·02)·좌↔우 연동 선택(F-CFM-13)이 돌지 않는다. 생성 여부는 서버에서 확인한다. 재생성과 규격 변경 경로(F-CH-10)의 입력으로 그대로 재사용된다. 삭제 내역(F-SEC-05)을 반드시 포함한다. ★2차 번역 항목에는 origin_block_ids(배열)를 두어 어떤 1차 번역 블록에서 파생됐는지 기록한다 — 선별·압축으로 문장이 잘리고 합쳐지므로 문자열로는 출처를 되찾을 수 없고, 12월 섹션↔모듈 하이라이트 연동(F-CFM-13)이 이 필드를 조회한다. 선별 로직 자체는 미확정이나(OI-48) 필드 자리는 9월 스키마 확정 시 함께 잡아 12월에 스키마를 다시 열지 않는다.</t>
  </si>
  <si>
    <t>① 규격 변경 경로가 manifest만으로 재구동 가능 ⓪ ★서버에 생성·보관되며 export.zip·다운로드 목록에는 없음 ② 삭제 내역·판정 근거 포함 ③ 스키마 버전 필드 보유 ④ ★2차 번역 항목에 origin_block_ids 배열이 존재(9월에는 빈 배열)</t>
  </si>
  <si>
    <t>v3.0 신설 · 변경안 §4-3 · 선별 로직(OI-48)이 스키마에 영향 — 12월 전 확정 필요 · 9/1 4차 — origin_block_ids 필드 추가(12월 하이라이트 연동 전제, OI-48 스키마 영향 선반영) · 9/1 7차 — 셀러 배포 대상에서 제외(생성·보관·must는 유지). 대분류는 산출물 내보내기로 유지 — N6에서 export와 함께 생성되는 형제이므로</t>
  </si>
  <si>
    <t>html 내보내기</t>
  </si>
  <si>
    <t>재조판 결과를 html로 내보낸다. 재조판이 이미 HTML/Playwright라 추가 공수 ≈ 0. PSD 전까지 유일한 축 B(비주얼 수정) 탈출구다. 배경 이미지 자산 패키징은 OI-29.</t>
  </si>
  <si>
    <t>① html+자산이 열리는 상태로 패키징됨 ② 렌더 결과와 육안 동일</t>
  </si>
  <si>
    <t>v3.0 신설 · 변경안 §4-3 · OI-29 연계(9월 승격)</t>
  </si>
  <si>
    <t>※ v3.0 재정의 (8종 — 구 9종에서 배치중·원문확인 폐지, 분석중·섹션확인 신설). MVP는 단일 세션 전제 유지.</t>
  </si>
  <si>
    <t>F-EXP-05</t>
  </si>
  <si>
    <t>CSV 수정본 재업로드 → 재렌더</t>
  </si>
  <si>
    <t>content.csv를 내려받아 수정한 뒤 재업로드하면 재렌더한다. 검수 표의 오프라인 버전. 재업로드분에도 금지표현 사전 매칭(F-TRN-03a)을 재실행한다.</t>
  </si>
  <si>
    <t>① 수정 CSV 재업로드 시 재렌더됨 ② 사전 매칭 재실행 ③ 스키마 불일치 시 거부·안내</t>
  </si>
  <si>
    <t>스키마가 깨진 CSV는 행 단위 오류를 안내하고 반영하지 않는다</t>
  </si>
  <si>
    <t>v3.0 신설 · 변경안 §4-3</t>
  </si>
  <si>
    <t>※ 취소(F-JOB-07)는 작업(상품 1건의 N1~N6) 전체를 종료하며 되돌아올 수 없다. 진입점은 S0 프로세스 바의 [X]이며 전 화면 고정이다(N1은 예외 — 「보관함으로 나가기」). ★처리 화면(N2·N4)의 [중단]은 취소가 아니라 F-JOB-08로, 진행 중인 처리만 멈추고 직전 화면(N1·N3)으로 돌아가며 작업은 남는다 — 되돌릴 수 있는 동작이다. 확인 다이얼로그가 삭제 대상을 항목별로 열거한다. MVP의 후퇴 수단은 처리 중단·복귀(F-JOB-08), 검수 중 섹션 제외(F-CFM-14), 그리고 [X] 취소 셋이다. 되돌림(F-NAV-02)·재인페인팅(F-INP-01e)·미완료 저장(F-LST-08)·실행 취소(F-CFM-03)는 모두 12월이라, 처리 결과가 불만족스러울 때 사용자가 택할 수 있는 유일한 후퇴 수단이 취소다. 12월에 세 기능이 도입되면 취소는 최후 수단이 된다. — v2.4</t>
  </si>
  <si>
    <t>하이브리드 PSD (12월)</t>
  </si>
  <si>
    <t>[12월] ag-psd + @napi-rs/canvas로 생성. 레이어: 배경(인페인팅 완료, 래스터) / ① 번역문(이미지, 표시 — 폰트 없어도 보이는 대로 열림) / ② 번역문(편집용 텍스트, 숨김 — 폰트 있으면 진짜 편집) / ③ 원문(참고, 숨김). 8/31 실측: 설치 4초·코드 약 60줄·860×2000 = 0.40MB/141ms·860×10000 = 1.26MB/1.2초·최악(사진 배경+텍스트 80개) 26MB/1.0초. 제약 3개: ① 폰트 미임베드(PostScript 이름 참조만 — ①레이어가 흡수) ② 열 때 업데이트 경고창(무해) ③ 세로쓰기 작성 시 PSD 파손(라이브러리 문서 명시 — R-10). 경로별 가치: 규격 그대로는 의미 큼(텍스트가 이미지 안), 규격 변경 2a는 의미 작음(텍스트가 이미 밖).</t>
  </si>
  <si>
    <t>① 4레이어 구조로 생성됨 ② Photoshop에서 ①레이어가 폰트 없이 열림 ③ 세로쓰기 텍스트를 생성하지 않음(R-10)</t>
  </si>
  <si>
    <t>X안(일본 세로쓰기) 채택 시 PSD 내보내기 경로 재검토(R-10)</t>
  </si>
  <si>
    <t>v3.0 신설 · 변경안 §6 — 8/31 실측 완료 · Python psd-tools 교차 확인(kind=type 정품 타입 레이어)</t>
  </si>
  <si>
    <t>★baked — 텍스트가 구워진 이미지</t>
  </si>
  <si>
    <t>[12월] 규격 변경 경로에서 텍스트가 올라간 모듈 이미지를 baked/ 폴더로 내보낸다. 산출물 구성요소의 하나이며 셀러가 무엇을 받을지 선택한다(F-EXP-01) — images/+content.csv(분리형)와 배타적이지 않고 함께 제공된다. 아마존 모듈의 이미지 슬롯 규격에 정확히 맞춰 렌더하므로 그대로 업로드할 수 있다. 유형이 다른 모듈(사진 여러 장 + 별도 텍스트 필드)의 모양도 단일 이미지 슬롯 안에 조판해 만든다 — 아마존 모듈 구조를 따라가는 것이 아니라 슬롯 하나를 우리 레이아웃으로 채우는 방식이다. 새 조판 로직이 필요 없다: 템플릿이 HTML/CSS이고 렌더가 Playwright이므로 N5에서 이미 보고 있던 화면을 슬롯 규격으로 캡처한다. 2b 긴 이미지형에서는 같은 결과가 images/ 본체가 되므로 같은 기계를 경로에 따라 다르게 쓸 뿐이다.</t>
  </si>
  <si>
    <t>① baked/가 모듈 이미지 슬롯 규격과 동일한 크기로 생성됨 ② images/와 폴더가 분리됨 ③ N6 구성요소 선택으로 켜고 끌 수 있음 ④ 규격 검증(F-CH-05) 대상에 포함됨 ⑤ 선택 시 한계 고지가 표시됨</t>
  </si>
  <si>
    <t>모바일에서는 아마존이 텍스트를 재배치하지 못하고 이미지가 그대로 축소되어 작은 글자가 읽히지 않을 수 있음 · 이미지 속 텍스트는 스크린리더가 읽지 못함 · 아마존의 이미지 내 텍스트 정책과 검색 노출 영향은 확인 필요(단정 금지 — 변경안 §10) — 세 가지를 선택 시점에 고지하고 판단은 셀러에게 맡긴다(PL-25) / 반대로 baked는 N5에서 본 화면이 곧 업로드 파일이라 미리보기와 결과가 일치한다(NFR-12)</t>
  </si>
  <si>
    <t>v3.0 신설(5차) · PM 확정 9/1 — 확인용 preview가 아니라 산출물 선택지 · 템플릿 슬롯을 아마존 글자수 상한이 들어가는 크기로 설계해야 분리형과 같은 번역을 공유한다(F-CH-07) · OI-28 렌더 부하에 캡처 N장 추가</t>
  </si>
  <si>
    <t>사용자용 상태 (API 응답)</t>
  </si>
  <si>
    <t>F-LST-01</t>
  </si>
  <si>
    <t>DB status</t>
  </si>
  <si>
    <t>DB current_step</t>
  </si>
  <si>
    <t>비고</t>
  </si>
  <si>
    <t>생성됨</t>
  </si>
  <si>
    <t>draft</t>
  </si>
  <si>
    <t>검색 및 필터</t>
  </si>
  <si>
    <t>상품 검색, 키워드·국가·채널 필터.</t>
  </si>
  <si>
    <t>① 복합 필터 동시 적용 ② 0건 시 빈 상태 안내</t>
  </si>
  <si>
    <t>v1.6 수정 · MVP는 카드 수가 적어 검색·필터 없이 성립 · F-JOB-01(should)과 수준 일치</t>
  </si>
  <si>
    <t>분석중</t>
  </si>
  <si>
    <t>processing</t>
  </si>
  <si>
    <t>비동기 (F-JOB-05)</t>
  </si>
  <si>
    <t>상품 카드 표시</t>
  </si>
  <si>
    <t>완료된 결과물을 카드로 표시한다. 국가·언어·규격이 다르면 별개의 카드로 생성된다.</t>
  </si>
  <si>
    <t>섹션확인</t>
  </si>
  <si>
    <t>review</t>
  </si>
  <si>
    <t>① 카드에 규격·국가·언어가 표시됨 ② 미완료 카드는 마지막 단계가 표시됨</t>
  </si>
  <si>
    <t>v1.6 수정 · '다른 언어 버전이 별개 카드' 수용 기준은 F-VER-01과 함께 12월로 이월</t>
  </si>
  <si>
    <t>F-LST-03</t>
  </si>
  <si>
    <t>번역중</t>
  </si>
  <si>
    <t>카드 선택(체크)</t>
  </si>
  <si>
    <t>다중 선택으로 다운로드·삭제 대상을 지정한다. 보관함의 모든 액션(다운로드·삭제)은 선택을 거친다.</t>
  </si>
  <si>
    <t>① 다중 선택 ② 선택 개수 표시 ③ 선택 0건이면 선택 종속 액션 버튼(다운로드·삭제)이 비활성됨</t>
  </si>
  <si>
    <t>v2.4 수정 · 다운로드·삭제의 유일한 진입 경로 · 12월</t>
  </si>
  <si>
    <t>v2.4 수정</t>
  </si>
  <si>
    <t>F-LST-04</t>
  </si>
  <si>
    <t>카드 삭제</t>
  </si>
  <si>
    <t>선택한 카드(들)를 삭제한다(F-LST-03 선행). 개별 카드 위의 즉석 삭제 UI는 두지 않는다. 확인 다이얼로그 필요.</t>
  </si>
  <si>
    <t>완료</t>
  </si>
  <si>
    <t>done</t>
  </si>
  <si>
    <t>① 선택된 카드만 삭제됨 ② 확인 다이얼로그 후 삭제</t>
  </si>
  <si>
    <t>다른 버전의 원본이 되는 카드 삭제 시 영향을 경고</t>
  </si>
  <si>
    <t>v1.8 이월 · 삭제는 시연에 노출되지 않음</t>
  </si>
  <si>
    <t>v2.4 수정 · 개별 삭제 제거 — 삭제는 선택 경유 단일 경로</t>
  </si>
  <si>
    <t>★결과물 확인 및 수정 (저장 후 수정)</t>
  </si>
  <si>
    <t>오류</t>
  </si>
  <si>
    <t>failed</t>
  </si>
  <si>
    <t>카드를 클릭하면 작업 결과를 표시한다. 수정 버튼과 다른 채널 버전 생성 버튼을 함께 제공하며, 수정을 누르면 마지막 작업 단계로 복귀한다.</t>
  </si>
  <si>
    <t>실패 지점 유지</t>
  </si>
  <si>
    <t>재시도 시 해당 step으로 복귀</t>
  </si>
  <si>
    <t>① 결과물 상세 표시 ② 수정 시 마지막 작업 단계로 이동 ③ 다른 버전 생성 진입 가능</t>
  </si>
  <si>
    <t>원본·크롭 데이터가 만료·삭제된 경우 수정 불가 사유를 안내</t>
  </si>
  <si>
    <t>v1.6 수정 · 저장 후 수정은 과거 단계 복귀에 해당 · F-NAV-02와 함께 12월 이월</t>
  </si>
  <si>
    <t>취소</t>
  </si>
  <si>
    <t>F-LST-06</t>
  </si>
  <si>
    <t>archived</t>
  </si>
  <si>
    <t>중단 지점 유지</t>
  </si>
  <si>
    <t>★산출물 선택 다운로드</t>
  </si>
  <si>
    <t>결과물을 산출물 묶음(export.zip) 또는 구성요소(이미지 / content.csv / html / baked) 단위로 선택해 내려받는다 — manifest.json은 셀러 배포 대상이 아니므로 목록에 없다(F-EXP-03). html 선택 시 배경 이미지 자산을 함께 묶어 제공한다(OI-29). 다중 선택 시 ZIP, 파일명은 등록 규칙을 유지한다. 다운로드는 항상 카드 선택(F-LST-03)을 거친다. ★N6 저장 화면과 동일한 방식으로 구현한다 — 체크한 항목을 묶는 다운로드와 항목별 [↓] 개별 다운로드를 병행하며, 단일 파일 항목은 파일로 복수 파일 항목은 그 항목만 묶은 zip으로 내려준다(F-EXP-01).</t>
  </si>
  <si>
    <t>① 묶음/구성요소 선택 가능 ⑤ ★목록에 manifest.json이 없음 ⑥ ★N6와 동일한 개별 다운로드 방식 ② html은 자산 포함 ③ 2건 이상 선택 시 ZIP ④ 원본 해상도 보존</t>
  </si>
  <si>
    <t>규격 미준수 결과물 다운로드 시 경고 후 진행</t>
  </si>
  <si>
    <t>★v1.4 신설. 패키징 방식 OI-29 · v1.7 렌더링 HTML/Playwright 확정(OI-34 종결) · v2.4 MVP 제외(12월) · 선택 경유 단일 경로</t>
  </si>
  <si>
    <t>v2.4 수정 · MVP 제외 · 선택 경유 명시 · v3.0 수정 — 이미지/HTML 2종→산출물 묶음 구성요소로 확장(F-EXP 연계) · v3.0 수정(7차) — 목록에서 manifest 제외 · N6와 동일한 개별 다운로드 방식으로 정합</t>
  </si>
  <si>
    <t>F-LST-07</t>
  </si>
  <si>
    <t>새 상품 등록(+ 카드)</t>
  </si>
  <si>
    <t>빈 카드 형태의 + 버튼으로 N1 입력 진입.</t>
  </si>
  <si>
    <t>① + 클릭 시 S1으로 이동</t>
  </si>
  <si>
    <t>v1.8 이월 · 신규 등록은 GNB 경로로 대체</t>
  </si>
  <si>
    <t>※ v3.0 매핑 재정의 — status 6종 + current_step(N1~N6)</t>
  </si>
  <si>
    <t>F-LST-08</t>
  </si>
  <si>
    <t>M1·전역</t>
  </si>
  <si>
    <t>★미완료 작업 저장</t>
  </si>
  <si>
    <t>작업 도중 저장하면 미완료 상태의 카드가 보관함에 생성된다. 카드에는 마지막 완료 단계가 표시되며, 열면 해당 단계로 복귀한다. 브라우저 종료·세션 만료 시에도 직전 저장 시점까지 복원된다. 텍스트 블록 수정은 별도 저장 시점을 두지 않고 즉시 서버에 반영해 마지막 수정까지 복원 대상에 포함한다. 실행취소 스택은 세션 메모리이므로 복원되지 않음을 재진입 시 고지한다.</t>
  </si>
  <si>
    <t>① 미완료 카드가 생성됨 ② 마지막 단계가 표시됨 ③ 재진입 시 해당 단계로 복귀 ④ 섹션 분해·인페인팅 결과가 보존됨 ⑤ 비동기 처리 중 이탈한 작업이 재진입 시 완료된 상태로 반영됨</t>
  </si>
  <si>
    <t>저장 실패 시 사용자에게 알리고 이탈을 막는다</t>
  </si>
  <si>
    <t>v1.6 수정 · 미완료 저장·복귀를 12월 이월 · MVP는 N1→N6 단일 세션 완주만 지원</t>
  </si>
  <si>
    <t>v2.4 수정 · 세션 이탈 이음새 3건 명시 · v3.0 수정(4차) — 단위 조각→섹션</t>
  </si>
  <si>
    <t>F-LST-09</t>
  </si>
  <si>
    <t>★보관 기간 및 만료</t>
  </si>
  <si>
    <t>되돌림 판정표 (F-NAV-05 부표) — 12월 범위 · v3.0 새 화면 흐름 기준으로 재작성</t>
  </si>
  <si>
    <t>완료 작업은 30일, 미완료 작업은 90일 보관 후 만료한다. 만료 예정 카드는 사전에 표시한다. 만료 시 원본·섹션·인페인팅 결과·최종 결과물을 함께 삭제한다.</t>
  </si>
  <si>
    <t>① 만료 예정이 카드에 표시됨 ② 만료 시 연관 파일이 함께 삭제됨 ③ 삭제 이력이 남음</t>
  </si>
  <si>
    <t>다운로드하지 않은 결과물은 만료 전 추가 안내</t>
  </si>
  <si>
    <t>v1.6 수정 · 프로젝트가 12월 종료라 MVP 기간 내 만료 시점이 도래하지 않음 · 기간 값(30/90일)은 12월 확정 (미결2 종결)</t>
  </si>
  <si>
    <t>v3.0 수정(4차) — 단위 조각→섹션</t>
  </si>
  <si>
    <t>F-VER-01</t>
  </si>
  <si>
    <t>이동 구간</t>
  </si>
  <si>
    <t>다른 버전</t>
  </si>
  <si>
    <t>조건</t>
  </si>
  <si>
    <t>보존 대상</t>
  </si>
  <si>
    <t>무효 · 재계산 대상</t>
  </si>
  <si>
    <t>★다른 버전 만들기 (통합 진입)</t>
  </si>
  <si>
    <t>완료된 카드에서 [다른 버전 만들기]를 선택하면 국가·언어·사이트(규격) 선택 화면(N1 재진입, 기존 값 프리셋)으로 이동하고, 바뀐 축에 따라 재실행 범위가 자동 결정된다. 상시 재사용(어떤 축이 바뀌어도 다시 돌지 않음): OCR · 섹션 분해 · 인페인팅(F-VER-03). 축별 재실행 — ① 국가·규제분류 또는 언어 변경: 규제·현지 부적합 판정 재실행 → 섹션 확인(N3) 재개입 → 1차 번역 재생성. 국가에 따라 단어 사용·관습 표현·규제 단서가 달라지므로 언어가 같아도(예: 미국→UAE 영어) 번역을 재사용하지 않는다(PM 확정 9/1). 직전 버전의 확정 번역문은 자동 승계 없이 참고 컨텍스트로만 주입한다(F-TRN-02d의 일관성 메커니즘 — 용어 표기 일관성 목적). ② 규격만 변경(국가·언어 동일): 규제 판정·섹션 확인 결과·1차 번역까지 재사용, 선별→2차 번역·조판·렌더만 재실행(F-VER-02 = 변경안 §5). N3 재개입 시 버킷 프리셋 규칙: 사용자 수동 선택(user_manual·restored_by_user)은 보존하고, 자동 판정(auto_*)으로 놓였던 섹션만 새 판정을 따라 이동하며 이동분을 화면에 표시한다(F-NAV-05 "사용자가 직접 만든 것을 지우지 않는다"의 적용). 새 작업을 생성해 원 작업을 상위로 참조하며 결과는 별개 카드다.</t>
  </si>
  <si>
    <t>① 진입 후 국가/언어/규격 선택 화면이 기존 값 프리셋으로 표시됨 ② OCR·섹션 분해·인페인팅이 어떤 조합에서도 재실행되지 않음 ③ 국가 또는 언어 변경 시 1차 번역이 새로 생성됨(재사용 없음) ④ 규격만 변경 시 섹션 확인 결과·1차 번역이 재사용됨 ⑤ N3 재개입 시 사용자 수동 선택이 보존되고 auto 판정 변경분만 이동·표시됨 ⑥ 새 카드가 생성되고 원본 카드가 유지됨</t>
  </si>
  <si>
    <t>대상 국가의 규제 사전 또는 도착어 용어집이 없으면 경고 후 진행 허용</t>
  </si>
  <si>
    <t>v2.0 · 복제 규칙 명시 · parent_project 자기참조 방식 · NFR-04 근거</t>
  </si>
  <si>
    <t>v2.5 수정 · 규제 분류 재선택 규칙 · v3.0 수정 — 재사용 자산을 크롭·배치→섹션·섹션 확인 결과 체계로 · v3.0 수정(2차) — 다른 언어 전용→통합 진입·축별 조건부 재사용(PM 확정 9/1) · v3.0 수정(3차) — 국가·언어 변경 시 재번역 확정, 프리셋 충돌 규칙 명문화(PM 9/1)</t>
  </si>
  <si>
    <t>N3 → N1</t>
  </si>
  <si>
    <t>조건 변경(국가·분류·규격)</t>
  </si>
  <si>
    <t>F-VER-02</t>
  </si>
  <si>
    <t>섹션 분해·OCR·인페인팅 캐시</t>
  </si>
  <si>
    <t>판정 배지·번역(조건 종속분)만 재계산</t>
  </si>
  <si>
    <t>★규격 변경 버전 — 추가 재사용 규칙</t>
  </si>
  <si>
    <t>다른 버전 만들기(F-VER-01)에서 규격만 바뀐 경우의 추가 재사용 규칙(변경안 §5). 상시 재사용(OCR·섹션 분해·인페인팅)에 더해 규제 판정 · 섹션 확인 결과(제외/포함 선택) · 1차 번역을 재사용한다. 다시 도는 것: 선별→2차 번역 · 조판 · 렌더. 섹션 확인(N3)을 다시 거치지 않으므로 두 번째 규격이 훨씬 빠르게 나오고, 1차 번역이 재사용되므로 두 산출물의 문구가 일관된다(PL-27).</t>
  </si>
  <si>
    <t>N5 → N3</t>
  </si>
  <si>
    <t>① 규격만 변경 시 N2·N3을 건너뜀 ② 선별→2차 번역·조판·렌더만 재수행됨 ③ 두 산출물의 1차 번역 유래 문구가 일치함</t>
  </si>
  <si>
    <t>OCR·인페인팅·1차 번역·사용자 수정 번역문</t>
  </si>
  <si>
    <t>v1.5 개명</t>
  </si>
  <si>
    <t>되살리기/제외 변경 섹션의 번역·조판만 재실행</t>
  </si>
  <si>
    <t>v3.0 수정 — 재사용/재실행 세트를 변경안 §5로 재정의 · v3.0 수정(2차) — F-VER-01 통합 진입의 규격 축 규칙으로 재정의(PM 확정 9/1)</t>
  </si>
  <si>
    <t>F-VER-03</t>
  </si>
  <si>
    <t>★상시 재사용 자산 (OCR·섹션 분해·인페인팅)</t>
  </si>
  <si>
    <t>공통</t>
  </si>
  <si>
    <t>모든 되돌림</t>
  </si>
  <si>
    <t>다른 버전 만들기에서 어떤 축(국가/언어/규격)이 바뀌어도 항상 재사용되는 자산을 정의한다: OCR 원본 · 섹션 분해 결과 · 인페인팅 결과(마스크 포함). 이 셋은 원본 이미지에만 종속되고 로컬라이징 조건과 무관하기 때문이다. 판정·섹션 확인 결과·1차 번역은 조건 종속이므로 상시 재사용이 아니다(축별 규칙은 F-VER-01).</t>
  </si>
  <si>
    <t>사용자 입력(수정 번역문·버킷 선택)은 구간과 무관하게 항상 보존</t>
  </si>
  <si>
    <t>실행취소 스택은 항상 초기화 (사전 고지 — F-NAV-04)</t>
  </si>
  <si>
    <t>① 어떤 축 변경에서도 OCR·섹션 분해·인페인팅이 재실행되지 않음 ② 재분석 없이 조건 선택 이후 단계부터 시작 ③ 신규 카드 추가</t>
  </si>
  <si>
    <t>원본이 삭제된 경우 재사용 불가를 안내하고 신규 등록으로 유도</t>
  </si>
  <si>
    <t>v3.0 수정 — 크롭 결과 재사용→분석 산출물 재사용으로 재정의 · v3.0 수정(2차) — 상시 재사용 범위 확정(PM 확정 9/1)</t>
  </si>
  <si>
    <t>F-JOB-01</t>
  </si>
  <si>
    <t>작업 관리</t>
  </si>
  <si>
    <t>검색 및 필터·정렬</t>
  </si>
  <si>
    <t>국가 / 날짜 정렬 / 브랜드 / 채널 필터.</t>
  </si>
  <si>
    <t>① 필터·정렬 동시 적용 ② URL 쿼리로 상태 유지</t>
  </si>
  <si>
    <t>F-JOB-02</t>
  </si>
  <si>
    <t>작업 이력 테이블</t>
  </si>
  <si>
    <t>컬럼: 상품 코드 / 키워드 / 날짜 / 작업 상태 / 담당자. 행 클릭 시 해당 단계 화면으로 이동.</t>
  </si>
  <si>
    <t>① 5개 컬럼 표시 ② 행 클릭 이동 ③ 담당자 기록</t>
  </si>
  <si>
    <t>삭제된 작업은 이력만 남기고 이동을 비활성</t>
  </si>
  <si>
    <t>※ 되돌림 기능(F-NAV-02~06·08)은 12월 범위 유지. v3.0에서 구간을 새 화면 체계로 재정의했다.</t>
  </si>
  <si>
    <t>F-JOB-03</t>
  </si>
  <si>
    <t>페이지네이션</t>
  </si>
  <si>
    <t>하단 페이지네이션(기본 20건/페이지).</t>
  </si>
  <si>
    <t>① 페이지 이동 시 필터 유지</t>
  </si>
  <si>
    <t>F-JOB-04</t>
  </si>
  <si>
    <t>작업 상태 관리</t>
  </si>
  <si>
    <t>상태값 8종: 생성됨 / 분석중 / 섹션확인 / 번역중 / 검수 / 완료 / 오류 / 취소. DB는 status(draft/processing/review/done/failed/archived) + current_step(N1~N6) 조합으로 관리하며, 매핑 규칙은 05_상태_정책을 따른다. API 응답은 사용자용 상태로 내려준다.</t>
  </si>
  <si>
    <t>① 상태가 실제 단계와 일치 ② 상태별 색상 구분 ③ API 응답이 사용자용 8종으로 통일됨</t>
  </si>
  <si>
    <t>단계 되돌림 시 작업 상태도 함께 되돌아가되, 섹션 단위 처리 결과의 완료 상태는 유지할 것</t>
  </si>
  <si>
    <t>v1.9 수정 · 상태 9종 확정 반영 · DB 매핑은 05_상태_정책</t>
  </si>
  <si>
    <t>v3.0 수정 — 상태 9종→8종(배치중·원문확인 폐지, 분석중·섹션확인·검수 신설), 05_상태_정책 재작성 · v3.0 수정(4차) — 단위 조각→섹션</t>
  </si>
  <si>
    <t>비즈니스 정책</t>
  </si>
  <si>
    <t>F-JOB-05</t>
  </si>
  <si>
    <t>★비동기 작업 큐 및 상태 조회</t>
  </si>
  <si>
    <t>인페인팅·번역·렌더링은 오래 걸리므로 큐에 등록하고 비동기로 처리한다. 진행 데이터는 클라이언트가 주기적으로 폴링해 조회한다. 서버 푸시(SSE·WebSocket)는 사용하지 않는다 — 서버는 클라이언트 연결과 무관하게 처리를 지속하고(수용 ③), 폴링 주기는 API 명세에서 정한다. 진행 조회 응답에는 현재 단계, 전체·완료 항목 수, 항목(섹션·블록)별 상태(대기/진행중/성공/실패/재시도중)와 실패 사유 코드가 포함되어, 화면이 진행률 바와 인라인 경고 배지(F-JOB-06)를 이 응답만으로 그릴 수 있어야 한다. 작업 단위는 처리 종류에 따라 다르다 — 인페인팅은 섹션, 번역은 텍스트 블록, 렌더링은 섹션(9월)·모듈(12월 규격 변경 경로) 단위로 큐에 등록되며, 어느 경우든 작업(상품) 전체가 하나의 단위로 묶이지 않는다. 이 세분화가 부분 실패 시 성공분 보존(F-JOB-06)과 항목별 진행 표시의 전제다.</t>
  </si>
  <si>
    <t>① 요청 즉시 작업 ID가 발급됨 ② 진행률과 단계가 폴링으로 조회됨 ③ 브라우저를 닫아도 서버에서 처리가 계속됨 ④ 응답에 항목별 상태·실패 사유 코드가 포함됨 ⑤ 인라인 배지(F-JOB-06)가 이 응답만으로 표시 가능함</t>
  </si>
  <si>
    <t>정책 ID</t>
  </si>
  <si>
    <t>큐 적체 시 대기 순번을 표시 / MVP는 이탈한 작업의 재진입 경로를 제공하지 않는다 — 세션 이탈을 감지하지 않으며, 진행 중인 비동기 처리는 중단 없이 완료까지 수행하고 결과를 저장하되 이탈 작업은 어떤 목록에도 노출하지 않는다(재진입은 F-LST-08, 12월)</t>
  </si>
  <si>
    <t>정책명</t>
  </si>
  <si>
    <t>내용</t>
  </si>
  <si>
    <t>v1.5 신설 · S4·S6·S8 공통 기반 · v2.5 폴링 확정(서버리스 배포 대비·푸시 불필요 구조) — 8/31 S4+S5 명세에 반영</t>
  </si>
  <si>
    <t>v2.4 수정 · MVP 세션 이탈 처리 명시 · v3.0 수정(4차) — 큐 단위 조각→섹션</t>
  </si>
  <si>
    <t>변경 (v1.6)</t>
  </si>
  <si>
    <t>F-JOB-06</t>
  </si>
  <si>
    <t>★부분 실패 및 재시도</t>
  </si>
  <si>
    <t>PL-01</t>
  </si>
  <si>
    <t>섹션들 중 일부가 실패해도 나머지는 진행한다. 실패 항목은 목록이 아니라 사용자가 보는 섹션·블록에 경고 배지로 표시한다(12월 규격 변경 경로에서는 모듈에도 표시). 처리 화면(N2·N4)은 자동 전환되므로 배지의 노출 지점은 검수(N5)다(PL-24). 사용자 재시도는 조건을 바꾸지 않아도 결과가 달라질 수 있는 작업에만 제공한다 — 번역(API 타임아웃·레이트 리밋 등 일시 실패)과 렌더링(캡처 타임아웃·폰트 로드 실패)은 실패 항목을 개별 재시도할 수 있고, 인페인팅은 자동 재시도가 마스크를 넓혀가며 상한까지 수행된 뒤라 같은 버튼으로 더 시도할 조건이 없으므로 제공하지 않는다(조건을 바꾸는 재실행은 F-INP-01e·12월). 일괄 재시도 버튼은 두지 않는다.</t>
  </si>
  <si>
    <t>인증 뱃지 진위 검증</t>
  </si>
  <si>
    <t>서비스는 인증 뱃지의 진위를 검증하지 않는다. 셀러가 등록한 자료를 그대로 활용한다.</t>
  </si>
  <si>
    <t>① 부분 실패 시 성공분이 보존됨 ② 실패 항목이 섹션·블록 위 인라인 배지로 표시됨 ③ 번역·렌더링은 실패 항목 개별 재시도 가능 ④ 인페인팅은 재시도 버튼이 없음 ⑤ 일괄 재시도 버튼이 없음</t>
  </si>
  <si>
    <t>재시도 상한에 도달한 항목은 마지막 상태 그대로 두고 인라인 배지를 유지한 채 다음 단계로 진행한다. 제외 여부를 묻는 확인 다이얼로그는 두지 않는다 / 실패 항목이 5개를 넘으면 개별 재시도를 반복하게 두지 않고 '잠시 후 다시 시도해주세요' 안내를 표시한다</t>
  </si>
  <si>
    <t>v2.3 · 재시도 가능 여부는 결정적/일시적 실패로 판단 · 실패 목록 → 인라인 배지</t>
  </si>
  <si>
    <t>v2.4 수정 · 「제외하고 진행」 삭제(PL-24 정합) · 인페인팅 재시도 근거 정합 · v3.0 수정(4차) — 단위 조각→섹션 · 예시 수치("20개 중 3개") 삭제</t>
  </si>
  <si>
    <t>M3·전역</t>
  </si>
  <si>
    <t>책임 한계 고지</t>
  </si>
  <si>
    <t>★작업 취소 및 확인</t>
  </si>
  <si>
    <t>인증·시험 정보의 적용 가능 여부는 사용자가 최종 확인하며 문제 발생 시 플랫폼은 책임지지 않는다. S1에 상시 노출하고 동의 시점을 기록한다.</t>
  </si>
  <si>
    <t>F-ACC-04, F-SRC-09</t>
  </si>
  <si>
    <t>사용자가 [X]로 작업을 취소하면 확인 다이얼로그를 표시하고, 확인 시 작업 상태를 '취소'로 전환한 뒤 리소스를 정리한다. 다이얼로그는 삭제되는 대상(업로드 원본·섹션 분해 결과·인페인팅 결과·번역문)을 구체적으로 열거하며 되돌릴 수 없음을 명시한다. 포괄 문구('모든 작업이 사라집니다')를 쓰지 않는다(F-NAV-03과 동일 원칙). 진입점은 S0 프로세스 바 우측의 [X]이며 전 화면에 고정된다(F-NAV-01). ★N1은 예외다 — 작업이 아직 생성되지 않아 취소할 대상이 없으므로 [X] 대신 「보관함으로 나가기」를 두고, 나가면 입력값과 업로드한 이미지가 저장되지 않으므로 확인 모달로 그 사실을 알린다(MVP는 미완료 작업 저장이 없다 — F-LST-08은 12월, F-ACC-01 사전 안내와 같은 계열). ★처리 중(N2·N4)의 중단은 이 기능이 아니라 F-JOB-08(처리 중단 및 직전 화면 복귀)이 담당한다 — 처리를 멈추는 것과 작업을 버리는 것은 다른 동작이며, 전자는 되돌릴 수 있고 후자는 되돌릴 수 없다.</t>
  </si>
  <si>
    <t>① 확인 다이얼로그 없이 취소되지 않음 ② 삭제 대상이 항목별로 열거됨 ③ 되돌릴 수 없음이 명시됨 ④ N1에서는 [X] 대신 나가기가 노출되고 미저장 확인 모달이 표시됨 ⑤ 취소 후 상태가 '취소'로 전환됨</t>
  </si>
  <si>
    <t>취소 처리 중 오류가 나면 작업을 원래 상태로 유지하고 사유를 표시한다</t>
  </si>
  <si>
    <t>v2.4 신설 · [12월] F-LST-08 도입 후 다이얼로그에 「저장하고 나가기」 대안 추가</t>
  </si>
  <si>
    <t>신설 · v3.0 수정(4차) — 열거 대상 조각·배치→섹션 · 처리 화면 S4·S6→N2·N4 · v3.0 수정(5차) — 진입점 S0 고정 · N1 나가기 분리 · 처리 중 중단을 F-JOB-08로 이관</t>
  </si>
  <si>
    <t>PL-04</t>
  </si>
  <si>
    <t>크롤링 수집 범위</t>
  </si>
  <si>
    <t>용어집 보강용 크롤링은 robots.txt·rate limit·이용약관을 준수하고, 내부 지식 구축·검증 목적으로만 사용한다. 수집물을 그대로 재배포하지 않으며 출처와 수집 시점을 기록한다.</t>
  </si>
  <si>
    <t>★처리 중단 및 직전 화면 복귀</t>
  </si>
  <si>
    <t>처리 화면(N2 분석 · N4 번역)에서 [중단]을 누르면 진행 중인 비동기 처리를 멈추고 직전 사용자 화면으로 돌아간다 — N2는 N1 입력으로, N4는 N3 섹션 확인으로. 작업은 삭제되지 않고 그 단계에 머물며, 이미 저장된 입력(N1 조건값·N3 버킷 선택)은 그대로 보존된다. 작업 전체를 버리는 것은 S0의 [X] 작업 취소(F-JOB-07)이며 둘은 다른 동작이다 — 중단은 되돌릴 수 있고 취소는 되돌릴 수 없다. 되돌림(F-NAV-02, 12월)의 축소판이 아니라, 처리 화면이 자동 전환 화면이어서 생기는 최소 후퇴 수단이다. 복귀 지점의 상태는 이미 서버에 있으므로(작업 생성 시 N1 입력값 저장, N3 [이대로 진행] 시 버킷 선택 저장) 새 저장 장치가 필요하지 않다.</t>
  </si>
  <si>
    <t>① N2 중단 시 N1로, N4 중단 시 N3으로 복귀함 ② 복귀 후 직전 입력·선택이 그대로 남아 있음 ③ 작업이 삭제되지 않고 상태가 유지됨 ④ 재진행 시 이미 완료된 산출물이 재사용됨 ⑤ [X] 작업 취소와 버튼·문구가 구분됨</t>
  </si>
  <si>
    <t>중단 처리 중 오류가 나면 처리를 계속하고 사유를 표시한다 / 중단 시점까지 완료된 섹션 단위 산출물은 보존하며, 재진행 시 남은 것만 처리한다</t>
  </si>
  <si>
    <t>PL-05</t>
  </si>
  <si>
    <t>v3.0 신설(5차) · PM 확정 9/1 — 구 F-JOB-07의 "처리 중 취소 = 작업 전체 취소"를 분리. 9월 MVP의 유일한 후퇴 수단이 [X] 전체 취소뿐이던 문제를 해소</t>
  </si>
  <si>
    <t>브랜드 정보 변경 적용 시점</t>
  </si>
  <si>
    <t>변경된 브랜드 정보는 새로 시작되는 작업부터 적용하며 기존 완료 작업에는 반영하지 않는다.</t>
  </si>
  <si>
    <t>PL-06</t>
  </si>
  <si>
    <t>셀러–브랜드 구조</t>
  </si>
  <si>
    <t>셀러 1 : 브랜드 N. 쿠팡의 복수 마켓플레이스 계정 모델을 준용한다.</t>
  </si>
  <si>
    <t>브랜드</t>
  </si>
  <si>
    <t>브랜드명(한글명 / 영문명 분리) / 브랜드 로고 업로드.</t>
  </si>
  <si>
    <t>PL-07</t>
  </si>
  <si>
    <t>① 한·영 별도 저장 ② 등록된 영문명이 그대로 사용됨</t>
  </si>
  <si>
    <t>원본 데이터 보관</t>
  </si>
  <si>
    <t>영문명 미등록 시 번역 결과에 한글명이 그대로 노출됨을 경고</t>
  </si>
  <si>
    <t>업로드 원본, 섹션 이미지, 인페인팅 배경, 결과물(이미지·HTML)을 오브젝트 스토리지에 보관하며 브랜드 단위로 논리 분리한다. 보관 기간 정책은 12월에 확정한다(F-LST-09).</t>
  </si>
  <si>
    <t>F-LST-09, OI-07</t>
  </si>
  <si>
    <t>수정</t>
  </si>
  <si>
    <t>PL-08</t>
  </si>
  <si>
    <t>인증 마크 미보유 원칙</t>
  </si>
  <si>
    <t>서비스는 인증 마크 이미지를 자체 DB로 보유·제공하지 않는다. 인증 마크는 대부분 증명표장으로 상표 등록되어 있어 마크 파일을 보유·제공하는 행위 자체가 침해 도구 공급으로 평가될 수 있다. 셀러가 사용권을 보유한 파일을 업로드하는 방식만 허용한다.</t>
  </si>
  <si>
    <t>F-SRC-08, F-BRD-06</t>
  </si>
  <si>
    <t>브랜드 로고를 '로고'로 태깅해 OCR·번역·인페인팅 대상에서 제외.</t>
  </si>
  <si>
    <t>① 로고 영역 인페인팅 제외 ② 로고 텍스트 미번역</t>
  </si>
  <si>
    <t>로고 영역 인식 실패 시 사용자가 수동으로 지정 가능</t>
  </si>
  <si>
    <t>F-BRD-03</t>
  </si>
  <si>
    <t>★브랜드 개요</t>
  </si>
  <si>
    <t>인증 마크 원형 유지</t>
  </si>
  <si>
    <t>셀러가 자신이 판매하는 브랜드에 대한 설명을 자유 서술로 입력한다. 이 값은 번역 프롬프트에 주입되어 톤을 지정한다(F-TRN-02b).</t>
  </si>
  <si>
    <t>[12월 이월] 업로드된 인증 뱃지는 색상 변경·비율 왜곡·부분 잘림 없이 원형을 유지한다. v3.0에서 뱃지 배치(F-PLC-07·08)가 삭제되어 적용 대상이 12월 규격 변경 템플릿의 뱃지 슬롯 검토로 이월됨.</t>
  </si>
  <si>
    <t>F-SRC-08(12월 이월), F-EXP-06</t>
  </si>
  <si>
    <t>① 자유 서술 입력·저장 ② 번역 프롬프트에 반영됨</t>
  </si>
  <si>
    <t>v3.0 수정 — 적용 시점 12월</t>
  </si>
  <si>
    <t>비어 있으면 중립 톤으로 번역</t>
  </si>
  <si>
    <t>v1.5 용도 명시 · F-BRD-04 삭제 대체</t>
  </si>
  <si>
    <t>F-BRD-05</t>
  </si>
  <si>
    <t>PL-10</t>
  </si>
  <si>
    <t>★핵심 고객층</t>
  </si>
  <si>
    <t>규격 위반 표시 원칙</t>
  </si>
  <si>
    <t>브랜드의 핵심 고객층을 자유 서술로 입력한다. 번역 프롬프트에 주입되어 어투와 표현 수위를 지정한다.</t>
  </si>
  <si>
    <t>규격 검증 결과는 항목별로 표시한다. MVP는 실제 업로드를 수행하지 않으므로 위반이 있어도 저장·다운로드를 차단하지 않고, 사용자가 경고를 확인한 사실을 로그로 남긴다. 실제 배포 단계에서는 무배포 원칙으로 강화한다.</t>
  </si>
  <si>
    <t>F-CH-05, F-FIN-02</t>
  </si>
  <si>
    <t>① 입력·저장 ② 번역 프롬프트에 반영됨</t>
  </si>
  <si>
    <t>수정 · v3.0 수정(3차) — 검증 용어 개칭</t>
  </si>
  <si>
    <t>비어 있으면 중립 톤</t>
  </si>
  <si>
    <t>v1.5 용도 명시</t>
  </si>
  <si>
    <t>F-BRD-06</t>
  </si>
  <si>
    <t>인증 로고 사용 권한 고지</t>
  </si>
  <si>
    <t>S1에서 인증 뱃지를 업로드할 때 사용권 보유를 확인받고 시점을 기록한다. 확인 이력은 브랜드 단위로 누적 보관한다. 서비스는 사용권 보유 여부를 검증하지 않는다.</t>
  </si>
  <si>
    <t>로컬라이징 판단 불변 원칙</t>
  </si>
  <si>
    <t>사용자는 텍스트를 수정할 수 있으나 AI의 로컬라이징 판단 자체는 수정할 수 없다. 근거는 읽기 전용으로 제공한다. 번역문을 직접 수정한 경우 규제 검증을 우회할 수 있으므로 책임이 사용자에게 있음을 고지하고 해당 블록을 재검증 대상으로 표시한다.</t>
  </si>
  <si>
    <t>F-CFM-02, F-CFM-04</t>
  </si>
  <si>
    <t>① 업로드 시 확인 체크 필수 ② 확인 시점·대상 로그 저장 ③ 브랜드 단위 이력 조회</t>
  </si>
  <si>
    <t>확인 미체크 시 업로드 차단</t>
  </si>
  <si>
    <t>PL-08. 업로드 화면은 F-SRC-08</t>
  </si>
  <si>
    <t>수정 / 저장 및 적용 시점</t>
  </si>
  <si>
    <t>PL-12</t>
  </si>
  <si>
    <t>AI 초안 비파괴 원칙</t>
  </si>
  <si>
    <t>① 저장 이후 작업에만 반영 ② 기존 완료분 불변</t>
  </si>
  <si>
    <t>AI 초안 생성은 전체 레이아웃을 새로 만들며 사용자의 기존 배치를 참조하지 않는다. 대신 초안을 폐기하면 직전 상태로 정확히 복원되어야 한다.</t>
  </si>
  <si>
    <t>진행 중 작업이 있으면 적용 시점을 안내</t>
  </si>
  <si>
    <t>F-PLC-03, F-PLC-04</t>
  </si>
  <si>
    <t>v3.0 삭제 — AI 초안 축(F-PLC-03~05) 삭제</t>
  </si>
  <si>
    <t>F-BRD-08</t>
  </si>
  <si>
    <t>부가 메타데이터</t>
  </si>
  <si>
    <t>소속·사업장 주소·담당자·제조사 정보. 국가별 필수 표기 항목에 삽입.</t>
  </si>
  <si>
    <t>PL-13</t>
  </si>
  <si>
    <t>★단계 되돌림 판정 원칙 (12월)</t>
  </si>
  <si>
    <t>① 항목 저장 ② 국가별 필수 표기에 자동 삽입</t>
  </si>
  <si>
    <t>[12월 적용] 이전 단계로 되돌아가면 진행 상태가 그 지점으로 돌아가되 이후 산출물을 일괄 삭제하지 않는다. 삭제·재생성 대상은 이동 지점에 종속된 산출물뿐이다(v3.0 체계 — 섹션 단위 산출물은 보존, 조건 종속 산출물만 무효화·재계산). 사용자 입력(버킷 선택·수정 번역문)은 산출물과 별개로 항상 보존하며, 단계 이동 시 자동 저장한다(F-NAV-08). 실행취소 스택은 초기화한다. 구간별 판정은 되돌림 판정표(v3.0 재작성)를 따른다. 되돌림 전에 무효 대상·보존 대상·초기화 대상을 모두 열거해 고지하며, 이후 단계로 이동할 때는 경고하지 않는다. 이 규칙은 N1 시점부터 사용자가 인지하고 있어야 한다.</t>
  </si>
  <si>
    <t>F-NAV-02~05, F-NAV-08, F-CFM-03, F-BG-04</t>
  </si>
  <si>
    <t>수정 · v3.0 수정 — 판정 대상 재정의</t>
  </si>
  <si>
    <t>F-BGL-01</t>
  </si>
  <si>
    <t>PL-14</t>
  </si>
  <si>
    <t>운영자 접근 통제 원칙</t>
  </si>
  <si>
    <t>운영자가 셀러의 작업을 열람할 때는 사유 입력을 필수화하고 접근 이력을 감사 로그에 남긴다. 열람은 읽기 전용이며 민감 정보는 마스킹한다. 감사 로그는 임의로 삭제할 수 없다. 열람 화면은 12월이지만 기록은 MVP부터 동작한다.</t>
  </si>
  <si>
    <t>배경 생성</t>
  </si>
  <si>
    <t>A-OPS-04, A-ACC-03</t>
  </si>
  <si>
    <t>생성형 배경</t>
  </si>
  <si>
    <t>제품 마스크를 고정하고 배경 장면만 생성해 사용 맥락을 현지화한다. 사용자 승인 게이트 필수.</t>
  </si>
  <si>
    <t>① 제품 영역 불변 검증 ② 승인 전 적용 불가</t>
  </si>
  <si>
    <t>제품 영역 변형이 감지되면 결과를 폐기</t>
  </si>
  <si>
    <t>제품 변형은 허위광고 리스크</t>
  </si>
  <si>
    <t>PL-16</t>
  </si>
  <si>
    <t>★마스터 데이터 시드 주입 원칙</t>
  </si>
  <si>
    <t>MVP는 마스터 데이터 편집 콘솔(A-CFG-01·02)을 제공하지 않는다. 규격·규제 사전·용어집·카테고리 마스터는 데이터 담당이 작성한 시트를 시드 스크립트로 주입한다. 주입 시 버전과 적재 시각을 기록하고 그 결과를 A-CFG-06에서 조회할 수 있어야 한다. 시드 파일이 원본(SSOT)이며 DB는 사본이다.</t>
  </si>
  <si>
    <t>F-CH-01, F-TRN-06, F-SRC-04a, A-CFG-06</t>
  </si>
  <si>
    <t>A-DSH-01</t>
  </si>
  <si>
    <t>운영</t>
  </si>
  <si>
    <t>★핵심 지표 대시보드</t>
  </si>
  <si>
    <t>서비스 전반의 상태를 한 화면에서 파악한다. 지표: 가입·활성 셀러 수, 기간별 작업 생성 수, 완료율, 단계별 이탈률, 신규·재방문 비율. 기간 필터와 브랜드·규격·국가 분해를 제공한다.</t>
  </si>
  <si>
    <t>PL-17</t>
  </si>
  <si>
    <t>① 지표가 실데이터와 일치 ② 기간 필터 동작 ③ 단계별 이탈률 산출</t>
  </si>
  <si>
    <t>집계 지연 시 마지막 갱신 시각을 표시</t>
  </si>
  <si>
    <t>v1.6 수정 · MVP는 배포하지 않아 실사용자 지표가 성립하지 않음 · 다만 집계 원천이 되는 작업 이벤트 로그는 소급 불가이므로 MVP ERD에 포함할 것(OI-35)</t>
  </si>
  <si>
    <t>★카테고리 2층 분리 원칙</t>
  </si>
  <si>
    <t>사용자에게 보여주는 카테고리와 내부 지식을 분기하는 카테고리를 분리한다. 화면은 Amazon 트리에 준하는 상세 수준으로 노출하고(F-SRC-04a), 내부는 7종으로 축약해 용어집을 분기한다(F-SRC-04b). 규제 사전은 카테고리로 분기하지 않고 국가·규제 분류만 따른다(PL-18). 매핑은 데이터로 관리하며 코드에 넣지 않는다.</t>
  </si>
  <si>
    <t>F-SRC-04·04a·04b, F-TRN-06, A-CFG-02</t>
  </si>
  <si>
    <t>A-DSH-02</t>
  </si>
  <si>
    <t>★파이프라인 상태 모니터</t>
  </si>
  <si>
    <t>단계별 처리 중·대기·실패 건수와 큐 적체 상황을 실시간으로 보여준다. 임계값 초과 시 시각 경고를 표시한다. 렌더링 큐는 헤드리스 브라우저 동시 실행 수 제한이 있어 별도 감시가 필요하다.</t>
  </si>
  <si>
    <t>① 단계별 건수 실시간 표시 ② 큐 적체 감지 ③ 렌더링 동시 실행 수 표시 ④ 임계값 초과 경고</t>
  </si>
  <si>
    <t>PL-18</t>
  </si>
  <si>
    <t>모니터링 소스 장애 시 '수집 불가'로 표시하고 알림 발송</t>
  </si>
  <si>
    <t>★국가·언어·규제분류 독립 원칙</t>
  </si>
  <si>
    <t>v1.6 수정 · MVP는 동시 사용자가 없어 큐 적체가 발생하지 않음 · 사용자측 진행 표시는 F-JOB-05(must)가 담당</t>
  </si>
  <si>
    <t>타겟 국가·언어·규제분류에 채널·규격을 네 번째 독립 축으로 추가한다(v3.0). 국가·규제분류는 "무엇을 말할 수 있나"(FDA·약기법)를, 채널·규격은 "어떻게 담아야 하나"(규격+플랫폼 정책)를 결정하며, 둘 다 입력(N1)에서 선택한다(9월은 규격이 원본 고정). 채널을 입력에서 물으면 판정 배지의 2층 구조가 사라진다 — 국가 규제·채널 정책·현지 적합성을 섹션 확인 한 화면에서 판정한다. 9월엔 채널 정책 배지가 티저로만 뜨고 12월에 실제 판정으로 승격된다(화면 구조를 바꾸지 않고 데이터만 켜지는 형태). 분류 변경 시 번역·판정만 재실행한다.</t>
  </si>
  <si>
    <t>F-LNG-01·02·03, F-CH-02, F-SEC-04, F-LOC-03</t>
  </si>
  <si>
    <t>v3.0 수정 — 채널·규격 4축 추가 (변경안 §7)</t>
  </si>
  <si>
    <t>A-DSH-03</t>
  </si>
  <si>
    <t>★비용 · 자원 모니터링</t>
  </si>
  <si>
    <t>GPU 가동률, 추론 호출 수, 모델별 토큰 사용량, 렌더링 시간, 작업 1건당 원가를 집계한다. 되돌림·재합성·아웃페인팅이 원가를 증폭시키므로 평균뿐 아니라 분포(P50·P90)를 함께 제공한다. 셀러별·채널별 원가 분해로 과금 모델 설계의 근거를 만든다.</t>
  </si>
  <si>
    <t>① 모델별 사용량 집계 ② 건당 원가 산출 ③ 원가 분포(P50·P90) 제공 ④ 셀러별·채널별 분해</t>
  </si>
  <si>
    <t>PL-19</t>
  </si>
  <si>
    <t>단가 정보 미설정 시 사용량만 표시</t>
  </si>
  <si>
    <t>★시연 범위 원칙</t>
  </si>
  <si>
    <t>단가 관리 위치 OI-30</t>
  </si>
  <si>
    <t>MVP는 실제 쇼핑몰 업로드와 서비스 릴리스를 수행하지 않는다. 실사용자가 있어야 성립하는 기능(운영 지표·계정 관리·보관 만료)은 12월로 이월하되, 소급이 불가능한 기록(감사 로그·작업 이벤트·수정 신호)은 화면이 없어도 MVP부터 적재한다.</t>
  </si>
  <si>
    <t>A-ACC-03, A-DSH-01, A-QA-01, F-LST-09</t>
  </si>
  <si>
    <t>A-DSH-04</t>
  </si>
  <si>
    <t>★품질 지표 대시보드</t>
  </si>
  <si>
    <t>규제·규격 검증 통과율, 규제 위반 검출 건수, 재합성 평균 횟수, 무수정 승인률, 사용자 수정 발생률을 집계한다. MVP 성공 지표의 측정 수단이 된다.</t>
  </si>
  <si>
    <t>① 검증 통과율 산출 ② 무수정 승인률 산출 ③ 채널·국가별 분해</t>
  </si>
  <si>
    <t>PL-20</t>
  </si>
  <si>
    <t>표본 수가 임계 미만이면 통계 신뢰도 주의를 표시</t>
  </si>
  <si>
    <t>★용어집 강제/참고 구분 원칙</t>
  </si>
  <si>
    <t>용어집 항목은 enforcement로 강제와 참고를 구분한다. 강제(성분명 INCI 표준명·브랜드명·인증 공식 명칭)는 번역 결과에 반영되었는지 검사하고 미적용 시 확인 필요로 표시한다. 참고(마케팅 표현)는 RAG 예시로만 주입하며 적용 여부를 검사하지 않는다. 구분 없이 전량 검사하면 오탐이 쏟아져 확인 필요 신호의 품질이 무너지기 때문이다.</t>
  </si>
  <si>
    <t>F-TRN-02c, F-TRN-06, F-CFM-05</t>
  </si>
  <si>
    <t>A-DSH-05</t>
  </si>
  <si>
    <t>알림 및 임계값 설정</t>
  </si>
  <si>
    <t>지표별 임계값을 설정하고 초과 시 담당자에게 알림을 발송한다.</t>
  </si>
  <si>
    <t>① 지표별 임계값 설정 ② 초과 시 알림 발송 ③ 알림 이력 조회</t>
  </si>
  <si>
    <t>알림 발송 실패 시 재시도하고 실패 이력을 남김</t>
  </si>
  <si>
    <t>PL-21</t>
  </si>
  <si>
    <t>★콘텐츠 데이터 3층 구조</t>
  </si>
  <si>
    <t>콘텐츠 데이터를 섹션 · 텍스트 블록 · 산출물(manifest) 3층으로 분리한다(v3.0 — 구 크롭·배치·텍스트 블록 구조를 대체). 텍스트 블록은 출처(원본 bbox)와 번역·판정 상태를 분리해 보유하며, 섹션 확인 결과와 1차 번역은 재생성·다른 규격 생성에서 재사용되는 공통 자산이다.</t>
  </si>
  <si>
    <t>F-SEC-01~07, F-TRN-09, F-EXP-03, F-VER-02</t>
  </si>
  <si>
    <t>v3.0 수정 — 크롭·배치 3층→섹션·블록·산출물 3층</t>
  </si>
  <si>
    <t>A-OPS-01</t>
  </si>
  <si>
    <t>★전체 작업 조회 및 재시도·취소</t>
  </si>
  <si>
    <t>모든 셀러의 작업을 조회하고 재시도·취소를 수행한다. 셀러·상태·기간·오류코드로 필터한다.</t>
  </si>
  <si>
    <t>① 전체 작업 조회 ② 강제 재시도·취소 ③ 조작 이력 로그 기록</t>
  </si>
  <si>
    <t>이미 완료된 작업은 제어 대상에서 제외</t>
  </si>
  <si>
    <t>★v1.4: 일반적 우선순위 관리를 A-OPS-02로 축소 분리</t>
  </si>
  <si>
    <t>PL-22</t>
  </si>
  <si>
    <t>★블록 생명주기 — 섹션 종속</t>
  </si>
  <si>
    <t>텍스트 블록의 생명주기는 섹션에 종속된다(v3.0 — 구 배치 종속을 대체). 섹션 제외 시 블록은 번역·산출물 대상에서 빠지되 데이터는 보존되고, 되살리기 시 그대로 복귀한다. 사용자 수정 번역문은 섹션 제외·복귀와 무관하게 보존된다.</t>
  </si>
  <si>
    <t>F-SEC-03, F-TRN-02d, F-CFM-02</t>
  </si>
  <si>
    <t>v3.0 수정 — 배치 종속→섹션 종속</t>
  </si>
  <si>
    <t>A-OPS-02</t>
  </si>
  <si>
    <t>긴급 처리 플래그</t>
  </si>
  <si>
    <t>특정 작업에 긴급 플래그를 켜서 별도 큐로 보내 먼저 처리한다. 데모·시연과 문의 대응 두 경우만 대상으로 한다. 일반적인 우선순위 관리는 대기열 경합이 실제로 발생한 뒤에 검토한다.</t>
  </si>
  <si>
    <t>① 플래그 토글 ② 긴급 큐 우선 처리 ③ 사용 이력 기록</t>
  </si>
  <si>
    <t>긴급 플래그 남용 방지를 위해 동시 지정 수 제한</t>
  </si>
  <si>
    <t>★v1.4: SQS 표준 큐는 우선순위 미지원이라 별도 큐 필요</t>
  </si>
  <si>
    <t>PL-23</t>
  </si>
  <si>
    <t>★규격 검증 규칙 단일 소스</t>
  </si>
  <si>
    <t>검증 기준은 channel_specs.validation_rules 하나에만 정의한다. 업로드 안내(F-CH-03)와 규격 검증(F-CH-05)이 같은 데이터를 읽으므로 '1600px 권장이라 안내하고 500px로 통과시키는' 불일치가 발생하지 않는다. 모든 규칙은 적용 범위(scope)를 반드시 갖는다 — 값은 module_slots.usage_type과 동일 체계(detail / thumbnail_main / thumbnail_sub / all)이며, 검증은 결과물 용도와 scope가 일치하는 규칙만 적용한다. scope 없는 규칙은 등록할 수 없다. 상품 이미지 규정(짧은 변 최소 500px)이 A+ 모듈(970×300)에 적용되어 정상 결과물이 항상 위반 판정되는 오류가 있었기 때문이다. 항목마다 출처 URL·확인일자·신뢰도를 기록한다 — A+ 970×300처럼 공식 문서에 명시가 없는 값이 있어 확장 시 근거 추적이 필요하다. 판정 결과는 결과물.validation_result에 저장하며 규칙과 결과는 항목 key로 대응한다. 모듈 슬롯 규격과 권장 이미지 장수는 module_spec 소유로 분리한다.</t>
  </si>
  <si>
    <t>A-OPS-03</t>
  </si>
  <si>
    <t>F-CH-01, F-CH-03, F-CH-05, F-CH-05a, F-CH-07, F-FIN-02, NFR-22</t>
  </si>
  <si>
    <t>★실패 원인 분석 뷰</t>
  </si>
  <si>
    <t>실패 작업을 오류 코드별로 집계하고 상세 로그와 입력 데이터를 연결해 보여준다. 반복 실패 패턴을 식별하는 데 사용한다.</t>
  </si>
  <si>
    <t>① 오류 코드별 집계 ② 상세 로그 연결 ③ 반복 패턴 상위 목록</t>
  </si>
  <si>
    <t>로그 보관 기간이 지난 작업은 집계만 제공</t>
  </si>
  <si>
    <t>v1.6 수정 · MVP 디버깅은 서버 로그로 대체 · 오류 코드 체계 자체는 F-JOB-06·F-TRN-05(must)에 존치</t>
  </si>
  <si>
    <t>A-OPS-04</t>
  </si>
  <si>
    <t>PL-24</t>
  </si>
  <si>
    <t>★고객 지원용 작업 열람</t>
  </si>
  <si>
    <t>문의 대응을 위해 특정 셀러의 작업을 열람한다. 열람 사유 입력을 필수화하고 접근 이력을 감사 로그에 남긴다. 수정 권한은 부여하지 않는다.</t>
  </si>
  <si>
    <t>★비동기 작업 실패·재시도 정책</t>
  </si>
  <si>
    <t>① 사유 입력 없이 열람 불가 ② 접근 이력 기록 ③ 읽기 전용</t>
  </si>
  <si>
    <t>민감 정보(인증 뱃지 원본 등)는 마스킹 처리</t>
  </si>
  <si>
    <t>사용자 재시도는 조건을 바꾸지 않아도 결과가 달라질 수 있는 작업에만 제공한다. 인페인팅은 시스템이 마스크 팽창 폭을 단계적으로 키워가며 상한까지 자동 재시도한 뒤 멈춘 상태이므로 재시도 버튼을 두지 않는다 — 같은 버튼을 눌러도 더 시도할 조건이 남아 있지 않으며, 조건을 바꾸는 재실행은 마스크 조정(F-INP-01e, 12월)으로 제공한다. 반면 번역과 렌더링은 API 타임아웃·레이트 리밋·폰트 로드 실패 등 일시적 원인으로 실패할 수 있어 같은 입력으로도 성공할 수 있으므로, 실패 항목을 개별 재시도할 수 있게 한다. 일괄 재시도 버튼은 두지 않되, 실패 항목이 5건을 넘으면 개별 재시도를 반복하게 두지 않고 잠시 후 다시 시도하도록 안내한다. 자동 재시도는 모든 작업에서 상한까지만 수행하고 멈춘다. 실패 항목은 목록이 아니라 사용자가 보는 해당 섹션·블록 위에 인라인 경고 배지로 표시하며 숨기지 않는다. 표시 지점은 검수(N5)다 — 인페인팅이 실패한 섹션은 9월에 마스크를 고칠 수 없으므로(F-INP-01e는 12월) 검수에서 해당 섹션을 제외하는 것이 대안이다(F-CFM-14) — N2·N4는 완료 시 자동 전환되는 처리 화면이라 배지가 머물 수 없다 — 인페인팅 실패는 원본 텍스트가 남은 상태이므로 노출해야 사용자가 상황을 이해하고, 숨기면 그 자리가 비어 보여 원인을 알 수 없다.</t>
  </si>
  <si>
    <t>F-INP-01b, F-INP-01e, F-JOB-06, F-TRN-05, F-FIN-01</t>
  </si>
  <si>
    <t>A-OPS-05</t>
  </si>
  <si>
    <t>공지 · 점검 배너 관리</t>
  </si>
  <si>
    <t>서비스 공지와 점검 안내 배너를 등록·예약·해제한다.</t>
  </si>
  <si>
    <t>① 배너 등록·예약·해제 ② 대상 사용자 범위 지정</t>
  </si>
  <si>
    <t>점검 중에는 신규 작업 생성을 차단하고 진행 중 작업은 보존</t>
  </si>
  <si>
    <t>PL-25</t>
  </si>
  <si>
    <t>★판정 책임 셀러 원칙</t>
  </si>
  <si>
    <t>판정은 권고이며 차단하지 않는다. 되살리기로 권고를 뒤집을 수 있고, 그 기록(restored_by_user + 원래 판정)이 판정 책임이 셀러에게 있음을 보여주는 근거가 된다. F-LNG-03의 "잘 모름" 탈출구·미선택 차단 원칙과 같은 계열이다.</t>
  </si>
  <si>
    <t>F-SEC-03·06, F-LNG-03, F-ACC-04</t>
  </si>
  <si>
    <t>A-CFG-01</t>
  </si>
  <si>
    <t>★규격 관리 콘솔</t>
  </si>
  <si>
    <t>채널 규격을 등록·수정하고 변경 이력을 관리한다. 확인일로부터 일정 기간이 지난 규격은 재확인 알림을 띄운다. 규격은 공지 없이 바뀌므로 주기적 검증이 필요하다.</t>
  </si>
  <si>
    <t>① 규격 CRUD ② 변경 이력 보존 ③ 확인일 경과 알림 ④ 출처 URL 필수</t>
  </si>
  <si>
    <t>사용 중인 규격 삭제 시도 시 차단하고 비활성 처리로 유도</t>
  </si>
  <si>
    <t>F-CH-01의 운영 화면</t>
  </si>
  <si>
    <t>PL-26</t>
  </si>
  <si>
    <t>★편집기 비확장 원칙</t>
  </si>
  <si>
    <t>사용자에게 허용하는 것은 번역문 짧게 고치기 · 다른 번역 고르기 · 섹션 제외/되살리기(N3의 버킷, N5의 회색 제외 — F-CFM-14)뿐이다. 조판 파라미터(폰트 크기·줄바꿈 위치)는 시스템 자동 처리 후 알림만 하며 조작 UI를 노출하지 않는다 — 줄 추가·자간·박스 높이는 시스템도 하지 않는다(F-TRN-04, 9/1 5차). 순서 재정렬도 불가 — 허용하는 순간 자유 배치가 뒷문으로 돌아온다.</t>
  </si>
  <si>
    <t>A-CFG-02</t>
  </si>
  <si>
    <t>F-CFM-02·11·12, F-TRN-04, F-SEC-03</t>
  </si>
  <si>
    <t>★규제 사전 · 용어집 관리</t>
  </si>
  <si>
    <t>국가별 금지표현과 대체 표현, 그리고 번역 용어집을 등록·수정한다. 규제 사전은 국가 축만 따르고 카테고리로 분기하지 않는다. 용어집은 도착어와 내부 카테고리 두 축으로 분기한다. 각 항목에 근거 법령과 출처, 확인일자를 함께 기록해 사용자에게 제시할 수 있게 한다.</t>
  </si>
  <si>
    <t>① 금지·대체 표현 CRUD ② 용어쌍 CRUD ③ 근거·출처·확인일자 필수 입력 ④ 규제 사전은 국가별, 용어집은 도착어·카테고리별 분류</t>
  </si>
  <si>
    <t>근거 없는 규제 항목은 등록 불가</t>
  </si>
  <si>
    <t>v1.6 수정 · 규제 사전의 카테고리 분기 폐기 · F-TRN-06과 연결</t>
  </si>
  <si>
    <t>PL-27</t>
  </si>
  <si>
    <t>★1차 번역 공통 자산 원칙</t>
  </si>
  <si>
    <t>A-CFG-03</t>
  </si>
  <si>
    <t>★사전 변경 이력 및 롤백</t>
  </si>
  <si>
    <t>규제 사전·용어집·채널 규격의 변경 이력을 버전으로 관리하고 이전 버전으로 되돌릴 수 있게 한다. 잘못된 사전 반영이 전체 생성물 품질에 즉시 영향을 주기 때문이다.</t>
  </si>
  <si>
    <t>번역은 단일 단계이며 항상 원본 박스 폭 기준 1차 번역을 생성한다. 2차 번역은 1차 번역에서만 파생한다(원문 직접 매칭 금지). 1차 번역은 content.csv trans_1 열로 항상 존재하며, 같은 국가·언어 안에서 규격만 바뀌는 다른 버전 생성에서는 재번역 없이 재사용되어 산출물 간 문구 일관성을 보장한다. 국가·언어가 바뀌면 그 조건의 1차 번역을 새로 생성한다(F-VER-01).</t>
  </si>
  <si>
    <t>F-TRN-09·10, F-EXP-02, F-VER-02</t>
  </si>
  <si>
    <t>v3.0 신설 · v3.0 수정(2차) — 재사용 조건 명확화</t>
  </si>
  <si>
    <t>① 버전 이력 보존 ② 변경자·시각 기록 ③ 이전 버전 롤백</t>
  </si>
  <si>
    <t>롤백 시 진행 중 작업은 기존 버전을 유지</t>
  </si>
  <si>
    <t>A-CFG-04</t>
  </si>
  <si>
    <t>템플릿 관리</t>
  </si>
  <si>
    <t>12월 규격 변경 경로의 채널별 템플릿(A+ 모듈 등)과 섹션→모듈 매핑 규칙을 등록·수정한다. AI 초안 생성 기준 용도(v2.5)는 폐기.</t>
  </si>
  <si>
    <t>① 템플릿 CRUD ② 채널 연결 ③ 미리보기</t>
  </si>
  <si>
    <t>연결된 채널이 있는 템플릿은 삭제 대신 비활성</t>
  </si>
  <si>
    <t>※ 폐기: PL-03(키워드 추천 데이터 소스 — 근거 기능 F-SRC-07이 v1.5에서 삭제) · PL-15(코드 편집 책임 원칙 — 근거 기능 F-HTM-02·03이 v1.5에서 삭제)</t>
  </si>
  <si>
    <t>v3.0 수정 — AI 초안 기준→규격 변경 템플릿 관리로 재정의</t>
  </si>
  <si>
    <t>A-CFG-05</t>
  </si>
  <si>
    <t>★모델 · 프롬프트 설정</t>
  </si>
  <si>
    <t>번역·검증·인페인팅에 사용하는 모델과 프롬프트를 관리한다. 역할별 모델 지정, 파라미터 조정, 버전 관리, 단계적 롤아웃을 지원한다. 인페인팅 모델은 POC 결과에 따라 교체될 수 있으므로 설정으로 분리한다.</t>
  </si>
  <si>
    <t>① 역할별 모델 지정 ② 프롬프트 버전 관리 ③ 일부 트래픽에만 적용 가능</t>
  </si>
  <si>
    <t>설정 오류로 호출 실패 시 직전 안정 버전으로 자동 폴백</t>
  </si>
  <si>
    <t>A-CFG-06</t>
  </si>
  <si>
    <t>★마스터 데이터 조회 (읽기 전용)</t>
  </si>
  <si>
    <t>규격·규제 사전·용어집·카테고리 마스터의 현재 적재 상태를 조회한다. 목록과 검색만 제공하며 등록·수정은 하지 않는다. MVP는 편집 콘솔(A-CFG-01·02)이 범위 밖이라 시드로 주입된 데이터를 확인할 수단이 없으므로 이 화면만 별도로 둔다. 각 데이터의 버전과 적재 시각을 함께 표시한다.</t>
  </si>
  <si>
    <t>① 4종 마스터를 각각 조회·검색 가능 ② 버전과 적재 시각이 표시됨 ③ 편집 기능이 존재하지 않음 ④ 도착어·카테고리별 용어집 보유 현황이 확인됨</t>
  </si>
  <si>
    <t>적재되지 않은 마스터는 '미적재'로 표시하고 오류를 내지 않는다</t>
  </si>
  <si>
    <t>v1.8 이월 · 시드 적재 확인은 DB 직접 조회로 대체 · O3 화면 소멸</t>
  </si>
  <si>
    <t>A-ACC-01</t>
  </si>
  <si>
    <t>★셀러 계정 관리</t>
  </si>
  <si>
    <t>셀러 계정을 조회하고 상태를 변경한다. 정지·해제, 사용량 한도 조정, 브랜드 수 확인을 지원한다.</t>
  </si>
  <si>
    <t>① 계정 조회·검색 ② 정지·해제 ③ 조치 이력 기록</t>
  </si>
  <si>
    <t>정지 시 진행 중 작업은 보존하고 신규 생성만 차단</t>
  </si>
  <si>
    <t>v1.6 수정 · MVP는 계정이 내부 인원뿐이라 관리 대상이 없음</t>
  </si>
  <si>
    <t>A-ACC-02</t>
  </si>
  <si>
    <t>운영자 권한 관리</t>
  </si>
  <si>
    <t>운영자 역할을 정의하고 기능별 접근 권한을 부여한다. 최소 권한 원칙을 따른다.</t>
  </si>
  <si>
    <t>① 역할 기반 권한 부여 ② 권한 변경 이력 기록</t>
  </si>
  <si>
    <t>마지막 최고 관리자 권한은 회수 불가</t>
  </si>
  <si>
    <t>v1.6 수정 · A-ACC-01과 동일 사유</t>
  </si>
  <si>
    <t>A-ACC-03</t>
  </si>
  <si>
    <t>★감사 로그 기록</t>
  </si>
  <si>
    <t>운영자와 사용자의 주요 조작을 감사 로그로 기록한다. 대상: 책임 한계 동의, 인증 사용권 확인, 번역문 직접 수정, 규격 위반 강행, 단계 되돌림, 마스터 데이터 변경, 고객 작업 열람, 계정 조치. 기록은 소급이 불가능하므로 MVP부터 동작해야 한다. 조회 화면은 A-ACC-03a로 분리한다.</t>
  </si>
  <si>
    <t>① 전 조작이 기록됨 ② 행위자·시각·대상이 기록됨 ③ 로그 임의 삭제 불가</t>
  </si>
  <si>
    <t>로그 저장 실패 시 해당 조작을 중단한다</t>
  </si>
  <si>
    <t>v1.6 수정 · 기록(must)과 조회(A-ACC-03a, should)를 분리 · NFR-24가 P0이고 기록은 소급 불가</t>
  </si>
  <si>
    <t>A-ACC-03a</t>
  </si>
  <si>
    <t>감사 로그 조회</t>
  </si>
  <si>
    <t>기록된 감사 로그를 기간·행위자·대상으로 검색해 조회한다. 기록(A-ACC-03)과 분리된 화면이다.</t>
  </si>
  <si>
    <t>① 기간·행위자·대상 검색 ② 결과 목록 표시 ③ 읽기 전용</t>
  </si>
  <si>
    <t>로그 보관 기간이 지난 항목은 조회되지 않음을 표시한다</t>
  </si>
  <si>
    <t>v1.6 신설 · A-ACC-03에서 조회 기능을 분리 · 읽는 시점은 미룰 수 있으나 쓰는 시점은 미룰 수 없음</t>
  </si>
  <si>
    <t>A-QA-01</t>
  </si>
  <si>
    <t>★사용자 수정 신호 수집 (기록 전용)</t>
  </si>
  <si>
    <t>품질 개선의 원천 데이터를 적재한다. 신호 4종을 구분해 기록한다. ① 규제 검증이 걸린 사례 ② 사용자가 제안을 해제한 사례(오탐 신호) ③ 검증을 통과했으나 사용자가 직접 고친 사례(미탐 신호) ④ 번역문 수정 전후 쌍. F-CFM-02a(블록 상태)가 이미 수정 사실을 기록하므로 수정 전후 텍스트와 신호 유형만 함께 남기면 된다. 수집은 소급이 불가능하므로 화면 유무와 무관하게 MVP부터 동작한다. 조회·라벨링 화면(O5)은 12월 이후다.</t>
  </si>
  <si>
    <t>① 4종 신호가 유형 구분과 함께 적재됨 ② 수정 전후 텍스트가 함께 보존됨 ③ 오탐·미탐이 구분됨 ④ 조회 화면 없이 동작함</t>
  </si>
  <si>
    <t>적재 실패가 사용자 작업을 막지 않는다 (비동기·베스트에포트)</t>
  </si>
  <si>
    <t>v2.0 · signal_type 4종 구분 · 범위는 수집만 · 분석은 A-QA-02(12월 이후)</t>
  </si>
  <si>
    <t>A-QA-02</t>
  </si>
  <si>
    <t>★수정 신호 라벨링 및 분석</t>
  </si>
  <si>
    <t>수집된 신호를 오탐·미탐으로 라벨링하고 빈발 패턴을 집계한다. 결과는 규제 사전과 용어집 보강에 사용한다. 초기에는 표본이 적으므로 CSV 내보내기 후 외부 라벨링으로 갈음하고, 물량이 쌓인 뒤 전용 화면을 만든다.</t>
  </si>
  <si>
    <t>① 오탐·미탐 라벨링 ② 빈발 패턴 상위 목록 ③ 사전·용어집 반영 연결</t>
  </si>
  <si>
    <t>표본 부족 시 분석을 보류하고 수집만 지속</t>
  </si>
  <si>
    <t>★v1.4: 전용 UI는 후순위, 수집(A-QA-01)이 선행</t>
  </si>
  <si>
    <t>A-QA-03</t>
  </si>
  <si>
    <t>신고 · 이의 접수 처리</t>
  </si>
  <si>
    <t>결과물 오류나 규제 판단에 대한 사용자 이의를 접수하고 처리 상태를 관리한다.</t>
  </si>
  <si>
    <t>① 접수·배정·처리 상태 관리 ② 처리 결과 회신</t>
  </si>
  <si>
    <t>동일 사안 중복 접수는 병합</t>
  </si>
  <si>
    <t>07. 비기능 요구사항 (NFR) — v3.0</t>
  </si>
  <si>
    <t>ID</t>
  </si>
  <si>
    <t>구분</t>
  </si>
  <si>
    <t>요구사항</t>
  </si>
  <si>
    <t>NFR-01</t>
  </si>
  <si>
    <t>성능</t>
  </si>
  <si>
    <t>초장축 원본 1장(섹션 15~20개 규모) 기준 분석(N2: OCR·섹션 분해·판정) 처리 시간의 목표치를 정한다 — 구 "조각 10개 기준 3분"은 단위가 소멸해 무효. 목표 수치는 V7(초장축 전체 OCR 실측) 결과로 확정한다(미실행 — 임의 확정 금지).</t>
  </si>
  <si>
    <t>v3.0 수정 — 단위 재정의, 수치는 V7 후 확정</t>
  </si>
  <si>
    <t>NFR-02</t>
  </si>
  <si>
    <t>AI 초안 생성 30초 이내</t>
  </si>
  <si>
    <t>NFR-03</t>
  </si>
  <si>
    <t>N6 최종 렌더링 1건 30초 이내. 헤드리스 브라우저 사용 시 동시 실행 수 제한 필요</t>
  </si>
  <si>
    <t>NFR-04</t>
  </si>
  <si>
    <t>다른 버전 생성은 상시 재사용(OCR·섹션 분해·인페인팅) + 축별 조건부 재사용(판정·섹션 확인 결과·1차 번역 — F-VER-01)으로 최초 대비 크게 단축될 것</t>
  </si>
  <si>
    <t>수정 · v3.0 수정 — 재사용 자산을 1차 번역·섹션 체계로 · v3.0 수정(2차)</t>
  </si>
  <si>
    <t>NFR-05</t>
  </si>
  <si>
    <t>배치 화면의 드래그 조작 지연 100ms 이내</t>
  </si>
  <si>
    <t>v3.0 삭제 — 배치 캔버스 삭제(드래그 없음)</t>
  </si>
  <si>
    <t>NFR-06</t>
  </si>
  <si>
    <t>배경 가공 방식 전환(아웃페인팅 제외)은 CSS 교체이므로 즉시 반영될 것</t>
  </si>
  <si>
    <t>v3.0 삭제 — 배경 가공 방식 전환(F-BG-04) 삭제</t>
  </si>
  <si>
    <t>NFR-07</t>
  </si>
  <si>
    <t>단계 되돌림의 무효화·재계산 처리 3초 이내 완료. MVP의 실질 무효 대상은 배경 가공뿐이다</t>
  </si>
  <si>
    <t>v1.6 수정 · 되돌림 12월 이월에 따라 should</t>
  </si>
  <si>
    <t>NFR-08</t>
  </si>
  <si>
    <t>안정성</t>
  </si>
  <si>
    <t>GPU 추론 실패 시 자동 재시도 2회, 이후 오류 전환 및 사유 기록</t>
  </si>
  <si>
    <t>NFR-09</t>
  </si>
  <si>
    <t>실행 취소 스택은 세션 내 최소 20단계 보존 — [12월] F-CFM-03이 should로 이월되어 MVP에서는 적용되지 않는다</t>
  </si>
  <si>
    <t>v1.6 수정 · 단계 이동 초기화 조항 삭제(되돌림 12월 이월)</t>
  </si>
  <si>
    <t>NFR-10</t>
  </si>
  <si>
    <t>AI 초안 폐기 시 직전 배치 상태가 정확히 복원될 것</t>
  </si>
  <si>
    <t>NFR-11</t>
  </si>
  <si>
    <t>되돌림의 무효화 처리가 부분 실패하면 이동을 취소하고 원래 단계를 유지할 것</t>
  </si>
  <si>
    <t>NFR-12</t>
  </si>
  <si>
    <t>품질</t>
  </si>
  <si>
    <t>검수 화면(N5)에서 본 미리보기와 최종 렌더링 결과가 육안상 동일할 것 — ★적용 범위는 우리가 렌더하는 산출물(9월 제자리 렌더 이미지 · 12월 baked/ · html · psd)에 한한다. 12월 분리형(images/ + content.csv를 아마존 폼에 입력)은 최종 화면을 아마존이 그리므로 폰트·줄바꿈·모바일 재배치·재압축이 달라질 수 있고 우리가 통제·측정할 수 없다 — 요구사항이 아니라 셀러 고지 대상으로 둔다(F-EXP-07 · PL-19 시연 범위 원칙)</t>
  </si>
  <si>
    <t>v3.0 수정 — 편집 화면→검수 화면 · v3.0 수정(5차) — 적용 범위를 우리가 렌더하는 산출물로 한정, 분리형은 고지 대상</t>
  </si>
  <si>
    <t>NFR-13</t>
  </si>
  <si>
    <t>텍스트 좌표 오차가 원본 대비 허용치 이내일 것 (허용치 정의는 OI-27)</t>
  </si>
  <si>
    <t>NFR-14</t>
  </si>
  <si>
    <t>규제 위험 표현 검출 재현율 90% 이상 (내부 평가셋)</t>
  </si>
  <si>
    <t>NFR-15</t>
  </si>
  <si>
    <t>인페인팅 후 원본 텍스트 잔존율 1% 미만</t>
  </si>
  <si>
    <t>NFR-16</t>
  </si>
  <si>
    <t>모든 번역 블록에 로컬라이징 근거가 존재할 것. 국가 셀렉터가 규제 사전 보유국만 노출하므로 근거 없는 블록은 발생하지 않는다. 신뢰도 점수는 요구하지 않는다(F-CFM-05 참조)</t>
  </si>
  <si>
    <t>NFR-17</t>
  </si>
  <si>
    <t>규격 검증 통과분의 규격 위반 0건</t>
  </si>
  <si>
    <t>NFR-18</t>
  </si>
  <si>
    <t>[12월 이월] 인증 뱃지는 원형 유지 — 색상·비율 변경 0건 (뱃지 기능 12월 이월에 동반)</t>
  </si>
  <si>
    <t>수정 · v3.0 수정 — 12월 이월</t>
  </si>
  <si>
    <t>NFR-19</t>
  </si>
  <si>
    <t>보안</t>
  </si>
  <si>
    <t>브랜드 간 데이터 격리. 타 셀러 원본·크롭·결과물 접근 불가</t>
  </si>
  <si>
    <t>NFR-20</t>
  </si>
  <si>
    <t>업로드 파일은 암호화 저장하고 서명 URL로만 접근</t>
  </si>
  <si>
    <t>NFR-21</t>
  </si>
  <si>
    <t>운영자의 고객 데이터 열람은 사유 기록 없이 불가</t>
  </si>
  <si>
    <t>NFR-22</t>
  </si>
  <si>
    <t>확장성</t>
  </si>
  <si>
    <t>국가·규격은 코드 수정 없이 규격 데이터·규제 사전 추가만으로 확장 가능</t>
  </si>
  <si>
    <t>NFR-23</t>
  </si>
  <si>
    <t>언어·카테고리 확장은 용어집 갱신만으로 가능할 것 (모델 재학습 불필요)</t>
  </si>
  <si>
    <t>NFR-24</t>
  </si>
  <si>
    <t>감사</t>
  </si>
  <si>
    <t>책임 한계 동의, 인증 사용권 확인, 번역문 직접 수정, 규격 위반 강행, 단계 되돌림, 마스터 데이터 변경, 운영자 조작 이력을 보존할 것. 조회 화면과 무관하게 기록은 MVP부터 동작한다</t>
  </si>
  <si>
    <t>NFR-25</t>
  </si>
  <si>
    <t>대시보드 지표는 15분 이내 지연으로 갱신될 것</t>
  </si>
  <si>
    <t>NFR-26</t>
  </si>
  <si>
    <t>규제 사전·용어집·규격 변경은 롤백 가능할 것</t>
  </si>
  <si>
    <t>NFR-27</t>
  </si>
  <si>
    <t>사용성</t>
  </si>
  <si>
    <t>핵심 플로우(N1→N6)를 최초 사용자가 안내 없이 완주 가능할 것</t>
  </si>
  <si>
    <t>수정 · v3.0 수정 — S1→S8을 N1→N6으로</t>
  </si>
  <si>
    <t>NFR-28</t>
  </si>
  <si>
    <t>마스터 데이터(규격·규제 사전·용어집·카테고리)는 관리 화면 없이 시드 스크립트로 주입 가능해야 하며, 주입 시 버전과 적재 시각을 기록할 것</t>
  </si>
  <si>
    <t>NFR-29</t>
  </si>
  <si>
    <t>작업 이벤트(단계 전이·완료·중단·오류)는 집계 화면의 유무와 무관하게 MVP부터 적재할 것. 소급 산출이 불가능하기 때문이다</t>
  </si>
  <si>
    <t>NFR-30</t>
  </si>
  <si>
    <t>공간 제약 번역 루프의 호출·렌더 비용을 완화책 4종으로 통제할 것 — ⓐ 한 호출에 번역 후보 3~5개 일괄 생성 ⓑ 블록을 배치(batch)로 묶어 처리 ⓒ 글자수→픽셀 근사식으로 명백히 넘치는 번역 후보를 렌더 전에 필터(렌더가 가장 비쌈) ⓓ 재시도 상한 2회 후 조판 조정 폴백. 목표 수치(총 소요 시간·수렴 실패율)는 V6 실측 후 확정한다. ★V6 측정 항목에 "줄 추가 없이 폰트 축소만으로 몇 %가 수렴하는가"를 포함한다(F-TRN-04에서 줄 추가·자간을 삭제했으므로 ⑤가 약해져 ⑥ 도달 빈도가 오른다 — 수렴률이 지나치게 낮으면 2b식 가변 높이를 9월에도 검토할지 재논의)(미실행 — 임의 확정 금지). 미완화 시 "번역 중" 화면이 수 분이 된다(R-12).</t>
  </si>
  <si>
    <t>v3.0 신설 — 변경안 §3-4 완화책·V6</t>
  </si>
  <si>
    <t>NFR-31</t>
  </si>
  <si>
    <t>산출물 무결성 — 제외된 섹션의 사유 코드·판정 근거·자동 조정 내역이 content.csv와 manifest.json에 누락 0건으로 포함될 것. 결과물만 보고는 알 수 없는 정보이므로 반드시 남긴다. ★두 파일의 역할이 다르다 — content.csv는 셀러가 내려받는 증빙, manifest.json은 서버 내부 데이터(export.zip 미포함, F-EXP-01). 검증은 각각 수행한다.</t>
  </si>
  <si>
    <t>v3.0 신설 — F-SEC-05·06, F-EXP-02·03 · v3.0 수정(7차) — 배포/내부 역할 구분</t>
  </si>
  <si>
    <t>08. 릴리스 로드맵 — v3.0</t>
  </si>
  <si>
    <t>MVP(10/1 중간 공유 — 관문 아님) → 12월(12/11 최종발표 — 실질 마일스톤) · ★연녹 = v3.0 신규 · 연노랑 = v3.0 수정 · 연빨강+취소선 = v3.0 삭제</t>
  </si>
  <si>
    <t>목표일</t>
  </si>
  <si>
    <t>테마</t>
  </si>
  <si>
    <t>포함 범위</t>
  </si>
  <si>
    <t>달성 상태 (판정 기준)</t>
  </si>
  <si>
    <t>2026-10-01</t>
  </si>
  <si>
    <t>N1~N6 핵심 플로우</t>
  </si>
  <si>
    <t>N1 입력 → N2 분석 → N3 섹션 확인 → N4 번역 → N5 검수 → N6 저장 · 원본 규격 고정(제자리 번역) · 도착어 영어 단일</t>
  </si>
  <si>
    <t>골든 샘플 원본으로 N1→N6을 끊김 없이 완주해 시연. 단일 세션 전진 이동만 지원</t>
  </si>
  <si>
    <t>F-NAV, F-CH-02, F-SRC, F-LNG, F-SEC, F-INP, F-TRN, F-CFM, F-FIN, F-EXP, F-JOB</t>
  </si>
  <si>
    <t>조각 기반 자유 배치</t>
  </si>
  <si>
    <t>조각 크롭 → 다중 모듈 배치 → 위치·크기 조절 → 조각 단위 인페인팅 캐시</t>
  </si>
  <si>
    <t>v3.0 삭제 — 편집 축 제거</t>
  </si>
  <si>
    <t>F-CRP-01·01a, F-PLC-02a~02h, F-INP-01c</t>
  </si>
  <si>
    <t>RAG 번역 · 공간 제약 · 규제 검증</t>
  </si>
  <si>
    <t>용어집 기반 현지화 · 공간 제약 번역 루프(원본 박스 폭) · 금지표현 사전 매칭 · 현지 부적합 판정 · 로컬라이징 근거</t>
  </si>
  <si>
    <t>일반 번역기와의 차이를 근거 화면으로 입증</t>
  </si>
  <si>
    <t>F-TRN-02·03·03a·04·08·09, F-LOC-01~03, F-CFM-04</t>
  </si>
  <si>
    <t>2단 개입 (섹션 확인 · 검수)</t>
  </si>
  <si>
    <t>N3 섹션 확인(버킷·되살리기/제외, 무조작 통과) · N5 검수 좌우 2분할(좌 뷰어+슬라이더 / 우 블록 표) · 셀 수정 → 재렌더 + 사전 재실행 · 블록↔섹션 연동 선택 · 검수 중 섹션 제외(회색·되돌리기) · 확인 필요 블록</t>
  </si>
  <si>
    <t>AI 결과를 사용자가 통제하는 구조를 보임</t>
  </si>
  <si>
    <t>F-SEC-02~06, F-CFM-01·02·05·11·12·13·14</t>
  </si>
  <si>
    <t>산출물 묶음</t>
  </si>
  <si>
    <t>export.zip — images/ · content.csv(trans_1/trans_2·origin_block_ids, 경로별 행 단위) · html(should) · 항목별 개별 다운로드(should) · 삭제 내역·판정 근거는 content.csv가 담당(NFR-31) / manifest.json은 서버 생성·보관만 하고 배포하지 않음(F-EXP-03)</t>
  </si>
  <si>
    <t>재생성·규격 변경의 입력이 데이터에 남는 구조를 보임 — 셀러에게는 쓸 수 있는 것만 준다</t>
  </si>
  <si>
    <t>F-EXP-01~05, F-SEC-05·06</t>
  </si>
  <si>
    <t>2026-12-11</t>
  </si>
  <si>
    <t>단계 되돌림 · 작업 저장 · 마스크 조정</t>
  </si>
  <si>
    <t>종속 대상 기반 되돌림 · 미완료 작업 저장·복귀 · 저장 후 수정 · 단계 이동 시 자동 저장 · ★마스크 조정 후 재실행(N5 배지 진입) · 실행 취소(F-CFM-03 — MVP는 버튼만 노출)</t>
  </si>
  <si>
    <t>작업을 잃지 않고 되돌아가 고칠 수 있음을 보임 · 인페인팅 실패를 사용자가 직접 보정할 수 있음을 보임</t>
  </si>
  <si>
    <t>F-NAV-02~06·08, F-LST-05·08, F-INP-01e, F-CFM-03</t>
  </si>
  <si>
    <t>기록 기반 (화면 없음)</t>
  </si>
  <si>
    <t>감사 로그 기록 · 작업 이벤트 적재 · 사용자 수정 신호 수집 · 마스터 데이터 시드 주입</t>
  </si>
  <si>
    <t>소급 불가능한 데이터를 첫날부터 확보</t>
  </si>
  <si>
    <t>A-ACC-03, A-QA-01, NFR-24·28·29</t>
  </si>
  <si>
    <t>국가 · 언어 확장</t>
  </si>
  <si>
    <t>도착 국가 일본·UAE 추가 · 도착어 일본어 추가 · 다른 언어로 만들기</t>
  </si>
  <si>
    <t>같은 배치를 유지한 채 국가·언어만 바꿔 재생성</t>
  </si>
  <si>
    <t>F-LNG-01·02, F-VER-01, F-TRN-06, F-TRN-07</t>
  </si>
  <si>
    <t>규격 변경 (2a·2b) · 썸네일 통합</t>
  </si>
  <si>
    <t>사이트별·커스텀 규격 활성화 · 템플릿 매핑(Rule Engine) · 2차 번역 파생 · 채널 정책 실판정 승격 · baked 산출물(F-EXP-07) · 썸네일 1:1은 사이트별 규격의 하나로 취급 · 다른 규격으로 생성</t>
  </si>
  <si>
    <t>데이터 추가만으로 규격이 늘어나는 구조를 입증</t>
  </si>
  <si>
    <t>F-CH-02a·02b·02c·06·07·10·11, F-TRN-10, F-VER-02·03, F-LOC-03, F-EXP-07</t>
  </si>
  <si>
    <t>에디터 자유도</t>
  </si>
  <si>
    <t>AI 초안 생성 · 배경 가공 3종 · 아웃페인팅 · 텍스트 위치·색상·폰트 변경</t>
  </si>
  <si>
    <t>v3.0 삭제 — 편집기 제거 확정(예람안)</t>
  </si>
  <si>
    <t>F-PLC-03~05, F-BG-02~06, F-CFM-07·08</t>
  </si>
  <si>
    <t>운영자 콘솔</t>
  </si>
  <si>
    <t>O1 대시보드 · O2 작업 운영 · O3 마스터 편집 · O4 계정·감사 조회</t>
  </si>
  <si>
    <t>MVP에서 적재한 데이터를 화면으로 노출</t>
  </si>
  <si>
    <t>A-DSH, A-OPS, A-CFG, A-ACC</t>
  </si>
  <si>
    <t>보관 · 만료</t>
  </si>
  <si>
    <t>검색·필터 · 카드 선택·다운로드·삭제 · 보관 기간 및 만료 정책</t>
  </si>
  <si>
    <t>보관 기간 값은 이 시점에 확정</t>
  </si>
  <si>
    <t>F-LST-01·03·04·06·09</t>
  </si>
  <si>
    <t>결과물 유형 확장</t>
  </si>
  <si>
    <t>썸네일(1:1) 추가 · 결과물 유형 탭 · 대표이미지 텍스트 금지 처리 · 모듈 용도 구분</t>
  </si>
  <si>
    <t>v3.0 삭제 — 규격 변경 행에 병합(썸네일=별도 작업·1:1 규격)</t>
  </si>
  <si>
    <t>F-NAV-07, F-PLC-01a, F-CH-06·08, F-INP-04</t>
  </si>
  <si>
    <t>산출물 확장 (PSD 등)</t>
  </si>
  <si>
    <t>하이브리드 PSD(4레이어, 8/31 실측 완료) · SVG는 V5 결과에 따라(OI-51) · CSV 재업로드 재렌더</t>
  </si>
  <si>
    <t>축 B(비주얼 수정)의 탈출구를 파일로 제공</t>
  </si>
  <si>
    <t>F-EXP-06, OI-51</t>
  </si>
  <si>
    <t>품질 개선 루프</t>
  </si>
  <si>
    <t>사용자 수정 신호 라벨링 · 사전·용어집 보강 · 신뢰도 점수화(self-consistency)</t>
  </si>
  <si>
    <t>운영 신호가 쌓인 뒤 착수</t>
  </si>
  <si>
    <t>A-QA-01~03, OI-33</t>
  </si>
  <si>
    <t>자산 확장</t>
  </si>
  <si>
    <t>생성형 배경 · AI 텍스트 배치 제안 · 기업 계정·조직 관리</t>
  </si>
  <si>
    <t>F-BGL-01, F-ACC-06~08 (F-CFM-10은 v3.0 삭제)</t>
  </si>
  <si>
    <t>※ MVP 판정 기준은 'must 기능 수'가 아니라 '골든 샘플 원본으로 N1→N6 완주 가능 여부'다. 골든 샘플 지정은 OI-37.</t>
  </si>
  <si>
    <t>09. 오픈 이슈 — v3.0</t>
  </si>
  <si>
    <t>★연녹 = v3.0 신규 · 연노랑 = v3.0 수정 · 연빨강+취소선 = v3.0 종결(축 삭제) · (연보라 = v2.5 · 주황 = v2.4)</t>
  </si>
  <si>
    <t>이슈 ID</t>
  </si>
  <si>
    <t>이슈</t>
  </si>
  <si>
    <t>담당</t>
  </si>
  <si>
    <t>긴급도</t>
  </si>
  <si>
    <t>OI-43</t>
  </si>
  <si>
    <t>★KR 풀 확보 가능성 점검</t>
  </si>
  <si>
    <t>내부 카테고리 7종 중 Maternity·Sets Kits·Sunscreens는 미국 아마존 베스트셀러에 한국 브랜드가 적어 KR 풀이 비어 있을 수 있다. KR 풀이 없는 칸은 두 풀의 차집합 분석이 불가능해 로컬라이징 제안의 근거가 나오지 않는다. 크롤 직후 7×2 교차표를 점검해 빈 칸을 확인하고, 채울 수 없는 칸은 구조만 두고 US 풀 단독으로 운용할지 결정한다.</t>
  </si>
  <si>
    <t>강다희</t>
  </si>
  <si>
    <t>높음</t>
  </si>
  <si>
    <t>OI-44</t>
  </si>
  <si>
    <t>★카테고리 표본 편중</t>
  </si>
  <si>
    <t>Face가 세럼·크림·토너·클렌저를 모두 포함해 7종 중 압도적으로 크다. 표본이 Face에 쏠리면 카테고리별 용어집의 변별력이 떨어지므로, 브랜드당 제품 수 상한과 카테고리별 최소 표본을 정해 편중을 관리해야 한다.</t>
  </si>
  <si>
    <t>중간</t>
  </si>
  <si>
    <t>OI-45</t>
  </si>
  <si>
    <t>★부분 결과물 다운로드 (12월 검토)</t>
  </si>
  <si>
    <t>[12월] 규격 변경 경로(F-CH-10)에서 일부 모듈 렌더가 실패했을 때 성공분만 내보낼지. 9월 경로(규격 그대로)는 단일 이미지라 해당 없음. v3.0에서 F-EXP-01 예외 처리(성공분만 묶고 실패 명시)와 정합 필요.</t>
  </si>
  <si>
    <t>PM + 백엔드</t>
  </si>
  <si>
    <t>낮음 — 12월</t>
  </si>
  <si>
    <t>신설 · v3.0 수정 — 규격 변경 경로로 한정</t>
  </si>
  <si>
    <t>OI-46</t>
  </si>
  <si>
    <t>★복합 제품(화장품+OTC) 처리 방식</t>
  </si>
  <si>
    <t>SPF 표시 색조·보습 제품, 톤업 선크림 등은 FDA가 화장품과 OTC 요건을 모두 준수해야 하는 복합 제품으로 규정한다(21 CFR 701.3(d)). 한 페이지 안에서 자외선차단 문구는 OTC 규칙, 색조·보습 문구는 화장품 규칙이 적용되어 문장 단위 판별이 필요하며, 제품 단위 규제 분류 선택(F-LNG-03)으로는 처리 불가. K뷰티 쿠션·BB크림에 SPF가 흔해 실사용 빈도가 낮지 않다. MVP는 복합을 OTC와 동일 처리하고 한계를 화면에 고지하는 것으로 잠정 확정(v2.5). 문장 단위 판별 도입 여부는 12월 검토.</t>
  </si>
  <si>
    <t>강다희 + AI</t>
  </si>
  <si>
    <t>중간 — 12월 검토</t>
  </si>
  <si>
    <t>v2.5 신설</t>
  </si>
  <si>
    <t>OI-47</t>
  </si>
  <si>
    <t>★규제 사전 분류 폴백 정책</t>
  </si>
  <si>
    <t>(target_country, regulatory_class) 조합에 사전 항목이 없을 때의 처리. 기본안(v2.5): 사전 스키마에 국가 공통(common) 계층을 두고 공통 항목으로 폴백하되 폴백 사실을 표시한다. 검증 건너뛰기는 사전 자체가 없는 국가에서만. 폴백 시 사용자 표시 문구 정의 필요. F-TRN-03a 예외 처리와 연동.</t>
  </si>
  <si>
    <t>강다희 + PM</t>
  </si>
  <si>
    <t>OI-26</t>
  </si>
  <si>
    <t>인페인팅 PoC</t>
  </si>
  <si>
    <t>인페인팅 자체 처리 확정(v3.0 — 단색=배경색 채우기 / 사진=LaMa, Codia 미채택). 남은 검증은 V1: LaMa 실측 — 실제 상세페이지 사진 구간 품질·속도(반나절, 최우선·미실행). V1 실패 시 경로 1 자체가 흔들린다(변경안 §13).</t>
  </si>
  <si>
    <t>AI</t>
  </si>
  <si>
    <t>최우선 — PoC 1순위</t>
  </si>
  <si>
    <t>v2.4 수정 · v3.0 수정 — V1로 구체화</t>
  </si>
  <si>
    <t>OI-27</t>
  </si>
  <si>
    <t>텍스트 좌표 정확성 보장</t>
  </si>
  <si>
    <t>텍스트 좌표 정확성 보장. v3.0에서 조각→모듈 변환이 삭제되어 범위가 원본 좌표 제자리 조판(+섹션 스택 오프셋, F-SEC-07)으로 축소됐다. OCR bbox 정확도와 렌더 좌표 일치(NFR-13)가 남는 검증 대상.</t>
  </si>
  <si>
    <t>AI + 백엔드</t>
  </si>
  <si>
    <t>최우선</t>
  </si>
  <si>
    <t>수정 · v3.0 수정 — 범위 축소</t>
  </si>
  <si>
    <t>OI-39</t>
  </si>
  <si>
    <t>★전사 일정 재산정</t>
  </si>
  <si>
    <t>프론트 일정표는 PRD v1.4 기준이라 v1.6 must와 맞지 않는다(누락 다수, 삭제분 잔존). 백엔드 일정표는 9월 중순에서 끝나고 10~12월이 없다. 데이터 담당 일정표는 미작성이다. 9/30·12/11 두 기준일로 전 직군 일정을 재산정한다. 백엔드 일정표를 기준선으로 삼는다.</t>
  </si>
  <si>
    <t>PM</t>
  </si>
  <si>
    <t>OI-36</t>
  </si>
  <si>
    <t>★UAE 규제 요건 확인</t>
  </si>
  <si>
    <t>UAE는 영어를 사용하므로 영어 용어집을 미국과 공유하지만, 화장품 표기에 할랄 인증·아랍어 병기 등 별도 요건이 있는지 미확인이다. 요건이 있으면 12월 확장 범위가 커진다.</t>
  </si>
  <si>
    <t>OI-33</t>
  </si>
  <si>
    <t>★번역 신뢰도 점수화</t>
  </si>
  <si>
    <t>v1.6에서 점수 산출을 폐기하고 플래그로 대체했다. 12월 후보로 LLM self-consistency(동일 블록 2~3회 번역 후 일치도 측정)를 검토한다. 번역 비용이 2~3배가 되므로 시연 규모에서만 성립할 수 있다.</t>
  </si>
  <si>
    <t>OI-31</t>
  </si>
  <si>
    <t>용어집 초기 구축 범위</t>
  </si>
  <si>
    <t>RAG 품질이 용어집에 좌우된다. 카테고리 7종 확정 후 카테고리별 용어쌍 초기 물량, 크롤링 통계 분석 방법, 공용 tier 임계값을 정해야 한다. 승격 임계값은 코드가 아니라 설정값으로 분리한다.</t>
  </si>
  <si>
    <t>강다희 + 강예람</t>
  </si>
  <si>
    <t>높음 — 번역 품질 직결</t>
  </si>
  <si>
    <t>OI-28</t>
  </si>
  <si>
    <t>Playwright 렌더링 성능</t>
  </si>
  <si>
    <t>헤드리스 브라우저는 대량 동시 처리가 느리다. 동시 실행 수 상한과 큐 설계를 정해야 한다. OI-34에서 HTML 방식이 확정될 경우에만 유효하다. v3.0 추가: 공간 제약 루프의 렌더 폭 측정 호출이 새 부하원이다 — 근사식 사전 필터(NFR-30 ⓒ)로 렌더 횟수를 줄이고, 규모는 V6에서 실측한다.</t>
  </si>
  <si>
    <t>백엔드</t>
  </si>
  <si>
    <t>수정 · v3.0 수정 — 루프 측정 부하 추가</t>
  </si>
  <si>
    <t>OI-29</t>
  </si>
  <si>
    <t>HTML 다운로드 패키징</t>
  </si>
  <si>
    <t>HTML은 인페인팅 배경 이미지를 참조한다. ZIP 패키징 방식 결정 필요. v3.0에서 html이 9월 산출물(should — F-EXP-04)로 승격되어 시급도가 올라갔다. 재조판이 이미 HTML/Playwright라 추가 공수 ≈ 0.</t>
  </si>
  <si>
    <t>높음 — 9월 승격</t>
  </si>
  <si>
    <t>v2.4 수정 · v3.0 수정 — 9월 승격(F-EXP-04)</t>
  </si>
  <si>
    <t>OI-18</t>
  </si>
  <si>
    <t>배경색 추출 알고리즘 (인페인팅 단색 채우기)</t>
  </si>
  <si>
    <t>중간색·지배색 추출 방식(평균 / 최빈색 / 지각 색공간 군집)과 편차가 클 때의 폴백(LaMa 전환) 임계값 결정 필요. v3.0에서 용도가 조각 배경(구 F-BG-02, 삭제)에서 인페인팅 단색·그라디언트 채우기(F-INP-01)와 스타일 지배색 추출(F-STY-01)로 이동 — 9월 must 경로가 되어 시급도 상승.</t>
  </si>
  <si>
    <t>높음 — 9월 must 경로</t>
  </si>
  <si>
    <t>수정 · v3.0 수정 — 용도 이동·승격</t>
  </si>
  <si>
    <t>OI-24</t>
  </si>
  <si>
    <t>저장 후 수정 시 진입 단계</t>
  </si>
  <si>
    <t>F-LST-05가 '마지막 작업 단계로 이동'인데 완료 상태에서 어느 단계를 마지막으로 볼지 정의 필요(N5 검수 유력).</t>
  </si>
  <si>
    <t>OI-16</t>
  </si>
  <si>
    <t>AI 초안 조각 선별 개수</t>
  </si>
  <si>
    <t>'권장 개수만큼 선별'을 채택했으나 테스트가 필요하다. 선별 개수는 설정값으로 둔다. F-PLC-05가 should이므로 12월 과제.</t>
  </si>
  <si>
    <t>PM + AI</t>
  </si>
  <si>
    <t>v3.0 종결 — AI 초안 축(F-PLC-03~05) 삭제로 무효</t>
  </si>
  <si>
    <t>OI-37</t>
  </si>
  <si>
    <t>★골든 샘플 지정</t>
  </si>
  <si>
    <t>MVP 판정 기준이 'must 기능 수'가 아니라 'N1→N6 완주'이므로, 완주 대상이 될 원본 이미지 1~2건을 미리 지정해야 한다. 단색 배경과 사진 위 텍스트를 모두 포함하는 표본이어야 단일 인페인팅 경로(LaMa)의 난이도 스펙트럼을 함께 보일 수 있다. 표본 중 1건은 선크림 계열(OTC 규제 분류)을 포함해 규제 분류 분기(F-LNG-03)를 함께 시연할 수 있어야 한다.</t>
  </si>
  <si>
    <t>PM + 강다희</t>
  </si>
  <si>
    <t>OI-07</t>
  </si>
  <si>
    <t>데이터 보관·삭제 정책</t>
  </si>
  <si>
    <t>삭제한 카드의 복구 가능 여부. 보관 기간은 F-LST-09와 함께 12월로 이월했다.</t>
  </si>
  <si>
    <t>권한 레벨 상세</t>
  </si>
  <si>
    <t>셀러측 일반/관리자 2단계로 충분한지. F-ACC-03이 could이므로 12월 이후 과제.</t>
  </si>
  <si>
    <t>낮음</t>
  </si>
  <si>
    <t>OI-13</t>
  </si>
  <si>
    <t>국가별 규제 사전 구축 범위</t>
  </si>
  <si>
    <t>US는 1차 확보. JP·UAE 미착수. 12월 확장 시 3개국이 되므로 미국분의 3배 물량이 된다. 추가로 규제 분류 축(화장품/OTC)이 도입되어 국가당 물량이 늘어난다. OTC는 모노그래프별(M006 여드름·M020 선크림 등)로 금지 클레임과 허용 Uses를 각각 수집해야 한다.</t>
  </si>
  <si>
    <t>OI-15</t>
  </si>
  <si>
    <t>가격·과금 모델</t>
  </si>
  <si>
    <t>건당 / 구독 / 크레딧 중 선택. 배포하지 않는 프로젝트이므로 발표 자료 수준으로만 정리한다.</t>
  </si>
  <si>
    <t>OI-25</t>
  </si>
  <si>
    <t>운영 기능 범위 확정</t>
  </si>
  <si>
    <t>운영 관리 영역(A-*)은 기획 초안이다. v1.6에서 전량 12월로 이월했으므로 12월 착수 전에 범위를 재검토한다.</t>
  </si>
  <si>
    <t>낮음 — 12월 전 검토</t>
  </si>
  <si>
    <t>11. 용어집 — v3.0</t>
  </si>
  <si>
    <t>OI-30</t>
  </si>
  <si>
    <t>모델 단가 관리 위치</t>
  </si>
  <si>
    <t>원가 집계(A-DSH-03)에 필요한 단가 관리 위치 미정. A-DSH-03이 12월이므로 함께 이월.</t>
  </si>
  <si>
    <t>★연녹 = v3.0 신규 · 연노랑 = v3.0 수정 · 연빨강+취소선 = v3.0 삭제 (해당 개념 폐지)</t>
  </si>
  <si>
    <t>OI-48</t>
  </si>
  <si>
    <t>★2차 번역 선별 로직 (12월)</t>
  </si>
  <si>
    <t>A+ 모듈 슬롯보다 블록이 많을 때 어떤 블록을 남길지 — 보완안이 "난이도 높음"으로 표시한 미해결 사안. 12월 사안이나 manifest.json 스키마에 영향을 주므로 스키마 확정 전에 방향만이라도 정해야 한다. 결론은 내리지 않는다(변경안 §15). ★9/1 6차 — 선별의 단위만 블록(문단)으로 확정했다(F-TRN-10). 단위가 정해져 선택지가 줄고 로직이 단순해지지만 "어떤 블록을 남길지"는 여전히 미해결이다. 다만 스키마 영향분은 9/1에 선반영했다 — manifest의 2차 번역 항목에 origin_block_ids(배열) 자리를 확보해, 선별 로직이 12월에 어떻게 정해지든 스키마를 다시 열지 않는다(F-EXP-03·F-TRN-10·F-CFM-13).</t>
  </si>
  <si>
    <t>중간 — 12월, 스키마 영향</t>
  </si>
  <si>
    <t>v3.0 신설 (변경안 §15)</t>
  </si>
  <si>
    <t>OI-49</t>
  </si>
  <si>
    <t>★스타일 추출 범위</t>
  </si>
  <si>
    <t>폰트 패밀리를 역할 기반 2~3종으로 고정하는 선택 — "원본 느낌 유지"를 어디까지 약속할지 미확정(변경안 §15). V4(스타일 추출 정확도 실측)가 판단 재료.</t>
  </si>
  <si>
    <t>용어</t>
  </si>
  <si>
    <t>OI-50</t>
  </si>
  <si>
    <t>★용어집 자동 학습 확인 절차 (12월)</t>
  </si>
  <si>
    <t>2차 번역에서의 용어 수준 수정을 용어집(F-TRN-02 RAG)에 태워 재발을 막는 안 — 자동 반영은 위험하므로 확인 절차와 함께 12월 후보로 둔다(변경안 §3-3). 절차 미확정.</t>
  </si>
  <si>
    <t>Pix/ate</t>
  </si>
  <si>
    <t>OI-51</t>
  </si>
  <si>
    <t>본 서비스의 이름. AI 상세페이지 로컬라이제이션 SaaS</t>
  </si>
  <si>
    <t>★SVG 산출물 검토</t>
  </si>
  <si>
    <t>SVG는 텍스트가 살아있는 12월 후보 포맷. 단, Figma가 &lt;text&gt;를 벡터로 쪼갠다는 보고가 있어 테스트 선행(V5, 30분·미실행). 결과에 따라 채택 여부 결정.</t>
  </si>
  <si>
    <t>v3.0 신설 (변경안 §4-3)</t>
  </si>
  <si>
    <t>규격</t>
  </si>
  <si>
    <t>OI-52</t>
  </si>
  <si>
    <t>사이트별 이미지·모듈·텍스트 규격을 담은 내부 기준 데이터. 국가와 독립이며 셀러에게 직접 노출되지 않는다. DB 테이블명은 channel_spec</t>
  </si>
  <si>
    <t>★크리젠(VCAT.AI) 경쟁 확인</t>
  </si>
  <si>
    <t>크리젠에 "이미지 번역(Text Localizer)" 앱이 이미 존재(텍스트 지우기·배너 리사이즈 보유, ₩12,600/월). 제자리 번역 단독으로는 차별점이 얇다 → 커머스 관습 레이어로 차별점 상향 필요(R-11). V2(품질 실측)로 확인.</t>
  </si>
  <si>
    <t>v3.0 신설 (변경안 §9·§12)</t>
  </si>
  <si>
    <t>OI-53</t>
  </si>
  <si>
    <t>★원본 규격 결과물의 용량 기준</t>
  </si>
  <si>
    <t>판매 대상 국가. 규제 분류와 함께 규제 사전을 결정한다. N1에서 선택하며 섹션 분해·인페인팅에 영향을 주지 않는다(F-VER-03). 셀렉터에는 규제 사전이 구축된 국가만 노출된다. MVP 미국, 12월 일본·UAE</t>
  </si>
  <si>
    <t>9월은 규격이 "원본 그대로"라 대응하는 channel_spec이 없어 용량 상한의 출처가 없다. 2MB는 F-CH-05a의 아마존 [detail] 값이므로 원본 규격에 적용할 근거가 없고, F-CH-01은 모든 검증 항목에 출처 URL과 확인일자를 요구한다. 9/1 5차 결정 — 원본 규격용 최소 spec에는 포맷(JPG·PNG)과 색공간(RGB)만 정의하고 용량은 규칙에 넣지 않아 "미검사"로 표시한다(F-CH-05a 예외 조항). 근거 없는 숫자를 만들지 않는다. 재개 조건: ① 12월 사이트별 규격 시드 시 채널별 값과 함께 확정 ② 실제 업로드를 하게 되면 그때 필수가 된다. 분할 규칙 자체는 용량이 아니라 원본 업로드 단위를 따르므로 이 미결에 영향받지 않는다(F-FIN-01).</t>
  </si>
  <si>
    <t>낮음 — 9월은 업로드 없어 실익 없음</t>
  </si>
  <si>
    <t>v3.0 신설(5차)</t>
  </si>
  <si>
    <t>번역 대상 언어. 용어집을 결정한다. 출발어는 한국어로 고정되므로 선택 대상은 도착어뿐이다. MVP 영어, 12월 일본어. 국가와 독립이며 자유 조합을 허용한다</t>
  </si>
  <si>
    <t>종결된 이슈</t>
  </si>
  <si>
    <t>표시 카테고리</t>
  </si>
  <si>
    <t>★사용자가 S1에서 선택하는 상품 카테고리. Amazon 트리에 준하는 상세 수준이며 규격·국가와 독립인 전 채널 공통 마스터로 관리한다(F-SRC-04a)</t>
  </si>
  <si>
    <t>OI-42</t>
  </si>
  <si>
    <t>★선크림 카테고리 규제 체계 상이</t>
  </si>
  <si>
    <t>v2.5에서 확정 — F-LNG-03(규제 분류 선택) 신설, F-TRN-03a 조회 축에 regulatory_class 추가, F-TRN-07(규제 사전 마스터) 신설, PL-17·PL-18 개정. 종결. 복합 제품 처리는 OI-46, 폴백 정책은 OI-47로 이월.</t>
  </si>
  <si>
    <t>내부 카테고리</t>
  </si>
  <si>
    <t>★용어집을 분기하는 축. Amazon Skin Care 하위 7종(Body · Eyes · Face · Lip Care · Maternity · Sets, Kits · Sunscreens &amp; Tanning Products)으로 축약하며 표시 카테고리에서 매핑으로 환산한다(F-SRC-04b). 규제 사전은 이 축을 사용하지 않는다.</t>
  </si>
  <si>
    <t>공용 용어집</t>
  </si>
  <si>
    <t>★어느 내부 카테고리에도 강하게 귀속되지 않는 표현의 모음. 해당 카테고리 용어집이 미구축이거나 매핑되지 않은 경우의 폴백</t>
  </si>
  <si>
    <t>종결 사유</t>
  </si>
  <si>
    <t>OI-01</t>
  </si>
  <si>
    <t>로컬라이징 사전</t>
  </si>
  <si>
    <t>규격 리서치</t>
  </si>
  <si>
    <t>타겟 국가와 규제 분류에 따라 선택되는 규제 사전과 표현 기준의 묶음. 같은 언어라도 국가가 다르면, 같은 국가라도 규제 분류가 다르면 다른 사전이 적용된다. 카테고리로 분기하지 않는다.</t>
  </si>
  <si>
    <t>MVP 범위를 Amazon 단독으로 좁히고 A+ 970×300을 Amazon 공식 자료로 확정해 종결. 다규격 확장 시 재개한다.</t>
  </si>
  <si>
    <t>OI-02</t>
  </si>
  <si>
    <t>프로세스 바</t>
  </si>
  <si>
    <t>Amazon JP·AE 규격 별도 확인</t>
  </si>
  <si>
    <t>전 화면 상단의 작업 단계 표시기. 현재 위치 확인과 이전 단계 이동에 사용</t>
  </si>
  <si>
    <t>v1.5에서 Amazon Basic A+를 글로벌 공통 정책으로 정리해 규격은 공통, 국가는 규제 사전만 분기하는 구조로 확정. 종결.</t>
  </si>
  <si>
    <t>OI-03</t>
  </si>
  <si>
    <t>쿠팡 제품 점유율</t>
  </si>
  <si>
    <t>되돌림</t>
  </si>
  <si>
    <t>쿠팡이 범위에서 제외되어 무효. 종결.</t>
  </si>
  <si>
    <t>이전 작업 단계로 이동하는 동작. 진행 상태만 되돌아가며 이후 산출물을 일괄 삭제하지 않는다. 섹션 단위 산출물은 보존되고 조건(국가·규제분류·규격) 종속 산출물만 무효화되며, 실행취소 스택은 초기화된다</t>
  </si>
  <si>
    <t>OI-23</t>
  </si>
  <si>
    <t>되돌림 초기화 예외 범위</t>
  </si>
  <si>
    <t>v1.5 F-NAV-05의 종속 대상 기반 판정으로 해결. 종결.</t>
  </si>
  <si>
    <t>완료된 결과물을 보관함에서 다시 열어 마지막 작업 단계로 복귀해 수정하는 흐름</t>
  </si>
  <si>
    <t>구 미결1</t>
  </si>
  <si>
    <t>번역 신뢰도 산출 방식</t>
  </si>
  <si>
    <t>v1.6에서 점수 폐기, 플래그로 대체(F-CFM-05). 점수화는 OI-33으로 이관. 종결.</t>
  </si>
  <si>
    <t>구 미결2</t>
  </si>
  <si>
    <t>보관 기간 30/90일</t>
  </si>
  <si>
    <t>원본 상세페이지에서 새 결과물에 넣을 영역을 잘라내는 작업</t>
  </si>
  <si>
    <t>F-LST-09를 12월로 이월하며 기간 값도 함께 이월. 종결.</t>
  </si>
  <si>
    <t>구 미결3</t>
  </si>
  <si>
    <t>A+ 픽셀 규격 출처</t>
  </si>
  <si>
    <t>Amazon 공식 자료로 확정. 종결.</t>
  </si>
  <si>
    <t>조각</t>
  </si>
  <si>
    <t>크롭으로 만들어진 개별 이미지 단위. 원본의 요소 단위이며 모듈 크기와 무관하다. 여러 모듈에 재사용할 수 있다</t>
  </si>
  <si>
    <t>모듈</t>
  </si>
  <si>
    <t>규격에 따라 생성된 배치 슬롯.</t>
  </si>
  <si>
    <t>결과물 유형 탭</t>
  </si>
  <si>
    <t>★썸네일과 상세페이지를 구분하는 화면 축(S3·S5·S7). 텍스트 블록은 소속 모듈을 통해 탭에 귀속되며, 번역 순서의 최상위 기준이자 단계 진행의 완료 판정 단위다</t>
  </si>
  <si>
    <t>신설 · v3.0 삭제</t>
  </si>
  <si>
    <t>크롭 조각을 모듈에 놓는 작업이자 그 기록. 한 모듈에 여러 조각을 놓을 수 있고 위치와 크기를 조절한다. 같은 조각을 여러 모듈에 놓으면 배치 기록이 그만큼 생기며, 텍스트 블록의 출처가 된다</t>
  </si>
  <si>
    <t>v2.0 수정 · v3.0 삭제</t>
  </si>
  <si>
    <t>대표이미지</t>
  </si>
  <si>
    <t>썸네일 중 검색 결과에 노출되는 첫 이미지. 규격상 텍스트·로고·워터마크가 금지되어 번역 대상이 아니다</t>
  </si>
  <si>
    <t>AI 초안</t>
  </si>
  <si>
    <t>AI가 생성한 전체 레이아웃 제안. 사용자 기존 배치를 참조하지 않으며 수락·수정·폐기 가능. 12월 범위</t>
  </si>
  <si>
    <t>수정 · v3.0 삭제</t>
  </si>
  <si>
    <t>완료·미완료 결과물을 카드로 관리하는 목록(M1). 배치 화면 좌측의 '크롭 목록'과는 다른 개념이다</t>
  </si>
  <si>
    <t>v2.1 수정</t>
  </si>
  <si>
    <t>이미지에서 원본 텍스트를 제거하고 배경을 복원하는 처리. 섹션 단위로 수행·캐시되며 조건 변경에 영향받지 않는다</t>
  </si>
  <si>
    <t>아웃페인팅</t>
  </si>
  <si>
    <t>크롭 조각의 배경을 조각 바깥으로 이어 그리는 처리. 배치에 종속되어 배치 변경 시 재생성된다. 12월 범위</t>
  </si>
  <si>
    <t>배경 가공</t>
  </si>
  <si>
    <t>섹션이 덮지 않은 여백을 채워 하나의 이미지로 보이게 하는 처리. MVP 기본값은 흰 배경</t>
  </si>
  <si>
    <t>HTML 텍스트 레이어</t>
  </si>
  <si>
    <t>인페인팅된 배경 이미지 위에 절대 좌표로 얹히는 텍스트 요소들. 배경과 독립적으로 편집되며 좌표계는 모듈 기준이다. 최종 렌더링은 HTML/Playwright로 확정되었다.</t>
  </si>
  <si>
    <t>OI-34</t>
  </si>
  <si>
    <t>v1.7에서 HTML/Playwright로 확정. 편집 레이어와 출력 렌더러 모두 HTML 기준. 종결.</t>
  </si>
  <si>
    <t>초기 배치</t>
  </si>
  <si>
    <t>추출된 텍스트를 조각의 배치 위치와 배율에 따라 모듈 좌표로 변환해 원본과 같은 모습으로 표시하는 것. 산술 변환이며 AI 판단이 아니다</t>
  </si>
  <si>
    <t>OI-32</t>
  </si>
  <si>
    <t>v1.7에서 Amazon Skin Care 하위 7종(Body · Eyes · Face · Lip Care · Maternity · Sets, Kits · Sunscreens &amp; Tanning Products)으로 확정. 종결.</t>
  </si>
  <si>
    <t>블록 상태</t>
  </si>
  <si>
    <t>텍스트 블록의 번역 상태. 기계번역 / 사용자수정. 사용자수정 블록은 재번역 대상에서 제외된다</t>
  </si>
  <si>
    <t>OI-40</t>
  </si>
  <si>
    <t>v1.7에서 스키마·Mock·실기능 3단계 분리로 확정(8/23 목록 → 8/26 S1~S3 → 8/31 S4 → 9/7 S6 → 9/11 S8). 종결.</t>
  </si>
  <si>
    <t>OI-35</t>
  </si>
  <si>
    <t>증분 번역</t>
  </si>
  <si>
    <t>v1.7에서 job_event·edit_signal 테이블을 MVP ERD에 포함하고 A-QA-01을 수집 전용 must로 승격. 종결.</t>
  </si>
  <si>
    <t>섹션 되살리기·텍스트 추가 시 추가된 블록만 번역하는 방식. 전체 재번역을 하지 않으며 일관성은 용어집·기번역 컨텍스트로 확보한다</t>
  </si>
  <si>
    <t>OI-41</t>
  </si>
  <si>
    <t>v1.7에서 시드 적재는 강다희, DB 구조는 김도연으로 확정. 종결.</t>
  </si>
  <si>
    <t>1차 피드백</t>
  </si>
  <si>
    <t>번역 전 원문 텍스트를 수정해 번역 대상을 정하는 단계(S5). 타겟 국가·언어 선택도 이 단계에서 이루어진다</t>
  </si>
  <si>
    <t>OI-19</t>
  </si>
  <si>
    <t>v1.7에서 자동 재검증 없이 경고만으로 확정. 종결. ⚠ v3.0에서 결론 변경 — 검수 셀 수정 시 금지표현 사전 매칭(F-TRN-03a)을 자동 재실행한다(F-CFM-02). 룰 기반이라 비용 무시 가능, 차단 없이 경고. "경고만" 결론은 폐기.</t>
  </si>
  <si>
    <t>검수(N5). 번역 후 검수 표에서 번역문을 수정하는 단계. 셀 수정 시 재렌더 + 금지표현 사전 재실행.</t>
  </si>
  <si>
    <t>v3.0 수정 — 검수로 재정의</t>
  </si>
  <si>
    <t>OI-20</t>
  </si>
  <si>
    <t>v1.7에서 추출 실패 조각은 S5에서 사용자 직접 입력 가능으로 확정. 종결.</t>
  </si>
  <si>
    <t>RAG</t>
  </si>
  <si>
    <t>도메인 용어집을 검색해 프롬프트에 주입하는 방식. 파인튜닝 없이 범용 LLM을 현지화한다</t>
  </si>
  <si>
    <t>OI-05</t>
  </si>
  <si>
    <t>v1.7에서 9종으로 확정(생성됨·배치중·전처리중·원문확인·번역중·번역문확인·완료·오류·취소). 종결.</t>
  </si>
  <si>
    <t>용어집</t>
  </si>
  <si>
    <t>OI-38</t>
  </si>
  <si>
    <t>번역 기준이 되는 용어쌍 모음. 출발어는 한국어로 고정되며 도착어와 내부 카테고리 두 축으로 분리 관리된다. 각 항목은 enforcement(강제/참고)로 구분되며, 강제 항목만 적용 여부를 검사하고 참고 항목은 RAG 예시로만 주입된다.</t>
  </si>
  <si>
    <t>v1.7에서 개발계획서 수정으로 해소 방향 확정 — 6.1 스키마에 fragment_id·module_coords·role 추가. block_merge_id는 v2.0에서 철회하고 텍스트블록.source_lines(jsonb)로 대체(줄 단위 별도 레코드를 두지 않는 3층 구조 확정에 따름). 종결.</t>
  </si>
  <si>
    <t>규제 검증 (구 1차 검증)</t>
  </si>
  <si>
    <t>번역 결과가 타겟 국가·규제 분류의 규제를 위반하지 않는지 검사(F-TRN-03·03a). 1차 번역 후·검수 셀 수정 시·2차 번역 파생 후 등 여러 지점에서 반복 수행되므로 서수 명칭을 폐기(PM 9/1). "무엇을 말할 수 있나"의 축(PL-18).</t>
  </si>
  <si>
    <t>v3.0 수정(3차) — 개칭</t>
  </si>
  <si>
    <t>규격 검증 (구 2차 검증)</t>
  </si>
  <si>
    <t>최종 렌더링 결과가 채널 규격(해상도·포맷·용량 등)을 지켰는지 검사(F-CH-05). 12월 규격 변경 경로에서는 템플릿 렌더 후 완전 검증. "어떻게 담아야 하나"의 축(PL-18).</t>
  </si>
  <si>
    <t>각 문구를 그렇게 번역·치환한 이유를 자연어로 제시한 설명. 읽기 전용이며 모든 번역 블록에 존재해야 한다(NFR-16)</t>
  </si>
  <si>
    <t>확인 필요 블록</t>
  </si>
  <si>
    <t>★사람이 확인해야 할 번역 블록. 인식 신뢰도 저조·금지표현 검출·영역 초과 축소·사용자 수정 후 재검증 중 하나에 해당하면 표시된다. 점수를 산출하지 않는다(구 '신뢰도 점수' 대체)</t>
  </si>
  <si>
    <t>인증 뱃지</t>
  </si>
  <si>
    <t>셀러가 인증 기관에서 받아 보유한 로고 이미지. v3.0에서 12월 이월(배치 지점 소멸). 원본에 그려진 국내 인증마크의 판정은 🏷 배지(F-SEC-04).</t>
  </si>
  <si>
    <t>v3.0 수정 — 12월 이월</t>
  </si>
  <si>
    <t>감사 로그</t>
  </si>
  <si>
    <t>운영자와 사용자의 주요 조작 이력. 임의 삭제 불가. 조회 화면은 12월이나 기록은 MVP부터 동작한다</t>
  </si>
  <si>
    <t>시드 주입</t>
  </si>
  <si>
    <t>★마스터 데이터를 관리 화면 없이 스크립트로 DB에 적재하는 것. MVP의 마스터 데이터 공급 방식이며 시드 파일이 원본(SSOT)이다</t>
  </si>
  <si>
    <t>골든 샘플</t>
  </si>
  <si>
    <t>★MVP 완료 판정과 시연에 사용할 기준 원본 이미지. 단색 배경과 사진 위 텍스트를 모두 포함해야 한다(OI-37)</t>
  </si>
  <si>
    <t>강제 용어</t>
  </si>
  <si>
    <t>★용어집 항목 중 번역 결과에 반드시 반영되어야 하는 항목. 성분명(INCI 표준명)·브랜드명·인증 공식 명칭이 해당하며 미적용 시 확인 필요로 표시된다</t>
  </si>
  <si>
    <t>참고 용어</t>
  </si>
  <si>
    <t>★용어집 항목 중 RAG 예시로만 주입되는 항목. 마케팅 표현이 해당하며 적용 여부를 검사하지 않는다</t>
  </si>
  <si>
    <t>텍스트 블록</t>
  </si>
  <si>
    <t>한 섹션 안의 글자 덩어리 1개. 원문·번역문·역할·번역상태·좌표를 개별로 가지며 섹션에 종속된다(PL-21·22). N4에서 섹션마다 생성된다</t>
  </si>
  <si>
    <t>배치에서 빼기</t>
  </si>
  <si>
    <t>조각을 모듈에서만 제거하는 동작(S3). 그 배치와 배치에서 나온 텍스트 블록이 삭제되고 조각은 크롭 목록에 남아 다시 배치할 수 있다</t>
  </si>
  <si>
    <t>v2.1 수정 · v3.0 삭제</t>
  </si>
  <si>
    <t>조각 삭제</t>
  </si>
  <si>
    <t>조각 자체를 제거하는 동작. 크롭 단계(S2)에서만 가능하며 배치 화면에서는 할 수 없다. 삭제하면 그 조각의 모든 배치와 텍스트 블록이 함께 사라진다</t>
  </si>
  <si>
    <t>크롭 목록</t>
  </si>
  <si>
    <t>배치 화면 좌측에 표시되는 조각 전체 목록. 배치 여부와 무관하게 모든 조각이 보이며 조각별 배치 횟수를 함께 표시한다. 조각을 여러 모듈에 재사용할 수 있으므로 배치했다고 사라지지 않는다</t>
  </si>
  <si>
    <t>검증 규칙</t>
  </si>
  <si>
    <t>규격별로 무엇을 검사할지 정의한 데이터(channel_specs.validation_rules). 항목 key·적용 범위(scope)·비교 연산·기준값·단위·심각도·출처·확인일자로 구성되며, 안내와 검증이 공유하는 단일 소스다. scope는 결과물 용도(detail / thumbnail_main / thumbnail_sub / all)를 가리키며 생략할 수 없다</t>
  </si>
  <si>
    <t>v2.2 수정</t>
  </si>
  <si>
    <t>적용 범위 (scope)</t>
  </si>
  <si>
    <t>검증 규칙이 어떤 결과물에 적용되는지를 가리키는 값. module_slots.usage_type과 같은 체계를 쓴다. 상품 이미지 규정을 A+ 모듈에 적용하는 것 같은 오적용을 막는다</t>
  </si>
  <si>
    <t>마스크</t>
  </si>
  <si>
    <t>인페인팅에서 지울 영역을 지정하는, 섹션과 동일 해상도의 이진 마스크 이미지(1채널, 픽셀별 지움/보존). 텍스트 검출 bbox는 마스크 생성의 입력일 뿐이며 마스크 형태는 사각형으로 제한되지 않는다. 자동 재시도는 마스크 팽창 폭을 키워가며 수행된다(F-INP-01b). 12월에 사용자가 마지막 사용 마스크를 브러시로 조정할 수 있다(F-INP-01e)</t>
  </si>
  <si>
    <t>v2.4 수정 — 구 「배경 유형」 대체(단일 경로 확정으로 폐기)</t>
  </si>
  <si>
    <t>경고 배지</t>
  </si>
  <si>
    <t>섹션 처리 결과에 붙는 표시. 처리 실패(재시도 상한 도달, 원본 텍스트 잔존)와 품질 주의(기준은 통과했으나 잔존율이 임계 근처) 두 종류다</t>
  </si>
  <si>
    <t>인라인 경고 배지</t>
  </si>
  <si>
    <t>실패하거나 품질이 의심되는 섹션·블록 위에 직접 표시하는 경고. 별도 목록을 두지 않는 이유는 위치 자체가 정보이기 때문이다. 실패 목록 형태는 운영자 화면(A-OPS-03)에서만 쓴다</t>
  </si>
  <si>
    <t>폐기 기능 ID</t>
  </si>
  <si>
    <t>삭제·폐기되어 현행 명세에 존재하지 않는 기능 ID. 비고·변경 이력에 남은 참조는 이력 기록이며 깨진 링크가 아니다. v1.5 삭제: F-SRC-05(출발어 경고 — F-SRC-01로 이관) · F-SRC-07(키워드 추천, PL-03 함께 폐기) · F-BRD-04(브랜드 톤 — F-TRN-02b·F-BRD-03으로 대체) · F-HTM-02·03(코드 편집, PL-15 함께 폐기). v1.4: F-PLC-02(02a~02i로 분해). v2.4 폐기: F-INP-01d(배경 유형 수동 지정 — 단일 인페인팅 경로 확정으로 불필요). 폐기된 ID는 재사용하지 않는다</t>
  </si>
  <si>
    <t>v2.4 신설</t>
  </si>
  <si>
    <t>★규제 분류</t>
  </si>
  <si>
    <t>타겟 국가의 규제 체계상 제품이 속하는 법적 분류(regulatory_class). 미국은 화장품(Cosmetic)·OTC 의약품(OTC Drug)·화장품+OTC 복합·잘 모름(분류 미상) 중 선택한다. 타겟 국가와 함께 규제 사전을 결정하는 축이며, 카테고리(F-SRC-04)와 독립이다. S5에서 셀러가 선택하며 플랫폼은 판정하지 않는다(F-LNG-03)</t>
  </si>
  <si>
    <t>★OTC 의약품</t>
  </si>
  <si>
    <t>미국에서 처방 없이 판매되는 의약품. 자외선차단제·여드름 치료제 등이 해당한다. 화장품이 '의약품 클레임만 피하면 되는' 네거티브 규제인 반면, OTC는 '모노그래프에 열거된 용도만 기술할 수 있는' 포지티브 규제다. Drug Facts 패널 보유 여부로 식별한다</t>
  </si>
  <si>
    <t>제자리 번역</t>
  </si>
  <si>
    <t>원본 레이아웃을 유지한 채 이미지 속 한국어를 그 자리에서 규제를 아는 영어로 바꾸는 방식. 크롭도 배치도 없다. 9월 MVP의 본체(경로 1 — 규격 그대로).</t>
  </si>
  <si>
    <t>섹션</t>
  </si>
  <si>
    <t>상세페이지를 의미 단위로 자동 분해한 구간. 판정·제외/되살리기·인페인팅·캐시의 기본 단위(구 "조각"을 대체).</t>
  </si>
  <si>
    <t>버킷</t>
  </si>
  <si>
    <t>섹션 확인(N3)의 두 구획 — 제외된 섹션 / 결과물에 포함될 섹션. 액션은 [되살리기]/[제외하기] 2개뿐.</t>
  </si>
  <si>
    <t>무조작 통과</t>
  </si>
  <si>
    <t>섹션 확인에서 아무것도 건드리지 않고 [이대로 진행]하면 권고대로 진행되는 것. 전자동과 동일한 결과(클릭 0회).</t>
  </si>
  <si>
    <t>판정 티저</t>
  </si>
  <si>
    <t>아직 실행하지 못하는 판정(채널 정책 등)을 "12월 지원 예정" 배지로 미리 보여주는 것. 제품이 어디까지 가는지를 UI가 스스로 말하게 한다. N1 규격 선택지에는 적용하지 않는다(배지 없이 비활성 노출 — PM 확정 9/1).</t>
  </si>
  <si>
    <t>원본 박스 폭에 맞춘 번역. 조건(국가·언어)과 무관하게 규격 축에서는 공통 자산(PL-27). content.csv trans_1. (구 명칭 영어1 — 다국어 확장 대비해 언어 중립으로 개칭, PM 9/1)</t>
  </si>
  <si>
    <t>규격 변경 시 1차 번역에서 선별→압축으로 파생되는 번역(12월). 원문에서 직접 만들지 않는다. 2차 번역에 쓰이지 않은 1차 번역 블록을 "선별 탈락"이라 부르지 않는다 — 탈락이 아니라 이번 규격에 선택되지 않은 것이며, 판정(N3 섹션 제외)과 달리 서비스의 주장이 없다. content.csv trans_2. (구 명칭 영어2)</t>
  </si>
  <si>
    <t>원본 박스 폭(픽셀)을 제약으로 번역 후보를 생성하고 실제 렌더 폭을 측정해, 들어가면서 규제를 통과하는 후보만 화면에 「다른 번역」으로 제시하는 번역(F-TRN-08).</t>
  </si>
  <si>
    <t>현지 부적합 사전</t>
  </si>
  <si>
    <t>도착 시장에서 무의미하거나 수정이 필요한 요소(원화·계좌·카카오톡·국내 전화 등)를 패턴 매칭으로 판정하는 사전. 규제 사전(F-TRN-07)과 동일 스키마.</t>
  </si>
  <si>
    <t>제외된 섹션 자리를 아래가 위로 당겨져 메우는 처리. 구멍 없이 전체 높이만 줄어든다.</t>
  </si>
  <si>
    <t>블록별 원문/1차 번역/2차 번역/판정/제외 사유/자동 조정 내역을 담는 산출물. 축 A(내용 수정)의 본체.</t>
  </si>
  <si>
    <t>bbox·스타일·판정·선택 상태를 담는 산출물. 재생성과 규격 변경 경로의 입력.</t>
  </si>
  <si>
    <t>하이브리드 PSD</t>
  </si>
  <si>
    <t>배경(래스터) + 번역문 이미지(표시) + 번역문 텍스트(숨김) + 원문(숨김) 4레이어 PSD(12월). 폰트가 없어도 보이는 대로 열린다.</t>
  </si>
  <si>
    <t>규격 변경 2a/2b</t>
  </si>
  <si>
    <t>2a 모듈 분해형(아마존 A+ — 텍스트가 이미지 밖) / 2b 긴 이미지형(Shopee·Lazada·일본 — 텍스트가 이미지 안). "각국의 커머스 관습"의 가장 선명한 실례.</t>
  </si>
  <si>
    <t>자동 조정 (auto_adjust)</t>
  </si>
  <si>
    <t>시스템이 수행한 조판 조정(폰트 −8% 등). 사용자에게 알림으로만 표시되고 조작 불가. content.csv에 기록.</t>
  </si>
  <si>
    <t>★번역 후보</t>
  </si>
  <si>
    <t>공간 제약 루프(F-TRN-08)가 만들어 렌더 폭 실측과 규제 재검증을 통과시킨 대체 번역문. 화면에 노출하는 말은 「다른 번역」이며([다른 번역 보기] — F-CFM-11) 사용자에게 "후보"라는 말을 쓰지 않는다. 명세·API·로그의 내부 용어는 「번역 후보」를 쓴다(PM 확정 9/1).</t>
  </si>
  <si>
    <t>v3.0 신설(4차)</t>
  </si>
  <si>
    <t>★baked</t>
  </si>
  <si>
    <t>텍스트가 이미지에 구워진 산출물. 12월 규격 변경에서 모듈 이미지 슬롯 규격에 맞춰 렌더한 PNG(F-EXP-07). 분리형(images/+content.csv를 아마존 폼에 입력)과 배타적이지 않으며 셀러가 구성요소로 선택한다. 2b 긴 이미지형에서는 같은 결과가 images/ 본체가 된다</t>
  </si>
  <si>
    <t>★검수 중 섹션 제외</t>
  </si>
  <si>
    <t>N5에서 섹션을 결과물에서 빼는 동작(F-CFM-14). 화면에서 사라지지 않고 회색 오버레이로 남아 [되돌리기]로 복구할 수 있으며, 스택은 N6 최종 렌더에서만 적용된다. N3의 제외(판정 결과 확인)와 달리 검수 중의 판단이며 "이 화면에서 한 일은 이 화면에서 되돌린다"는 원칙을 따른다</t>
  </si>
  <si>
    <t>★처리 중단</t>
  </si>
  <si>
    <t>처리 화면(N2·N4)에서 진행 중인 비동기 처리를 멈추고 직전 화면(N1·N3)으로 돌아가는 동작(F-JOB-08). 작업을 버리는 [X] 작업 취소(F-JOB-07)와 다르다 — 중단은 되돌릴 수 있고 취소는 되돌릴 수 없다</t>
  </si>
  <si>
    <t>★선별 / 압축</t>
  </si>
  <si>
    <t>2차 번역 파생의 두 단계이며 단위가 다르다. 선별 = 어떤 텍스트 블록(문단)을 A+ 슬롯에 가져갈지 고르는 것 — 블록 단위이며 블록을 쪼개지 않는다. 압축 = 선별한 블록 안에서 문장 단위로 줄이는 것 — 슬롯 제약을 넘칠 때만. 출처는 블록 ID(origin_block_ids)로 기록하고 블록 안의 문장 선택은 기록하지 않는다(F-TRN-10, PM 확정 9/1)</t>
  </si>
  <si>
    <t>v3.0 신설(6차)</t>
  </si>
</sst>
</file>

<file path=xl/styles.xml><?xml version="1.0" encoding="utf-8"?>
<styleSheet xmlns="http://schemas.openxmlformats.org/spreadsheetml/2006/main" xmlns:x14ac="http://schemas.microsoft.com/office/spreadsheetml/2009/9/ac" xmlns:mc="http://schemas.openxmlformats.org/markup-compatibility/2006">
  <fonts count="31">
    <font>
      <sz val="11.0"/>
      <color theme="1"/>
      <name val="Calibri"/>
      <scheme val="minor"/>
    </font>
    <font>
      <b/>
      <sz val="14.0"/>
      <color rgb="FF1F3864"/>
      <name val="Arial"/>
    </font>
    <font>
      <b/>
      <sz val="16.0"/>
      <color rgb="FF1F3864"/>
      <name val="Arial"/>
    </font>
    <font>
      <sz val="11.0"/>
      <color theme="1"/>
      <name val="Calibri"/>
    </font>
    <font>
      <b/>
      <sz val="14.0"/>
      <color theme="1"/>
      <name val="Calibri"/>
      <scheme val="minor"/>
    </font>
    <font>
      <i/>
      <sz val="10.0"/>
      <color rgb="FF7F7F7F"/>
      <name val="Arial"/>
    </font>
    <font>
      <sz val="9.0"/>
      <color rgb="FF666666"/>
      <name val="Calibri"/>
      <scheme val="minor"/>
    </font>
    <font>
      <sz val="10.0"/>
      <color rgb="FF7F7F7F"/>
      <name val="Noto Sans"/>
    </font>
    <font>
      <sz val="10.0"/>
      <color theme="1"/>
      <name val="Arial"/>
    </font>
    <font>
      <b/>
      <sz val="10.0"/>
      <color rgb="FFFFFFFF"/>
      <name val="Noto Sans"/>
    </font>
    <font>
      <b/>
      <sz val="10.0"/>
      <color rgb="FFFFFFFF"/>
      <name val="Calibri"/>
      <scheme val="minor"/>
    </font>
    <font>
      <b/>
      <sz val="10.0"/>
      <color theme="1"/>
      <name val="Noto Sans"/>
    </font>
    <font>
      <b/>
      <sz val="10.0"/>
      <color rgb="FFFFFFFF"/>
      <name val="Arial"/>
    </font>
    <font>
      <b/>
      <sz val="10.0"/>
      <color theme="1"/>
      <name val="Calibri"/>
      <scheme val="minor"/>
    </font>
    <font>
      <i/>
      <sz val="10.0"/>
      <color rgb="FF7F7F7F"/>
      <name val="Noto Sans"/>
    </font>
    <font>
      <sz val="9.0"/>
      <color rgb="FF555555"/>
      <name val="Calibri"/>
      <scheme val="minor"/>
    </font>
    <font>
      <sz val="10.0"/>
      <color theme="1"/>
      <name val="Noto Sans"/>
    </font>
    <font>
      <b/>
      <sz val="11.0"/>
      <color rgb="FFFFFFFF"/>
      <name val="Noto Sans"/>
    </font>
    <font>
      <sz val="10.0"/>
      <color theme="1"/>
      <name val="Calibri"/>
      <scheme val="minor"/>
    </font>
    <font>
      <strike/>
      <sz val="10.0"/>
      <color theme="1"/>
      <name val="Arial"/>
    </font>
    <font>
      <strike/>
      <sz val="10.0"/>
      <color theme="1"/>
      <name val="Noto Sans"/>
    </font>
    <font>
      <b/>
      <sz val="10.0"/>
      <color theme="1"/>
      <name val="Arial"/>
    </font>
    <font>
      <sz val="11.0"/>
      <color theme="1"/>
      <name val="Noto Sans"/>
    </font>
    <font>
      <i/>
      <sz val="10.0"/>
      <color theme="1"/>
      <name val="Arial"/>
    </font>
    <font>
      <b/>
      <strike/>
      <sz val="10.0"/>
      <color theme="1"/>
      <name val="Arial"/>
    </font>
    <font>
      <color theme="1"/>
      <name val="Calibri"/>
      <scheme val="minor"/>
    </font>
    <font>
      <i/>
      <sz val="9.0"/>
      <color rgb="FF666666"/>
      <name val="Arial"/>
    </font>
    <font>
      <i/>
      <sz val="9.0"/>
      <color rgb="FF666666"/>
      <name val="Noto Sans"/>
    </font>
    <font>
      <b/>
      <sz val="12.0"/>
      <color rgb="FF1F3864"/>
      <name val="Noto Sans"/>
    </font>
    <font>
      <i/>
      <sz val="10.0"/>
      <color theme="1"/>
      <name val="Noto Sans"/>
    </font>
    <font>
      <i/>
      <sz val="10.0"/>
      <color rgb="FFC00000"/>
      <name val="Noto Sans"/>
    </font>
  </fonts>
  <fills count="38">
    <fill>
      <patternFill patternType="none"/>
    </fill>
    <fill>
      <patternFill patternType="lightGray"/>
    </fill>
    <fill>
      <patternFill patternType="solid">
        <fgColor rgb="FF1F3864"/>
        <bgColor rgb="FF1F3864"/>
      </patternFill>
    </fill>
    <fill>
      <patternFill patternType="solid">
        <fgColor rgb="FF44546A"/>
        <bgColor rgb="FF44546A"/>
      </patternFill>
    </fill>
    <fill>
      <patternFill patternType="solid">
        <fgColor rgb="FFD6DCE4"/>
        <bgColor rgb="FFD6DCE4"/>
      </patternFill>
    </fill>
    <fill>
      <patternFill patternType="solid">
        <fgColor rgb="FFFFD966"/>
        <bgColor rgb="FFFFD966"/>
      </patternFill>
    </fill>
    <fill>
      <patternFill patternType="solid">
        <fgColor rgb="FFEDF0F5"/>
        <bgColor rgb="FFEDF0F5"/>
      </patternFill>
    </fill>
    <fill>
      <patternFill patternType="solid">
        <fgColor rgb="FFF1948A"/>
        <bgColor rgb="FFF1948A"/>
      </patternFill>
    </fill>
    <fill>
      <patternFill patternType="solid">
        <fgColor rgb="FFF4CCCC"/>
        <bgColor rgb="FFF4CCCC"/>
      </patternFill>
    </fill>
    <fill>
      <patternFill patternType="solid">
        <fgColor rgb="FFF2F4F7"/>
        <bgColor rgb="FFF2F4F7"/>
      </patternFill>
    </fill>
    <fill>
      <patternFill patternType="solid">
        <fgColor rgb="FFE2EFDA"/>
        <bgColor rgb="FFE2EFDA"/>
      </patternFill>
    </fill>
    <fill>
      <patternFill patternType="solid">
        <fgColor rgb="FFFCE4D6"/>
        <bgColor rgb="FFFCE4D6"/>
      </patternFill>
    </fill>
    <fill>
      <patternFill patternType="solid">
        <fgColor rgb="FFEDEDED"/>
        <bgColor rgb="FFEDEDED"/>
      </patternFill>
    </fill>
    <fill>
      <patternFill patternType="solid">
        <fgColor rgb="FFE4DFEC"/>
        <bgColor rgb="FFE4DFEC"/>
      </patternFill>
    </fill>
    <fill>
      <patternFill patternType="solid">
        <fgColor rgb="FFA9D08E"/>
        <bgColor rgb="FFA9D08E"/>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CFE2F3"/>
        <bgColor rgb="FFCFE2F3"/>
      </patternFill>
    </fill>
    <fill>
      <patternFill patternType="solid">
        <fgColor rgb="FFCCC0DA"/>
        <bgColor rgb="FFCCC0DA"/>
      </patternFill>
    </fill>
    <fill>
      <patternFill patternType="solid">
        <fgColor rgb="FFD9D2E9"/>
        <bgColor rgb="FFD9D2E9"/>
      </patternFill>
    </fill>
    <fill>
      <patternFill patternType="solid">
        <fgColor rgb="FFEAD1DC"/>
        <bgColor rgb="FFEAD1DC"/>
      </patternFill>
    </fill>
    <fill>
      <patternFill patternType="solid">
        <fgColor rgb="FFFCD5B4"/>
        <bgColor rgb="FFFCD5B4"/>
      </patternFill>
    </fill>
    <fill>
      <patternFill patternType="solid">
        <fgColor rgb="FFEA9999"/>
        <bgColor rgb="FFEA9999"/>
      </patternFill>
    </fill>
    <fill>
      <patternFill patternType="solid">
        <fgColor rgb="FFDAEEF3"/>
        <bgColor rgb="FFDAEEF3"/>
      </patternFill>
    </fill>
    <fill>
      <patternFill patternType="solid">
        <fgColor rgb="FFF9CB9C"/>
        <bgColor rgb="FFF9CB9C"/>
      </patternFill>
    </fill>
    <fill>
      <patternFill patternType="solid">
        <fgColor rgb="FFFFE599"/>
        <bgColor rgb="FFFFE599"/>
      </patternFill>
    </fill>
    <fill>
      <patternFill patternType="solid">
        <fgColor rgb="FFDDD9C4"/>
        <bgColor rgb="FFDDD9C4"/>
      </patternFill>
    </fill>
    <fill>
      <patternFill patternType="solid">
        <fgColor rgb="FFB6D7A8"/>
        <bgColor rgb="FFB6D7A8"/>
      </patternFill>
    </fill>
    <fill>
      <patternFill patternType="solid">
        <fgColor rgb="FFA2C4C9"/>
        <bgColor rgb="FFA2C4C9"/>
      </patternFill>
    </fill>
    <fill>
      <patternFill patternType="solid">
        <fgColor rgb="FFA4C2F4"/>
        <bgColor rgb="FFA4C2F4"/>
      </patternFill>
    </fill>
    <fill>
      <patternFill patternType="solid">
        <fgColor rgb="FF9FC5E8"/>
        <bgColor rgb="FF9FC5E8"/>
      </patternFill>
    </fill>
    <fill>
      <patternFill patternType="solid">
        <fgColor rgb="FFB4A7D6"/>
        <bgColor rgb="FFB4A7D6"/>
      </patternFill>
    </fill>
    <fill>
      <patternFill patternType="solid">
        <fgColor rgb="FFD5A6BD"/>
        <bgColor rgb="FFD5A6BD"/>
      </patternFill>
    </fill>
    <fill>
      <patternFill patternType="solid">
        <fgColor rgb="FFFDECC8"/>
        <bgColor rgb="FFFDECC8"/>
      </patternFill>
    </fill>
    <fill>
      <patternFill patternType="solid">
        <fgColor rgb="FFFFFFFF"/>
        <bgColor rgb="FFFFFFFF"/>
      </patternFill>
    </fill>
  </fills>
  <borders count="12">
    <border/>
    <border>
      <left style="thin">
        <color rgb="FFBFBFBF"/>
      </left>
      <right style="thin">
        <color rgb="FFBFBFBF"/>
      </right>
      <top style="thin">
        <color rgb="FFBFBFBF"/>
      </top>
      <bottom style="thin">
        <color rgb="FFBFBFBF"/>
      </bottom>
    </border>
    <border>
      <left style="thin">
        <color rgb="FFB0B0B0"/>
      </left>
      <right style="thin">
        <color rgb="FFB0B0B0"/>
      </right>
      <top style="thin">
        <color rgb="FFB0B0B0"/>
      </top>
      <bottom style="thin">
        <color rgb="FFB0B0B0"/>
      </bottom>
    </border>
    <border>
      <left style="thin">
        <color rgb="FFD0D0D0"/>
      </left>
      <right style="thin">
        <color rgb="FFD0D0D0"/>
      </right>
      <top style="thin">
        <color rgb="FFD0D0D0"/>
      </top>
      <bottom style="thin">
        <color rgb="FFD0D0D0"/>
      </bottom>
    </border>
    <border>
      <left/>
      <right/>
      <top/>
      <bottom/>
    </border>
    <border>
      <left/>
      <right/>
      <top/>
      <bottom style="thin">
        <color rgb="FF7F7F7F"/>
      </bottom>
    </border>
    <border>
      <left/>
      <right style="medium">
        <color rgb="FF595959"/>
      </right>
      <top/>
      <bottom style="thin">
        <color rgb="FF7F7F7F"/>
      </bottom>
    </border>
    <border>
      <left/>
      <right style="medium">
        <color rgb="FF595959"/>
      </right>
      <top/>
      <bottom/>
    </border>
    <border>
      <left/>
      <right/>
      <top style="thin">
        <color rgb="FF7F7F7F"/>
      </top>
      <bottom/>
    </border>
    <border>
      <left/>
      <right style="medium">
        <color rgb="FF595959"/>
      </right>
      <top style="thin">
        <color rgb="FF7F7F7F"/>
      </top>
      <bottom/>
    </border>
    <border>
      <top style="thin">
        <color rgb="FF7F7F7F"/>
      </top>
    </border>
    <border>
      <bottom style="thin">
        <color rgb="FF7F7F7F"/>
      </bottom>
    </border>
  </borders>
  <cellStyleXfs count="1">
    <xf borderId="0" fillId="0" fontId="0" numFmtId="0" applyAlignment="1" applyFont="1"/>
  </cellStyleXfs>
  <cellXfs count="243">
    <xf borderId="0" fillId="0" fontId="0" numFmtId="0" xfId="0" applyAlignment="1" applyFont="1">
      <alignment readingOrder="0" shrinkToFit="0" vertical="bottom" wrapText="0"/>
    </xf>
    <xf borderId="0" fillId="0" fontId="1" numFmtId="0" xfId="0" applyAlignment="1" applyFont="1">
      <alignment vertical="top"/>
    </xf>
    <xf borderId="0" fillId="0" fontId="2" numFmtId="0" xfId="0" applyAlignment="1" applyFont="1">
      <alignment vertical="top"/>
    </xf>
    <xf borderId="0" fillId="0" fontId="3" numFmtId="0" xfId="0" applyAlignment="1" applyFont="1">
      <alignment vertical="top"/>
    </xf>
    <xf borderId="0" fillId="0" fontId="4" numFmtId="0" xfId="0" applyFont="1"/>
    <xf borderId="0" fillId="0" fontId="3" numFmtId="0" xfId="0" applyFont="1"/>
    <xf borderId="0" fillId="0" fontId="5" numFmtId="0" xfId="0" applyAlignment="1" applyFont="1">
      <alignment vertical="top"/>
    </xf>
    <xf borderId="0" fillId="0" fontId="6" numFmtId="0" xfId="0" applyFont="1"/>
    <xf borderId="0" fillId="0" fontId="7" numFmtId="0" xfId="0" applyAlignment="1" applyFont="1">
      <alignment vertical="top"/>
    </xf>
    <xf borderId="0" fillId="0" fontId="8" numFmtId="0" xfId="0" applyAlignment="1" applyFont="1">
      <alignment vertical="top"/>
    </xf>
    <xf borderId="1" fillId="2" fontId="9" numFmtId="0" xfId="0" applyAlignment="1" applyBorder="1" applyFill="1" applyFont="1">
      <alignment horizontal="center" shrinkToFit="0" vertical="top" wrapText="1"/>
    </xf>
    <xf borderId="2" fillId="3" fontId="10" numFmtId="0" xfId="0" applyAlignment="1" applyBorder="1" applyFill="1" applyFont="1">
      <alignment horizontal="center" vertical="center"/>
    </xf>
    <xf borderId="0" fillId="0" fontId="11" numFmtId="0" xfId="0" applyAlignment="1" applyFont="1">
      <alignment shrinkToFit="0" vertical="top" wrapText="1"/>
    </xf>
    <xf borderId="1" fillId="2" fontId="12" numFmtId="0" xfId="0" applyAlignment="1" applyBorder="1" applyFill="1" applyFont="1">
      <alignment horizontal="center" shrinkToFit="0" vertical="top" wrapText="1"/>
    </xf>
    <xf borderId="0" fillId="0" fontId="8" numFmtId="0" xfId="0" applyAlignment="1" applyFont="1">
      <alignment shrinkToFit="0" vertical="top" wrapText="1"/>
    </xf>
    <xf borderId="0" fillId="0" fontId="3" numFmtId="0" xfId="0" applyAlignment="1" applyFont="1">
      <alignment shrinkToFit="0" vertical="top" wrapText="1"/>
    </xf>
    <xf borderId="2" fillId="4" fontId="13" numFmtId="0" xfId="0" applyAlignment="1" applyBorder="1" applyFill="1" applyFont="1">
      <alignment vertical="top"/>
    </xf>
    <xf borderId="0" fillId="0" fontId="14" numFmtId="0" xfId="0" applyAlignment="1" applyFont="1">
      <alignment vertical="top"/>
    </xf>
    <xf borderId="3" fillId="0" fontId="8" numFmtId="0" xfId="0" applyAlignment="1" applyBorder="1" applyFont="1">
      <alignment shrinkToFit="0" vertical="top" wrapText="1"/>
    </xf>
    <xf borderId="2" fillId="4" fontId="13" numFmtId="0" xfId="0" applyAlignment="1" applyBorder="1" applyFill="1" applyFont="1">
      <alignment shrinkToFit="0" vertical="top" wrapText="1"/>
    </xf>
    <xf borderId="4" fillId="5" fontId="11" numFmtId="0" xfId="0" applyAlignment="1" applyBorder="1" applyFill="1" applyFont="1">
      <alignment shrinkToFit="0" vertical="top" wrapText="1"/>
    </xf>
    <xf borderId="2" fillId="4" fontId="13" numFmtId="0" xfId="0" applyAlignment="1" applyBorder="1" applyFill="1" applyFont="1">
      <alignment horizontal="center" vertical="top"/>
    </xf>
    <xf borderId="4" fillId="5" fontId="8" numFmtId="0" xfId="0" applyAlignment="1" applyBorder="1" applyFill="1" applyFont="1">
      <alignment shrinkToFit="0" vertical="top" wrapText="1"/>
    </xf>
    <xf borderId="2" fillId="4" fontId="15" numFmtId="0" xfId="0" applyAlignment="1" applyBorder="1" applyFill="1" applyFont="1">
      <alignment vertical="top"/>
    </xf>
    <xf borderId="3" fillId="0" fontId="16" numFmtId="0" xfId="0" applyAlignment="1" applyBorder="1" applyFont="1">
      <alignment shrinkToFit="0" vertical="top" wrapText="1"/>
    </xf>
    <xf borderId="3" fillId="2" fontId="17" numFmtId="0" xfId="0" applyAlignment="1" applyBorder="1" applyFill="1" applyFont="1">
      <alignment horizontal="center" shrinkToFit="0" vertical="top" wrapText="1"/>
    </xf>
    <xf borderId="2" fillId="6" fontId="13" numFmtId="0" xfId="0" applyAlignment="1" applyBorder="1" applyFill="1" applyFont="1">
      <alignment vertical="top"/>
    </xf>
    <xf borderId="2" fillId="6" fontId="13" numFmtId="0" xfId="0" applyAlignment="1" applyBorder="1" applyFill="1" applyFont="1">
      <alignment shrinkToFit="0" vertical="top" wrapText="1"/>
    </xf>
    <xf borderId="3" fillId="5" fontId="16" numFmtId="0" xfId="0" applyAlignment="1" applyBorder="1" applyFill="1" applyFont="1">
      <alignment shrinkToFit="0" vertical="top" wrapText="1"/>
    </xf>
    <xf borderId="0" fillId="0" fontId="16" numFmtId="0" xfId="0" applyAlignment="1" applyFont="1">
      <alignment shrinkToFit="0" vertical="top" wrapText="1"/>
    </xf>
    <xf borderId="2" fillId="6" fontId="13" numFmtId="0" xfId="0" applyAlignment="1" applyBorder="1" applyFill="1" applyFont="1">
      <alignment horizontal="center" vertical="top"/>
    </xf>
    <xf borderId="5" fillId="2" fontId="9" numFmtId="0" xfId="0" applyAlignment="1" applyBorder="1" applyFill="1" applyFont="1">
      <alignment horizontal="center" shrinkToFit="0" vertical="top" wrapText="1"/>
    </xf>
    <xf borderId="3" fillId="5" fontId="8" numFmtId="0" xfId="0" applyAlignment="1" applyBorder="1" applyFill="1" applyFont="1">
      <alignment shrinkToFit="0" vertical="top" wrapText="1"/>
    </xf>
    <xf borderId="2" fillId="6" fontId="15" numFmtId="0" xfId="0" applyAlignment="1" applyBorder="1" applyFill="1" applyFont="1">
      <alignment vertical="top"/>
    </xf>
    <xf borderId="6" fillId="2" fontId="9" numFmtId="0" xfId="0" applyAlignment="1" applyBorder="1" applyFill="1" applyFont="1">
      <alignment horizontal="center" shrinkToFit="0" vertical="top" wrapText="1"/>
    </xf>
    <xf borderId="2" fillId="0" fontId="18" numFmtId="0" xfId="0" applyAlignment="1" applyBorder="1" applyFont="1">
      <alignment vertical="top"/>
    </xf>
    <xf borderId="4" fillId="5" fontId="16" numFmtId="0" xfId="0" applyAlignment="1" applyBorder="1" applyFill="1" applyFont="1">
      <alignment shrinkToFit="0" vertical="top" wrapText="1"/>
    </xf>
    <xf borderId="2" fillId="0" fontId="18" numFmtId="0" xfId="0" applyAlignment="1" applyBorder="1" applyFont="1">
      <alignment shrinkToFit="0" vertical="top" wrapText="1"/>
    </xf>
    <xf borderId="5" fillId="2" fontId="12" numFmtId="0" xfId="0" applyAlignment="1" applyBorder="1" applyFill="1" applyFont="1">
      <alignment horizontal="center" shrinkToFit="0" vertical="top" wrapText="1"/>
    </xf>
    <xf borderId="1" fillId="7" fontId="19" numFmtId="0" xfId="0" applyAlignment="1" applyBorder="1" applyFill="1" applyFont="1">
      <alignment shrinkToFit="0" vertical="top" wrapText="1"/>
    </xf>
    <xf borderId="2" fillId="0" fontId="18" numFmtId="0" xfId="0" applyAlignment="1" applyBorder="1" applyFont="1">
      <alignment horizontal="center" vertical="top"/>
    </xf>
    <xf borderId="5" fillId="2" fontId="17" numFmtId="0" xfId="0" applyAlignment="1" applyBorder="1" applyFill="1" applyFont="1">
      <alignment horizontal="center" shrinkToFit="0" vertical="top" wrapText="1"/>
    </xf>
    <xf borderId="1" fillId="7" fontId="20" numFmtId="0" xfId="0" applyAlignment="1" applyBorder="1" applyFill="1" applyFont="1">
      <alignment shrinkToFit="0" vertical="top" wrapText="1"/>
    </xf>
    <xf borderId="2" fillId="0" fontId="15" numFmtId="0" xfId="0" applyAlignment="1" applyBorder="1" applyFont="1">
      <alignment vertical="top"/>
    </xf>
    <xf borderId="1" fillId="0" fontId="16" numFmtId="0" xfId="0" applyAlignment="1" applyBorder="1" applyFont="1">
      <alignment shrinkToFit="0" vertical="top" wrapText="1"/>
    </xf>
    <xf borderId="4" fillId="8" fontId="8" numFmtId="0" xfId="0" applyAlignment="1" applyBorder="1" applyFill="1" applyFont="1">
      <alignment shrinkToFit="0" vertical="top" wrapText="1"/>
    </xf>
    <xf borderId="1" fillId="0" fontId="8" numFmtId="0" xfId="0" applyAlignment="1" applyBorder="1" applyFont="1">
      <alignment shrinkToFit="0" vertical="top" wrapText="1"/>
    </xf>
    <xf borderId="4" fillId="5" fontId="21" numFmtId="0" xfId="0" applyAlignment="1" applyBorder="1" applyFill="1" applyFont="1">
      <alignment shrinkToFit="0" vertical="top" wrapText="1"/>
    </xf>
    <xf borderId="3" fillId="7" fontId="19" numFmtId="0" xfId="0" applyAlignment="1" applyBorder="1" applyFill="1" applyFont="1">
      <alignment shrinkToFit="0" vertical="top" wrapText="1"/>
    </xf>
    <xf borderId="7" fillId="8" fontId="16" numFmtId="0" xfId="0" applyAlignment="1" applyBorder="1" applyFill="1" applyFont="1">
      <alignment shrinkToFit="0" vertical="top" wrapText="1"/>
    </xf>
    <xf borderId="3" fillId="7" fontId="20" numFmtId="0" xfId="0" applyAlignment="1" applyBorder="1" applyFill="1" applyFont="1">
      <alignment shrinkToFit="0" vertical="top" wrapText="1"/>
    </xf>
    <xf borderId="4" fillId="9" fontId="8" numFmtId="0" xfId="0" applyAlignment="1" applyBorder="1" applyFill="1" applyFont="1">
      <alignment shrinkToFit="0" vertical="top" wrapText="1"/>
    </xf>
    <xf borderId="4" fillId="9" fontId="16" numFmtId="0" xfId="0" applyAlignment="1" applyBorder="1" applyFill="1" applyFont="1">
      <alignment shrinkToFit="0" vertical="top" wrapText="1"/>
    </xf>
    <xf borderId="4" fillId="9" fontId="8" numFmtId="0" xfId="0" applyAlignment="1" applyBorder="1" applyFill="1" applyFont="1">
      <alignment horizontal="center" shrinkToFit="0" vertical="top" wrapText="1"/>
    </xf>
    <xf borderId="4" fillId="10" fontId="21" numFmtId="0" xfId="0" applyAlignment="1" applyBorder="1" applyFill="1" applyFont="1">
      <alignment horizontal="center" shrinkToFit="0" vertical="top" wrapText="1"/>
    </xf>
    <xf borderId="3" fillId="11" fontId="16" numFmtId="0" xfId="0" applyAlignment="1" applyBorder="1" applyFill="1" applyFont="1">
      <alignment shrinkToFit="0" vertical="top" wrapText="1"/>
    </xf>
    <xf borderId="3" fillId="11" fontId="8" numFmtId="0" xfId="0" applyAlignment="1" applyBorder="1" applyFill="1" applyFont="1">
      <alignment shrinkToFit="0" vertical="top" wrapText="1"/>
    </xf>
    <xf borderId="0" fillId="0" fontId="8" numFmtId="0" xfId="0" applyAlignment="1" applyFont="1">
      <alignment horizontal="center" shrinkToFit="0" vertical="top" wrapText="1"/>
    </xf>
    <xf borderId="4" fillId="12" fontId="21" numFmtId="0" xfId="0" applyAlignment="1" applyBorder="1" applyFill="1" applyFont="1">
      <alignment horizontal="center" shrinkToFit="0" vertical="top" wrapText="1"/>
    </xf>
    <xf borderId="3" fillId="13" fontId="16" numFmtId="0" xfId="0" applyAlignment="1" applyBorder="1" applyFill="1" applyFont="1">
      <alignment shrinkToFit="0" vertical="top" wrapText="1"/>
    </xf>
    <xf borderId="3" fillId="13" fontId="8" numFmtId="0" xfId="0" applyAlignment="1" applyBorder="1" applyFill="1" applyFont="1">
      <alignment shrinkToFit="0" vertical="top" wrapText="1"/>
    </xf>
    <xf borderId="4" fillId="14" fontId="3" numFmtId="0" xfId="0" applyAlignment="1" applyBorder="1" applyFill="1" applyFont="1">
      <alignment shrinkToFit="0" vertical="top" wrapText="1"/>
    </xf>
    <xf borderId="4" fillId="14" fontId="22" numFmtId="0" xfId="0" applyAlignment="1" applyBorder="1" applyFill="1" applyFont="1">
      <alignment shrinkToFit="0" vertical="top" wrapText="1"/>
    </xf>
    <xf borderId="4" fillId="14" fontId="16" numFmtId="0" xfId="0" applyAlignment="1" applyBorder="1" applyFill="1" applyFont="1">
      <alignment shrinkToFit="0" vertical="top" wrapText="1"/>
    </xf>
    <xf borderId="8" fillId="15" fontId="8" numFmtId="0" xfId="0" applyAlignment="1" applyBorder="1" applyFill="1" applyFont="1">
      <alignment shrinkToFit="0" vertical="top" wrapText="1"/>
    </xf>
    <xf borderId="9" fillId="15" fontId="16" numFmtId="0" xfId="0" applyAlignment="1" applyBorder="1" applyFill="1" applyFont="1">
      <alignment shrinkToFit="0" vertical="top" wrapText="1"/>
    </xf>
    <xf borderId="10" fillId="0" fontId="8" numFmtId="0" xfId="0" applyAlignment="1" applyBorder="1" applyFont="1">
      <alignment shrinkToFit="0" vertical="top" wrapText="1"/>
    </xf>
    <xf borderId="10" fillId="0" fontId="16" numFmtId="0" xfId="0" applyAlignment="1" applyBorder="1" applyFont="1">
      <alignment shrinkToFit="0" vertical="top" wrapText="1"/>
    </xf>
    <xf borderId="10" fillId="0" fontId="8" numFmtId="0" xfId="0" applyAlignment="1" applyBorder="1" applyFont="1">
      <alignment horizontal="center" shrinkToFit="0" vertical="top" wrapText="1"/>
    </xf>
    <xf borderId="8" fillId="12" fontId="21" numFmtId="0" xfId="0" applyAlignment="1" applyBorder="1" applyFill="1" applyFont="1">
      <alignment horizontal="center" shrinkToFit="0" vertical="top" wrapText="1"/>
    </xf>
    <xf borderId="2" fillId="0" fontId="18" numFmtId="0" xfId="0" applyAlignment="1" applyBorder="1" applyFont="1">
      <alignment readingOrder="0" vertical="top"/>
    </xf>
    <xf borderId="4" fillId="15" fontId="8" numFmtId="0" xfId="0" applyAlignment="1" applyBorder="1" applyFill="1" applyFont="1">
      <alignment shrinkToFit="0" vertical="top" wrapText="1"/>
    </xf>
    <xf borderId="7" fillId="15" fontId="16" numFmtId="0" xfId="0" applyAlignment="1" applyBorder="1" applyFill="1" applyFont="1">
      <alignment shrinkToFit="0" vertical="top" wrapText="1"/>
    </xf>
    <xf borderId="8" fillId="16" fontId="8" numFmtId="0" xfId="0" applyAlignment="1" applyBorder="1" applyFill="1" applyFont="1">
      <alignment shrinkToFit="0" vertical="top" wrapText="1"/>
    </xf>
    <xf borderId="9" fillId="16" fontId="16" numFmtId="0" xfId="0" applyAlignment="1" applyBorder="1" applyFill="1" applyFont="1">
      <alignment shrinkToFit="0" vertical="top" wrapText="1"/>
    </xf>
    <xf borderId="8" fillId="5" fontId="16" numFmtId="0" xfId="0" applyAlignment="1" applyBorder="1" applyFill="1" applyFont="1">
      <alignment shrinkToFit="0" vertical="top" wrapText="1"/>
    </xf>
    <xf borderId="0" fillId="0" fontId="23" numFmtId="0" xfId="0" applyAlignment="1" applyFont="1">
      <alignment shrinkToFit="0" vertical="top" wrapText="1"/>
    </xf>
    <xf borderId="8" fillId="5" fontId="8" numFmtId="0" xfId="0" applyAlignment="1" applyBorder="1" applyFill="1" applyFont="1">
      <alignment horizontal="center" shrinkToFit="0" vertical="top" wrapText="1"/>
    </xf>
    <xf borderId="8" fillId="5" fontId="21" numFmtId="0" xfId="0" applyAlignment="1" applyBorder="1" applyFill="1" applyFont="1">
      <alignment horizontal="center" shrinkToFit="0" vertical="top" wrapText="1"/>
    </xf>
    <xf borderId="8" fillId="5" fontId="8" numFmtId="0" xfId="0" applyAlignment="1" applyBorder="1" applyFill="1" applyFont="1">
      <alignment shrinkToFit="0" vertical="top" wrapText="1"/>
    </xf>
    <xf borderId="4" fillId="16" fontId="8" numFmtId="0" xfId="0" applyAlignment="1" applyBorder="1" applyFill="1" applyFont="1">
      <alignment shrinkToFit="0" vertical="top" wrapText="1"/>
    </xf>
    <xf borderId="7" fillId="16" fontId="16" numFmtId="0" xfId="0" applyAlignment="1" applyBorder="1" applyFill="1" applyFont="1">
      <alignment shrinkToFit="0" vertical="top" wrapText="1"/>
    </xf>
    <xf borderId="4" fillId="5" fontId="8" numFmtId="0" xfId="0" applyAlignment="1" applyBorder="1" applyFill="1" applyFont="1">
      <alignment horizontal="center" shrinkToFit="0" vertical="top" wrapText="1"/>
    </xf>
    <xf borderId="4" fillId="5" fontId="21" numFmtId="0" xfId="0" applyAlignment="1" applyBorder="1" applyFill="1" applyFont="1">
      <alignment horizontal="center" shrinkToFit="0" vertical="top" wrapText="1"/>
    </xf>
    <xf borderId="0" fillId="0" fontId="3" numFmtId="0" xfId="0" applyAlignment="1" applyFont="1">
      <alignment vertical="bottom"/>
    </xf>
    <xf borderId="4" fillId="16" fontId="19" numFmtId="0" xfId="0" applyAlignment="1" applyBorder="1" applyFill="1" applyFont="1">
      <alignment shrinkToFit="0" vertical="top" wrapText="1"/>
    </xf>
    <xf borderId="7" fillId="16" fontId="20" numFmtId="0" xfId="0" applyAlignment="1" applyBorder="1" applyFill="1" applyFont="1">
      <alignment shrinkToFit="0" vertical="top" wrapText="1"/>
    </xf>
    <xf borderId="4" fillId="7" fontId="19" numFmtId="0" xfId="0" applyAlignment="1" applyBorder="1" applyFill="1" applyFont="1">
      <alignment shrinkToFit="0" vertical="top" wrapText="1"/>
    </xf>
    <xf borderId="4" fillId="7" fontId="20" numFmtId="0" xfId="0" applyAlignment="1" applyBorder="1" applyFill="1" applyFont="1">
      <alignment shrinkToFit="0" vertical="top" wrapText="1"/>
    </xf>
    <xf borderId="4" fillId="7" fontId="19" numFmtId="0" xfId="0" applyAlignment="1" applyBorder="1" applyFill="1" applyFont="1">
      <alignment horizontal="center" shrinkToFit="0" vertical="top" wrapText="1"/>
    </xf>
    <xf borderId="0" fillId="0" fontId="21" numFmtId="0" xfId="0" applyAlignment="1" applyFont="1">
      <alignment shrinkToFit="0" vertical="top" wrapText="1"/>
    </xf>
    <xf borderId="4" fillId="7" fontId="20" numFmtId="0" xfId="0" applyAlignment="1" applyBorder="1" applyFill="1" applyFont="1">
      <alignment horizontal="center" shrinkToFit="0" vertical="top" wrapText="1"/>
    </xf>
    <xf borderId="4" fillId="7" fontId="24" numFmtId="0" xfId="0" applyAlignment="1" applyBorder="1" applyFill="1" applyFont="1">
      <alignment horizontal="center" shrinkToFit="0" vertical="top" wrapText="1"/>
    </xf>
    <xf borderId="4" fillId="7" fontId="8" numFmtId="0" xfId="0" applyAlignment="1" applyBorder="1" applyFill="1" applyFont="1">
      <alignment horizontal="center" shrinkToFit="0" vertical="top" wrapText="1"/>
    </xf>
    <xf borderId="8" fillId="17" fontId="8" numFmtId="0" xfId="0" applyAlignment="1" applyBorder="1" applyFill="1" applyFont="1">
      <alignment shrinkToFit="0" vertical="top" wrapText="1"/>
    </xf>
    <xf borderId="9" fillId="17" fontId="16" numFmtId="0" xfId="0" applyAlignment="1" applyBorder="1" applyFill="1" applyFont="1">
      <alignment shrinkToFit="0" vertical="top" wrapText="1"/>
    </xf>
    <xf borderId="8" fillId="9" fontId="8" numFmtId="0" xfId="0" applyAlignment="1" applyBorder="1" applyFill="1" applyFont="1">
      <alignment shrinkToFit="0" vertical="top" wrapText="1"/>
    </xf>
    <xf borderId="8" fillId="9" fontId="16" numFmtId="0" xfId="0" applyAlignment="1" applyBorder="1" applyFill="1" applyFont="1">
      <alignment shrinkToFit="0" vertical="top" wrapText="1"/>
    </xf>
    <xf borderId="8" fillId="9" fontId="8" numFmtId="0" xfId="0" applyAlignment="1" applyBorder="1" applyFill="1" applyFont="1">
      <alignment horizontal="center" shrinkToFit="0" vertical="top" wrapText="1"/>
    </xf>
    <xf borderId="4" fillId="17" fontId="8" numFmtId="0" xfId="0" applyAlignment="1" applyBorder="1" applyFill="1" applyFont="1">
      <alignment shrinkToFit="0" vertical="top" wrapText="1"/>
    </xf>
    <xf borderId="7" fillId="17" fontId="16" numFmtId="0" xfId="0" applyAlignment="1" applyBorder="1" applyFill="1" applyFont="1">
      <alignment shrinkToFit="0" vertical="top" wrapText="1"/>
    </xf>
    <xf borderId="4" fillId="17" fontId="19" numFmtId="0" xfId="0" applyAlignment="1" applyBorder="1" applyFill="1" applyFont="1">
      <alignment shrinkToFit="0" vertical="top" wrapText="1"/>
    </xf>
    <xf borderId="7" fillId="17" fontId="20" numFmtId="0" xfId="0" applyAlignment="1" applyBorder="1" applyFill="1" applyFont="1">
      <alignment shrinkToFit="0" vertical="top" wrapText="1"/>
    </xf>
    <xf borderId="4" fillId="14" fontId="8" numFmtId="0" xfId="0" applyAlignment="1" applyBorder="1" applyFill="1" applyFont="1">
      <alignment shrinkToFit="0" vertical="top" wrapText="1"/>
    </xf>
    <xf borderId="9" fillId="17" fontId="8" numFmtId="0" xfId="0" applyAlignment="1" applyBorder="1" applyFill="1" applyFont="1">
      <alignment shrinkToFit="0" vertical="top" wrapText="1"/>
    </xf>
    <xf borderId="7" fillId="17" fontId="8" numFmtId="0" xfId="0" applyAlignment="1" applyBorder="1" applyFill="1" applyFont="1">
      <alignment shrinkToFit="0" vertical="top" wrapText="1"/>
    </xf>
    <xf borderId="8" fillId="18" fontId="19" numFmtId="0" xfId="0" applyAlignment="1" applyBorder="1" applyFill="1" applyFont="1">
      <alignment shrinkToFit="0" vertical="top" wrapText="1"/>
    </xf>
    <xf borderId="9" fillId="18" fontId="19" numFmtId="0" xfId="0" applyAlignment="1" applyBorder="1" applyFill="1" applyFont="1">
      <alignment shrinkToFit="0" vertical="top" wrapText="1"/>
    </xf>
    <xf borderId="8" fillId="7" fontId="19" numFmtId="0" xfId="0" applyAlignment="1" applyBorder="1" applyFill="1" applyFont="1">
      <alignment shrinkToFit="0" vertical="top" wrapText="1"/>
    </xf>
    <xf borderId="8" fillId="7" fontId="20" numFmtId="0" xfId="0" applyAlignment="1" applyBorder="1" applyFill="1" applyFont="1">
      <alignment shrinkToFit="0" vertical="top" wrapText="1"/>
    </xf>
    <xf borderId="8" fillId="7" fontId="19" numFmtId="0" xfId="0" applyAlignment="1" applyBorder="1" applyFill="1" applyFont="1">
      <alignment horizontal="center" shrinkToFit="0" vertical="top" wrapText="1"/>
    </xf>
    <xf borderId="8" fillId="7" fontId="20" numFmtId="0" xfId="0" applyAlignment="1" applyBorder="1" applyFill="1" applyFont="1">
      <alignment horizontal="center" shrinkToFit="0" vertical="top" wrapText="1"/>
    </xf>
    <xf borderId="8" fillId="7" fontId="24" numFmtId="0" xfId="0" applyAlignment="1" applyBorder="1" applyFill="1" applyFont="1">
      <alignment horizontal="center" shrinkToFit="0" vertical="top" wrapText="1"/>
    </xf>
    <xf borderId="8" fillId="7" fontId="8" numFmtId="0" xfId="0" applyAlignment="1" applyBorder="1" applyFill="1" applyFont="1">
      <alignment horizontal="center" shrinkToFit="0" vertical="top" wrapText="1"/>
    </xf>
    <xf borderId="4" fillId="18" fontId="19" numFmtId="0" xfId="0" applyAlignment="1" applyBorder="1" applyFill="1" applyFont="1">
      <alignment shrinkToFit="0" vertical="top" wrapText="1"/>
    </xf>
    <xf borderId="7" fillId="18" fontId="19" numFmtId="0" xfId="0" applyAlignment="1" applyBorder="1" applyFill="1" applyFont="1">
      <alignment shrinkToFit="0" vertical="top" wrapText="1"/>
    </xf>
    <xf borderId="8" fillId="18" fontId="8" numFmtId="0" xfId="0" applyAlignment="1" applyBorder="1" applyFill="1" applyFont="1">
      <alignment shrinkToFit="0" vertical="top" wrapText="1"/>
    </xf>
    <xf borderId="9" fillId="18" fontId="16" numFmtId="0" xfId="0" applyAlignment="1" applyBorder="1" applyFill="1" applyFont="1">
      <alignment shrinkToFit="0" vertical="top" wrapText="1"/>
    </xf>
    <xf borderId="8" fillId="19" fontId="19" numFmtId="0" xfId="0" applyAlignment="1" applyBorder="1" applyFill="1" applyFont="1">
      <alignment shrinkToFit="0" vertical="top" wrapText="1"/>
    </xf>
    <xf borderId="9" fillId="19" fontId="19" numFmtId="0" xfId="0" applyAlignment="1" applyBorder="1" applyFill="1" applyFont="1">
      <alignment shrinkToFit="0" vertical="top" wrapText="1"/>
    </xf>
    <xf borderId="4" fillId="19" fontId="19" numFmtId="0" xfId="0" applyAlignment="1" applyBorder="1" applyFill="1" applyFont="1">
      <alignment shrinkToFit="0" vertical="top" wrapText="1"/>
    </xf>
    <xf borderId="7" fillId="19" fontId="19" numFmtId="0" xfId="0" applyAlignment="1" applyBorder="1" applyFill="1" applyFont="1">
      <alignment shrinkToFit="0" vertical="top" wrapText="1"/>
    </xf>
    <xf borderId="4" fillId="7" fontId="21" numFmtId="0" xfId="0" applyAlignment="1" applyBorder="1" applyFill="1" applyFont="1">
      <alignment horizontal="center" shrinkToFit="0" vertical="top" wrapText="1"/>
    </xf>
    <xf borderId="4" fillId="7" fontId="11" numFmtId="0" xfId="0" applyAlignment="1" applyBorder="1" applyFill="1" applyFont="1">
      <alignment horizontal="center" shrinkToFit="0" vertical="top" wrapText="1"/>
    </xf>
    <xf borderId="8" fillId="20" fontId="8" numFmtId="0" xfId="0" applyAlignment="1" applyBorder="1" applyFill="1" applyFont="1">
      <alignment shrinkToFit="0" vertical="top" wrapText="1"/>
    </xf>
    <xf borderId="9" fillId="20" fontId="8" numFmtId="0" xfId="0" applyAlignment="1" applyBorder="1" applyFill="1" applyFont="1">
      <alignment shrinkToFit="0" vertical="top" wrapText="1"/>
    </xf>
    <xf borderId="8" fillId="5" fontId="16" numFmtId="0" xfId="0" applyAlignment="1" applyBorder="1" applyFill="1" applyFont="1">
      <alignment readingOrder="0" shrinkToFit="0" vertical="top" wrapText="1"/>
    </xf>
    <xf borderId="4" fillId="20" fontId="8" numFmtId="0" xfId="0" applyAlignment="1" applyBorder="1" applyFill="1" applyFont="1">
      <alignment shrinkToFit="0" vertical="top" wrapText="1"/>
    </xf>
    <xf borderId="7" fillId="20" fontId="8" numFmtId="0" xfId="0" applyAlignment="1" applyBorder="1" applyFill="1" applyFont="1">
      <alignment shrinkToFit="0" vertical="top" wrapText="1"/>
    </xf>
    <xf borderId="4" fillId="5" fontId="16" numFmtId="0" xfId="0" applyAlignment="1" applyBorder="1" applyFill="1" applyFont="1">
      <alignment readingOrder="0" shrinkToFit="0" vertical="top" wrapText="1"/>
    </xf>
    <xf borderId="0" fillId="0" fontId="25" numFmtId="0" xfId="0" applyFont="1"/>
    <xf borderId="4" fillId="5" fontId="11" numFmtId="0" xfId="0" applyAlignment="1" applyBorder="1" applyFill="1" applyFont="1">
      <alignment horizontal="center" shrinkToFit="0" vertical="top" wrapText="1"/>
    </xf>
    <xf borderId="4" fillId="20" fontId="19" numFmtId="0" xfId="0" applyAlignment="1" applyBorder="1" applyFill="1" applyFont="1">
      <alignment shrinkToFit="0" vertical="top" wrapText="1"/>
    </xf>
    <xf borderId="7" fillId="20" fontId="19" numFmtId="0" xfId="0" applyAlignment="1" applyBorder="1" applyFill="1" applyFont="1">
      <alignment shrinkToFit="0" vertical="top" wrapText="1"/>
    </xf>
    <xf borderId="8" fillId="21" fontId="8" numFmtId="0" xfId="0" applyAlignment="1" applyBorder="1" applyFill="1" applyFont="1">
      <alignment shrinkToFit="0" vertical="top" wrapText="1"/>
    </xf>
    <xf borderId="9" fillId="21" fontId="16" numFmtId="0" xfId="0" applyAlignment="1" applyBorder="1" applyFill="1" applyFont="1">
      <alignment shrinkToFit="0" vertical="top" wrapText="1"/>
    </xf>
    <xf borderId="8" fillId="14" fontId="16" numFmtId="0" xfId="0" applyAlignment="1" applyBorder="1" applyFill="1" applyFont="1">
      <alignment shrinkToFit="0" vertical="top" wrapText="1"/>
    </xf>
    <xf borderId="8" fillId="14" fontId="8" numFmtId="0" xfId="0" applyAlignment="1" applyBorder="1" applyFill="1" applyFont="1">
      <alignment shrinkToFit="0" vertical="top" wrapText="1"/>
    </xf>
    <xf borderId="4" fillId="21" fontId="8" numFmtId="0" xfId="0" applyAlignment="1" applyBorder="1" applyFill="1" applyFont="1">
      <alignment shrinkToFit="0" vertical="top" wrapText="1"/>
    </xf>
    <xf borderId="7" fillId="21" fontId="16" numFmtId="0" xfId="0" applyAlignment="1" applyBorder="1" applyFill="1" applyFont="1">
      <alignment shrinkToFit="0" vertical="top" wrapText="1"/>
    </xf>
    <xf borderId="8" fillId="22" fontId="8" numFmtId="0" xfId="0" applyAlignment="1" applyBorder="1" applyFill="1" applyFont="1">
      <alignment shrinkToFit="0" vertical="top" wrapText="1"/>
    </xf>
    <xf borderId="9" fillId="22" fontId="8" numFmtId="0" xfId="0" applyAlignment="1" applyBorder="1" applyFill="1" applyFont="1">
      <alignment shrinkToFit="0" vertical="top" wrapText="1"/>
    </xf>
    <xf borderId="4" fillId="22" fontId="19" numFmtId="0" xfId="0" applyAlignment="1" applyBorder="1" applyFill="1" applyFont="1">
      <alignment shrinkToFit="0" vertical="top" wrapText="1"/>
    </xf>
    <xf borderId="7" fillId="22" fontId="19" numFmtId="0" xfId="0" applyAlignment="1" applyBorder="1" applyFill="1" applyFont="1">
      <alignment shrinkToFit="0" vertical="top" wrapText="1"/>
    </xf>
    <xf borderId="8" fillId="23" fontId="8" numFmtId="0" xfId="0" applyAlignment="1" applyBorder="1" applyFill="1" applyFont="1">
      <alignment shrinkToFit="0" vertical="top" wrapText="1"/>
    </xf>
    <xf borderId="9" fillId="23" fontId="8" numFmtId="0" xfId="0" applyAlignment="1" applyBorder="1" applyFill="1" applyFont="1">
      <alignment shrinkToFit="0" vertical="top" wrapText="1"/>
    </xf>
    <xf borderId="4" fillId="23" fontId="8" numFmtId="0" xfId="0" applyAlignment="1" applyBorder="1" applyFill="1" applyFont="1">
      <alignment shrinkToFit="0" vertical="top" wrapText="1"/>
    </xf>
    <xf borderId="7" fillId="23" fontId="8" numFmtId="0" xfId="0" applyAlignment="1" applyBorder="1" applyFill="1" applyFont="1">
      <alignment shrinkToFit="0" vertical="top" wrapText="1"/>
    </xf>
    <xf borderId="4" fillId="5" fontId="16" numFmtId="0" xfId="0" applyAlignment="1" applyBorder="1" applyFill="1" applyFont="1">
      <alignment horizontal="center" shrinkToFit="0" vertical="top" wrapText="1"/>
    </xf>
    <xf borderId="8" fillId="24" fontId="8" numFmtId="0" xfId="0" applyAlignment="1" applyBorder="1" applyFill="1" applyFont="1">
      <alignment shrinkToFit="0" vertical="top" wrapText="1"/>
    </xf>
    <xf borderId="9" fillId="24" fontId="8" numFmtId="0" xfId="0" applyAlignment="1" applyBorder="1" applyFill="1" applyFont="1">
      <alignment shrinkToFit="0" vertical="top" wrapText="1"/>
    </xf>
    <xf borderId="4" fillId="24" fontId="8" numFmtId="0" xfId="0" applyAlignment="1" applyBorder="1" applyFill="1" applyFont="1">
      <alignment shrinkToFit="0" vertical="top" wrapText="1"/>
    </xf>
    <xf borderId="7" fillId="24" fontId="8" numFmtId="0" xfId="0" applyAlignment="1" applyBorder="1" applyFill="1" applyFont="1">
      <alignment shrinkToFit="0" vertical="top" wrapText="1"/>
    </xf>
    <xf borderId="8" fillId="8" fontId="19" numFmtId="0" xfId="0" applyAlignment="1" applyBorder="1" applyFill="1" applyFont="1">
      <alignment shrinkToFit="0" vertical="top" wrapText="1"/>
    </xf>
    <xf borderId="9" fillId="8" fontId="19" numFmtId="0" xfId="0" applyAlignment="1" applyBorder="1" applyFill="1" applyFont="1">
      <alignment shrinkToFit="0" vertical="top" wrapText="1"/>
    </xf>
    <xf borderId="4" fillId="8" fontId="19" numFmtId="0" xfId="0" applyAlignment="1" applyBorder="1" applyFill="1" applyFont="1">
      <alignment shrinkToFit="0" vertical="top" wrapText="1"/>
    </xf>
    <xf borderId="7" fillId="8" fontId="19" numFmtId="0" xfId="0" applyAlignment="1" applyBorder="1" applyFill="1" applyFont="1">
      <alignment shrinkToFit="0" vertical="top" wrapText="1"/>
    </xf>
    <xf borderId="8" fillId="25" fontId="8" numFmtId="0" xfId="0" applyAlignment="1" applyBorder="1" applyFill="1" applyFont="1">
      <alignment shrinkToFit="0" vertical="top" wrapText="1"/>
    </xf>
    <xf borderId="9" fillId="25" fontId="8" numFmtId="0" xfId="0" applyAlignment="1" applyBorder="1" applyFill="1" applyFont="1">
      <alignment shrinkToFit="0" vertical="top" wrapText="1"/>
    </xf>
    <xf borderId="4" fillId="25" fontId="8" numFmtId="0" xfId="0" applyAlignment="1" applyBorder="1" applyFill="1" applyFont="1">
      <alignment shrinkToFit="0" vertical="top" wrapText="1"/>
    </xf>
    <xf borderId="7" fillId="25" fontId="8" numFmtId="0" xfId="0" applyAlignment="1" applyBorder="1" applyFill="1" applyFont="1">
      <alignment shrinkToFit="0" vertical="top" wrapText="1"/>
    </xf>
    <xf borderId="4" fillId="13" fontId="8" numFmtId="0" xfId="0" applyAlignment="1" applyBorder="1" applyFill="1" applyFont="1">
      <alignment shrinkToFit="0" vertical="top" wrapText="1"/>
    </xf>
    <xf borderId="4" fillId="13" fontId="16" numFmtId="0" xfId="0" applyAlignment="1" applyBorder="1" applyFill="1" applyFont="1">
      <alignment shrinkToFit="0" vertical="top" wrapText="1"/>
    </xf>
    <xf borderId="4" fillId="13" fontId="8" numFmtId="0" xfId="0" applyAlignment="1" applyBorder="1" applyFill="1" applyFont="1">
      <alignment horizontal="center" shrinkToFit="0" vertical="top" wrapText="1"/>
    </xf>
    <xf borderId="4" fillId="13" fontId="21" numFmtId="0" xfId="0" applyAlignment="1" applyBorder="1" applyFill="1" applyFont="1">
      <alignment horizontal="center" shrinkToFit="0" vertical="top" wrapText="1"/>
    </xf>
    <xf borderId="4" fillId="13" fontId="16" numFmtId="0" xfId="0" applyAlignment="1" applyBorder="1" applyFill="1" applyFont="1">
      <alignment horizontal="center" shrinkToFit="0" vertical="top" wrapText="1"/>
    </xf>
    <xf borderId="8" fillId="26" fontId="8" numFmtId="0" xfId="0" applyAlignment="1" applyBorder="1" applyFill="1" applyFont="1">
      <alignment shrinkToFit="0" vertical="top" wrapText="1"/>
    </xf>
    <xf borderId="9" fillId="26" fontId="16" numFmtId="0" xfId="0" applyAlignment="1" applyBorder="1" applyFill="1" applyFont="1">
      <alignment shrinkToFit="0" vertical="top" wrapText="1"/>
    </xf>
    <xf borderId="4" fillId="26" fontId="8" numFmtId="0" xfId="0" applyAlignment="1" applyBorder="1" applyFill="1" applyFont="1">
      <alignment shrinkToFit="0" vertical="top" wrapText="1"/>
    </xf>
    <xf borderId="7" fillId="26" fontId="16" numFmtId="0" xfId="0" applyAlignment="1" applyBorder="1" applyFill="1" applyFont="1">
      <alignment shrinkToFit="0" vertical="top" wrapText="1"/>
    </xf>
    <xf borderId="8" fillId="27" fontId="8" numFmtId="0" xfId="0" applyAlignment="1" applyBorder="1" applyFill="1" applyFont="1">
      <alignment shrinkToFit="0" vertical="top" wrapText="1"/>
    </xf>
    <xf borderId="9" fillId="27" fontId="8" numFmtId="0" xfId="0" applyAlignment="1" applyBorder="1" applyFill="1" applyFont="1">
      <alignment shrinkToFit="0" vertical="top" wrapText="1"/>
    </xf>
    <xf borderId="4" fillId="27" fontId="8" numFmtId="0" xfId="0" applyAlignment="1" applyBorder="1" applyFill="1" applyFont="1">
      <alignment shrinkToFit="0" vertical="top" wrapText="1"/>
    </xf>
    <xf borderId="7" fillId="27" fontId="8" numFmtId="0" xfId="0" applyAlignment="1" applyBorder="1" applyFill="1" applyFont="1">
      <alignment shrinkToFit="0" vertical="top" wrapText="1"/>
    </xf>
    <xf borderId="4" fillId="27" fontId="19" numFmtId="0" xfId="0" applyAlignment="1" applyBorder="1" applyFill="1" applyFont="1">
      <alignment shrinkToFit="0" vertical="top" wrapText="1"/>
    </xf>
    <xf borderId="7" fillId="27" fontId="19" numFmtId="0" xfId="0" applyAlignment="1" applyBorder="1" applyFill="1" applyFont="1">
      <alignment shrinkToFit="0" vertical="top" wrapText="1"/>
    </xf>
    <xf borderId="8" fillId="28" fontId="8" numFmtId="0" xfId="0" applyAlignment="1" applyBorder="1" applyFill="1" applyFont="1">
      <alignment shrinkToFit="0" vertical="top" wrapText="1"/>
    </xf>
    <xf borderId="9" fillId="28" fontId="8" numFmtId="0" xfId="0" applyAlignment="1" applyBorder="1" applyFill="1" applyFont="1">
      <alignment shrinkToFit="0" vertical="top" wrapText="1"/>
    </xf>
    <xf borderId="4" fillId="28" fontId="8" numFmtId="0" xfId="0" applyAlignment="1" applyBorder="1" applyFill="1" applyFont="1">
      <alignment shrinkToFit="0" vertical="top" wrapText="1"/>
    </xf>
    <xf borderId="7" fillId="28" fontId="8" numFmtId="0" xfId="0" applyAlignment="1" applyBorder="1" applyFill="1" applyFont="1">
      <alignment shrinkToFit="0" vertical="top" wrapText="1"/>
    </xf>
    <xf borderId="4" fillId="5" fontId="3" numFmtId="0" xfId="0" applyAlignment="1" applyBorder="1" applyFill="1" applyFont="1">
      <alignment shrinkToFit="0" vertical="top" wrapText="1"/>
    </xf>
    <xf borderId="8" fillId="29" fontId="8" numFmtId="0" xfId="0" applyAlignment="1" applyBorder="1" applyFill="1" applyFont="1">
      <alignment shrinkToFit="0" vertical="top" wrapText="1"/>
    </xf>
    <xf borderId="9" fillId="29" fontId="16" numFmtId="0" xfId="0" applyAlignment="1" applyBorder="1" applyFill="1" applyFont="1">
      <alignment shrinkToFit="0" vertical="top" wrapText="1"/>
    </xf>
    <xf borderId="4" fillId="29" fontId="8" numFmtId="0" xfId="0" applyAlignment="1" applyBorder="1" applyFill="1" applyFont="1">
      <alignment shrinkToFit="0" vertical="top" wrapText="1"/>
    </xf>
    <xf borderId="7" fillId="29" fontId="16" numFmtId="0" xfId="0" applyAlignment="1" applyBorder="1" applyFill="1" applyFont="1">
      <alignment shrinkToFit="0" vertical="top" wrapText="1"/>
    </xf>
    <xf borderId="4" fillId="5" fontId="26" numFmtId="0" xfId="0" applyAlignment="1" applyBorder="1" applyFill="1" applyFont="1">
      <alignment shrinkToFit="0" vertical="top" wrapText="1"/>
    </xf>
    <xf borderId="4" fillId="11" fontId="27" numFmtId="0" xfId="0" applyAlignment="1" applyBorder="1" applyFill="1" applyFont="1">
      <alignment shrinkToFit="0" vertical="top" wrapText="1"/>
    </xf>
    <xf borderId="4" fillId="11" fontId="3" numFmtId="0" xfId="0" applyAlignment="1" applyBorder="1" applyFill="1" applyFont="1">
      <alignment shrinkToFit="0" vertical="top" wrapText="1"/>
    </xf>
    <xf borderId="3" fillId="0" fontId="9" numFmtId="0" xfId="0" applyAlignment="1" applyBorder="1" applyFont="1">
      <alignment horizontal="center" shrinkToFit="0" vertical="top" wrapText="1"/>
    </xf>
    <xf borderId="8" fillId="30" fontId="8" numFmtId="0" xfId="0" applyAlignment="1" applyBorder="1" applyFill="1" applyFont="1">
      <alignment shrinkToFit="0" vertical="top" wrapText="1"/>
    </xf>
    <xf borderId="3" fillId="0" fontId="12" numFmtId="0" xfId="0" applyAlignment="1" applyBorder="1" applyFont="1">
      <alignment horizontal="center" shrinkToFit="0" vertical="top" wrapText="1"/>
    </xf>
    <xf borderId="9" fillId="30" fontId="16" numFmtId="0" xfId="0" applyAlignment="1" applyBorder="1" applyFill="1" applyFont="1">
      <alignment shrinkToFit="0" vertical="top" wrapText="1"/>
    </xf>
    <xf borderId="4" fillId="30" fontId="8" numFmtId="0" xfId="0" applyAlignment="1" applyBorder="1" applyFill="1" applyFont="1">
      <alignment shrinkToFit="0" vertical="top" wrapText="1"/>
    </xf>
    <xf borderId="7" fillId="30" fontId="16" numFmtId="0" xfId="0" applyAlignment="1" applyBorder="1" applyFill="1" applyFont="1">
      <alignment shrinkToFit="0" vertical="top" wrapText="1"/>
    </xf>
    <xf borderId="4" fillId="11" fontId="8" numFmtId="0" xfId="0" applyAlignment="1" applyBorder="1" applyFill="1" applyFont="1">
      <alignment shrinkToFit="0" vertical="top" wrapText="1"/>
    </xf>
    <xf borderId="4" fillId="11" fontId="16" numFmtId="0" xfId="0" applyAlignment="1" applyBorder="1" applyFill="1" applyFont="1">
      <alignment shrinkToFit="0" vertical="top" wrapText="1"/>
    </xf>
    <xf borderId="4" fillId="11" fontId="8" numFmtId="0" xfId="0" applyAlignment="1" applyBorder="1" applyFill="1" applyFont="1">
      <alignment horizontal="center" shrinkToFit="0" vertical="top" wrapText="1"/>
    </xf>
    <xf borderId="4" fillId="11" fontId="21" numFmtId="0" xfId="0" applyAlignment="1" applyBorder="1" applyFill="1" applyFont="1">
      <alignment horizontal="center" shrinkToFit="0" vertical="top" wrapText="1"/>
    </xf>
    <xf borderId="4" fillId="5" fontId="28" numFmtId="0" xfId="0" applyAlignment="1" applyBorder="1" applyFill="1" applyFont="1">
      <alignment shrinkToFit="0" vertical="top" wrapText="1"/>
    </xf>
    <xf borderId="8" fillId="31" fontId="8" numFmtId="0" xfId="0" applyAlignment="1" applyBorder="1" applyFill="1" applyFont="1">
      <alignment shrinkToFit="0" vertical="top" wrapText="1"/>
    </xf>
    <xf borderId="1" fillId="0" fontId="9" numFmtId="0" xfId="0" applyAlignment="1" applyBorder="1" applyFont="1">
      <alignment horizontal="center" shrinkToFit="0" vertical="top" wrapText="1"/>
    </xf>
    <xf borderId="9" fillId="31" fontId="16" numFmtId="0" xfId="0" applyAlignment="1" applyBorder="1" applyFill="1" applyFont="1">
      <alignment shrinkToFit="0" vertical="top" wrapText="1"/>
    </xf>
    <xf borderId="1" fillId="5" fontId="8" numFmtId="0" xfId="0" applyAlignment="1" applyBorder="1" applyFill="1" applyFont="1">
      <alignment shrinkToFit="0" vertical="top" wrapText="1"/>
    </xf>
    <xf borderId="1" fillId="5" fontId="16" numFmtId="0" xfId="0" applyAlignment="1" applyBorder="1" applyFill="1" applyFont="1">
      <alignment shrinkToFit="0" vertical="top" wrapText="1"/>
    </xf>
    <xf borderId="4" fillId="31" fontId="8" numFmtId="0" xfId="0" applyAlignment="1" applyBorder="1" applyFill="1" applyFont="1">
      <alignment shrinkToFit="0" vertical="top" wrapText="1"/>
    </xf>
    <xf borderId="7" fillId="31" fontId="16" numFmtId="0" xfId="0" applyAlignment="1" applyBorder="1" applyFill="1" applyFont="1">
      <alignment shrinkToFit="0" vertical="top" wrapText="1"/>
    </xf>
    <xf borderId="8" fillId="32" fontId="8" numFmtId="0" xfId="0" applyAlignment="1" applyBorder="1" applyFill="1" applyFont="1">
      <alignment shrinkToFit="0" vertical="top" wrapText="1"/>
    </xf>
    <xf borderId="9" fillId="32" fontId="16" numFmtId="0" xfId="0" applyAlignment="1" applyBorder="1" applyFill="1" applyFont="1">
      <alignment shrinkToFit="0" vertical="top" wrapText="1"/>
    </xf>
    <xf borderId="4" fillId="32" fontId="8" numFmtId="0" xfId="0" applyAlignment="1" applyBorder="1" applyFill="1" applyFont="1">
      <alignment shrinkToFit="0" vertical="top" wrapText="1"/>
    </xf>
    <xf borderId="7" fillId="32" fontId="16" numFmtId="0" xfId="0" applyAlignment="1" applyBorder="1" applyFill="1" applyFont="1">
      <alignment shrinkToFit="0" vertical="top" wrapText="1"/>
    </xf>
    <xf borderId="4" fillId="5" fontId="29" numFmtId="0" xfId="0" applyAlignment="1" applyBorder="1" applyFill="1" applyFont="1">
      <alignment shrinkToFit="0" vertical="top" wrapText="1"/>
    </xf>
    <xf borderId="0" fillId="0" fontId="28" numFmtId="0" xfId="0" applyAlignment="1" applyFont="1">
      <alignment shrinkToFit="0" vertical="top" wrapText="1"/>
    </xf>
    <xf borderId="8" fillId="33" fontId="8" numFmtId="0" xfId="0" applyAlignment="1" applyBorder="1" applyFill="1" applyFont="1">
      <alignment shrinkToFit="0" vertical="top" wrapText="1"/>
    </xf>
    <xf borderId="9" fillId="33" fontId="16" numFmtId="0" xfId="0" applyAlignment="1" applyBorder="1" applyFill="1" applyFont="1">
      <alignment shrinkToFit="0" vertical="top" wrapText="1"/>
    </xf>
    <xf borderId="8" fillId="10" fontId="21" numFmtId="0" xfId="0" applyAlignment="1" applyBorder="1" applyFill="1" applyFont="1">
      <alignment horizontal="center" shrinkToFit="0" vertical="top" wrapText="1"/>
    </xf>
    <xf borderId="4" fillId="33" fontId="8" numFmtId="0" xfId="0" applyAlignment="1" applyBorder="1" applyFill="1" applyFont="1">
      <alignment shrinkToFit="0" vertical="top" wrapText="1"/>
    </xf>
    <xf borderId="7" fillId="33" fontId="16" numFmtId="0" xfId="0" applyAlignment="1" applyBorder="1" applyFill="1" applyFont="1">
      <alignment shrinkToFit="0" vertical="top" wrapText="1"/>
    </xf>
    <xf borderId="8" fillId="34" fontId="8" numFmtId="0" xfId="0" applyAlignment="1" applyBorder="1" applyFill="1" applyFont="1">
      <alignment shrinkToFit="0" vertical="top" wrapText="1"/>
    </xf>
    <xf borderId="9" fillId="34" fontId="16" numFmtId="0" xfId="0" applyAlignment="1" applyBorder="1" applyFill="1" applyFont="1">
      <alignment shrinkToFit="0" vertical="top" wrapText="1"/>
    </xf>
    <xf borderId="8" fillId="35" fontId="8" numFmtId="0" xfId="0" applyAlignment="1" applyBorder="1" applyFill="1" applyFont="1">
      <alignment shrinkToFit="0" vertical="top" wrapText="1"/>
    </xf>
    <xf borderId="9" fillId="35" fontId="16" numFmtId="0" xfId="0" applyAlignment="1" applyBorder="1" applyFill="1" applyFont="1">
      <alignment shrinkToFit="0" vertical="top" wrapText="1"/>
    </xf>
    <xf borderId="1" fillId="13" fontId="8" numFmtId="0" xfId="0" applyAlignment="1" applyBorder="1" applyFill="1" applyFont="1">
      <alignment shrinkToFit="0" vertical="top" wrapText="1"/>
    </xf>
    <xf borderId="1" fillId="13" fontId="16" numFmtId="0" xfId="0" applyAlignment="1" applyBorder="1" applyFill="1" applyFont="1">
      <alignment shrinkToFit="0" vertical="top" wrapText="1"/>
    </xf>
    <xf borderId="4" fillId="35" fontId="8" numFmtId="0" xfId="0" applyAlignment="1" applyBorder="1" applyFill="1" applyFont="1">
      <alignment shrinkToFit="0" vertical="top" wrapText="1"/>
    </xf>
    <xf borderId="7" fillId="35" fontId="16" numFmtId="0" xfId="0" applyAlignment="1" applyBorder="1" applyFill="1" applyFont="1">
      <alignment shrinkToFit="0" vertical="top" wrapText="1"/>
    </xf>
    <xf borderId="4" fillId="5" fontId="22" numFmtId="0" xfId="0" applyAlignment="1" applyBorder="1" applyFill="1" applyFont="1">
      <alignment shrinkToFit="0" vertical="top" wrapText="1"/>
    </xf>
    <xf borderId="0" fillId="0" fontId="30" numFmtId="0" xfId="0" applyAlignment="1" applyFont="1">
      <alignment shrinkToFit="0" vertical="top" wrapText="1"/>
    </xf>
    <xf borderId="5" fillId="35" fontId="8" numFmtId="0" xfId="0" applyAlignment="1" applyBorder="1" applyFill="1" applyFont="1">
      <alignment shrinkToFit="0" vertical="top" wrapText="1"/>
    </xf>
    <xf borderId="6" fillId="35" fontId="16" numFmtId="0" xfId="0" applyAlignment="1" applyBorder="1" applyFill="1" applyFont="1">
      <alignment shrinkToFit="0" vertical="top" wrapText="1"/>
    </xf>
    <xf borderId="11" fillId="0" fontId="8" numFmtId="0" xfId="0" applyAlignment="1" applyBorder="1" applyFont="1">
      <alignment shrinkToFit="0" vertical="top" wrapText="1"/>
    </xf>
    <xf borderId="11" fillId="0" fontId="16" numFmtId="0" xfId="0" applyAlignment="1" applyBorder="1" applyFont="1">
      <alignment shrinkToFit="0" vertical="top" wrapText="1"/>
    </xf>
    <xf borderId="11" fillId="0" fontId="8" numFmtId="0" xfId="0" applyAlignment="1" applyBorder="1" applyFont="1">
      <alignment horizontal="center" shrinkToFit="0" vertical="top" wrapText="1"/>
    </xf>
    <xf borderId="5" fillId="12" fontId="21" numFmtId="0" xfId="0" applyAlignment="1" applyBorder="1" applyFill="1" applyFont="1">
      <alignment horizontal="center" shrinkToFit="0" vertical="top" wrapText="1"/>
    </xf>
    <xf borderId="3" fillId="36" fontId="8" numFmtId="0" xfId="0" applyAlignment="1" applyBorder="1" applyFill="1" applyFont="1">
      <alignment shrinkToFit="0" vertical="top" wrapText="1"/>
    </xf>
    <xf borderId="3" fillId="36" fontId="16" numFmtId="0" xfId="0" applyAlignment="1" applyBorder="1" applyFill="1" applyFont="1">
      <alignment shrinkToFit="0" vertical="top" wrapText="1"/>
    </xf>
    <xf borderId="1" fillId="11" fontId="8" numFmtId="0" xfId="0" applyAlignment="1" applyBorder="1" applyFill="1" applyFont="1">
      <alignment shrinkToFit="0" vertical="top" wrapText="1"/>
    </xf>
    <xf borderId="1" fillId="11" fontId="16" numFmtId="0" xfId="0" applyAlignment="1" applyBorder="1" applyFill="1" applyFont="1">
      <alignment shrinkToFit="0" vertical="top" wrapText="1"/>
    </xf>
    <xf borderId="0" fillId="0" fontId="11" numFmtId="0" xfId="0" applyAlignment="1" applyFont="1">
      <alignment horizontal="center" shrinkToFit="0" vertical="top" wrapText="1"/>
    </xf>
    <xf borderId="1" fillId="13" fontId="9" numFmtId="0" xfId="0" applyAlignment="1" applyBorder="1" applyFill="1" applyFont="1">
      <alignment horizontal="center" shrinkToFit="0" vertical="top" wrapText="1"/>
    </xf>
    <xf borderId="4" fillId="13" fontId="3" numFmtId="0" xfId="0" applyAlignment="1" applyBorder="1" applyFill="1" applyFont="1">
      <alignment shrinkToFit="0" vertical="top" wrapText="1"/>
    </xf>
    <xf borderId="1" fillId="37" fontId="16" numFmtId="0" xfId="0" applyAlignment="1" applyBorder="1" applyFill="1" applyFont="1">
      <alignment shrinkToFit="0" vertical="top" wrapText="1"/>
    </xf>
    <xf borderId="1" fillId="37" fontId="16" numFmtId="0" xfId="0" applyAlignment="1" applyBorder="1" applyFill="1" applyFont="1">
      <alignment readingOrder="0" shrinkToFit="0" vertical="top" wrapText="1"/>
    </xf>
    <xf borderId="1" fillId="37" fontId="8"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0"/>
    <col customWidth="1" min="2" max="2" width="120.0"/>
    <col customWidth="1" min="3" max="6" width="8.71"/>
  </cols>
  <sheetData>
    <row r="1" ht="23.25" customHeight="1">
      <c r="A1" s="2" t="s">
        <v>1</v>
      </c>
      <c r="B1" s="3"/>
      <c r="C1" s="3"/>
      <c r="D1" s="3"/>
      <c r="E1" s="3"/>
      <c r="F1" s="3"/>
      <c r="G1" s="3"/>
      <c r="H1" s="3"/>
      <c r="I1" s="3"/>
      <c r="J1" s="3"/>
      <c r="K1" s="3"/>
      <c r="L1" s="3"/>
      <c r="M1" s="3"/>
      <c r="N1" s="3"/>
      <c r="O1" s="3"/>
      <c r="P1" s="3"/>
      <c r="Q1" s="3"/>
      <c r="R1" s="3"/>
      <c r="S1" s="3"/>
      <c r="T1" s="3"/>
      <c r="U1" s="3"/>
      <c r="V1" s="3"/>
      <c r="W1" s="3"/>
      <c r="X1" s="3"/>
      <c r="Y1" s="3"/>
      <c r="Z1" s="3"/>
    </row>
    <row r="2" ht="15.0" customHeight="1">
      <c r="A2" s="8" t="s">
        <v>6</v>
      </c>
      <c r="B2" s="3"/>
      <c r="C2" s="3"/>
      <c r="D2" s="3"/>
      <c r="E2" s="3"/>
      <c r="F2" s="3"/>
      <c r="G2" s="3"/>
      <c r="H2" s="3"/>
      <c r="I2" s="3"/>
      <c r="J2" s="3"/>
      <c r="K2" s="3"/>
      <c r="L2" s="3"/>
      <c r="M2" s="3"/>
      <c r="N2" s="3"/>
      <c r="O2" s="3"/>
      <c r="P2" s="3"/>
      <c r="Q2" s="3"/>
      <c r="R2" s="3"/>
      <c r="S2" s="3"/>
      <c r="T2" s="3"/>
      <c r="U2" s="3"/>
      <c r="V2" s="3"/>
      <c r="W2" s="3"/>
      <c r="X2" s="3"/>
      <c r="Y2" s="3"/>
      <c r="Z2" s="3"/>
    </row>
    <row r="3" ht="15.0" customHeight="1">
      <c r="A3" s="3"/>
      <c r="B3" s="3"/>
      <c r="C3" s="3"/>
      <c r="D3" s="3"/>
      <c r="E3" s="3"/>
      <c r="F3" s="3"/>
      <c r="G3" s="3"/>
      <c r="H3" s="3"/>
      <c r="I3" s="3"/>
      <c r="J3" s="3"/>
      <c r="K3" s="3"/>
      <c r="L3" s="3"/>
      <c r="M3" s="3"/>
      <c r="N3" s="3"/>
      <c r="O3" s="3"/>
      <c r="P3" s="3"/>
      <c r="Q3" s="3"/>
      <c r="R3" s="3"/>
      <c r="S3" s="3"/>
      <c r="T3" s="3"/>
      <c r="U3" s="3"/>
      <c r="V3" s="3"/>
      <c r="W3" s="3"/>
      <c r="X3" s="3"/>
      <c r="Y3" s="3"/>
      <c r="Z3" s="3"/>
    </row>
    <row r="4" ht="17.25" customHeight="1">
      <c r="A4" s="12" t="s">
        <v>14</v>
      </c>
      <c r="B4" s="14" t="s">
        <v>20</v>
      </c>
      <c r="C4" s="15"/>
      <c r="D4" s="15"/>
      <c r="E4" s="15"/>
      <c r="F4" s="15"/>
      <c r="G4" s="15"/>
      <c r="H4" s="15"/>
      <c r="I4" s="15"/>
      <c r="J4" s="15"/>
      <c r="K4" s="15"/>
      <c r="L4" s="15"/>
      <c r="M4" s="15"/>
      <c r="N4" s="15"/>
      <c r="O4" s="15"/>
      <c r="P4" s="15"/>
      <c r="Q4" s="15"/>
      <c r="R4" s="15"/>
      <c r="S4" s="15"/>
      <c r="T4" s="15"/>
      <c r="U4" s="15"/>
      <c r="V4" s="15"/>
      <c r="W4" s="15"/>
      <c r="X4" s="15"/>
      <c r="Y4" s="15"/>
      <c r="Z4" s="15"/>
    </row>
    <row r="5" ht="17.25" customHeight="1">
      <c r="A5" s="20" t="s">
        <v>33</v>
      </c>
      <c r="B5" s="22" t="s">
        <v>34</v>
      </c>
      <c r="C5" s="15"/>
      <c r="D5" s="15"/>
      <c r="E5" s="15"/>
      <c r="F5" s="15"/>
      <c r="G5" s="15"/>
      <c r="H5" s="15"/>
      <c r="I5" s="15"/>
      <c r="J5" s="15"/>
      <c r="K5" s="15"/>
      <c r="L5" s="15"/>
      <c r="M5" s="15"/>
      <c r="N5" s="15"/>
      <c r="O5" s="15"/>
      <c r="P5" s="15"/>
      <c r="Q5" s="15"/>
      <c r="R5" s="15"/>
      <c r="S5" s="15"/>
      <c r="T5" s="15"/>
      <c r="U5" s="15"/>
      <c r="V5" s="15"/>
      <c r="W5" s="15"/>
      <c r="X5" s="15"/>
      <c r="Y5" s="15"/>
      <c r="Z5" s="15"/>
    </row>
    <row r="6" ht="17.25" customHeight="1">
      <c r="A6" s="12" t="s">
        <v>46</v>
      </c>
      <c r="B6" s="29" t="s">
        <v>48</v>
      </c>
      <c r="C6" s="15"/>
      <c r="D6" s="15"/>
      <c r="E6" s="15"/>
      <c r="F6" s="15"/>
      <c r="G6" s="15"/>
      <c r="H6" s="15"/>
      <c r="I6" s="15"/>
      <c r="J6" s="15"/>
      <c r="K6" s="15"/>
      <c r="L6" s="15"/>
      <c r="M6" s="15"/>
      <c r="N6" s="15"/>
      <c r="O6" s="15"/>
      <c r="P6" s="15"/>
      <c r="Q6" s="15"/>
      <c r="R6" s="15"/>
      <c r="S6" s="15"/>
      <c r="T6" s="15"/>
      <c r="U6" s="15"/>
      <c r="V6" s="15"/>
      <c r="W6" s="15"/>
      <c r="X6" s="15"/>
      <c r="Y6" s="15"/>
      <c r="Z6" s="15"/>
    </row>
    <row r="7" ht="17.25" customHeight="1">
      <c r="A7" s="20" t="s">
        <v>53</v>
      </c>
      <c r="B7" s="36" t="s">
        <v>58</v>
      </c>
      <c r="C7" s="15"/>
      <c r="D7" s="15"/>
      <c r="E7" s="15"/>
      <c r="F7" s="15"/>
      <c r="G7" s="15"/>
      <c r="H7" s="15"/>
      <c r="I7" s="15"/>
      <c r="J7" s="15"/>
      <c r="K7" s="15"/>
      <c r="L7" s="15"/>
      <c r="M7" s="15"/>
      <c r="N7" s="15"/>
      <c r="O7" s="15"/>
      <c r="P7" s="15"/>
      <c r="Q7" s="15"/>
      <c r="R7" s="15"/>
      <c r="S7" s="15"/>
      <c r="T7" s="15"/>
      <c r="U7" s="15"/>
      <c r="V7" s="15"/>
      <c r="W7" s="15"/>
      <c r="X7" s="15"/>
      <c r="Y7" s="15"/>
      <c r="Z7" s="15"/>
    </row>
    <row r="8" ht="17.25" customHeight="1">
      <c r="A8" s="12"/>
      <c r="B8" s="14"/>
      <c r="C8" s="15"/>
      <c r="D8" s="15"/>
      <c r="E8" s="15"/>
      <c r="F8" s="15"/>
      <c r="G8" s="15"/>
      <c r="H8" s="15"/>
      <c r="I8" s="15"/>
      <c r="J8" s="15"/>
      <c r="K8" s="15"/>
      <c r="L8" s="15"/>
      <c r="M8" s="15"/>
      <c r="N8" s="15"/>
      <c r="O8" s="15"/>
      <c r="P8" s="15"/>
      <c r="Q8" s="15"/>
      <c r="R8" s="15"/>
      <c r="S8" s="15"/>
      <c r="T8" s="15"/>
      <c r="U8" s="15"/>
      <c r="V8" s="15"/>
      <c r="W8" s="15"/>
      <c r="X8" s="15"/>
      <c r="Y8" s="15"/>
      <c r="Z8" s="15"/>
    </row>
    <row r="9" ht="31.5" customHeight="1">
      <c r="A9" s="12" t="s">
        <v>76</v>
      </c>
      <c r="B9" s="29" t="s">
        <v>79</v>
      </c>
      <c r="C9" s="15"/>
      <c r="D9" s="15"/>
      <c r="E9" s="15"/>
      <c r="F9" s="15"/>
      <c r="G9" s="15"/>
      <c r="H9" s="15"/>
      <c r="I9" s="15"/>
      <c r="J9" s="15"/>
      <c r="K9" s="15"/>
      <c r="L9" s="15"/>
      <c r="M9" s="15"/>
      <c r="N9" s="15"/>
      <c r="O9" s="15"/>
      <c r="P9" s="15"/>
      <c r="Q9" s="15"/>
      <c r="R9" s="15"/>
      <c r="S9" s="15"/>
      <c r="T9" s="15"/>
      <c r="U9" s="15"/>
      <c r="V9" s="15"/>
      <c r="W9" s="15"/>
      <c r="X9" s="15"/>
      <c r="Y9" s="15"/>
      <c r="Z9" s="15"/>
    </row>
    <row r="10" ht="17.25" customHeight="1">
      <c r="A10" s="47" t="s">
        <v>93</v>
      </c>
      <c r="B10" s="22" t="s">
        <v>104</v>
      </c>
      <c r="C10" s="15"/>
      <c r="D10" s="15"/>
      <c r="E10" s="15"/>
      <c r="F10" s="15"/>
      <c r="G10" s="15"/>
      <c r="H10" s="15"/>
      <c r="I10" s="15"/>
      <c r="J10" s="15"/>
      <c r="K10" s="15"/>
      <c r="L10" s="15"/>
      <c r="M10" s="15"/>
      <c r="N10" s="15"/>
      <c r="O10" s="15"/>
      <c r="P10" s="15"/>
      <c r="Q10" s="15"/>
      <c r="R10" s="15"/>
      <c r="S10" s="15"/>
      <c r="T10" s="15"/>
      <c r="U10" s="15"/>
      <c r="V10" s="15"/>
      <c r="W10" s="15"/>
      <c r="X10" s="15"/>
      <c r="Y10" s="15"/>
      <c r="Z10" s="15"/>
    </row>
    <row r="11" ht="17.25" customHeight="1">
      <c r="A11" s="20" t="s">
        <v>111</v>
      </c>
      <c r="B11" s="22" t="s">
        <v>112</v>
      </c>
      <c r="C11" s="15"/>
      <c r="D11" s="15"/>
      <c r="E11" s="15"/>
      <c r="F11" s="15"/>
      <c r="G11" s="15"/>
      <c r="H11" s="15"/>
      <c r="I11" s="15"/>
      <c r="J11" s="15"/>
      <c r="K11" s="15"/>
      <c r="L11" s="15"/>
      <c r="M11" s="15"/>
      <c r="N11" s="15"/>
      <c r="O11" s="15"/>
      <c r="P11" s="15"/>
      <c r="Q11" s="15"/>
      <c r="R11" s="15"/>
      <c r="S11" s="15"/>
      <c r="T11" s="15"/>
      <c r="U11" s="15"/>
      <c r="V11" s="15"/>
      <c r="W11" s="15"/>
      <c r="X11" s="15"/>
      <c r="Y11" s="15"/>
      <c r="Z11" s="15"/>
    </row>
    <row r="12" ht="17.25" customHeight="1">
      <c r="A12" s="12"/>
      <c r="B12" s="14"/>
      <c r="C12" s="15"/>
      <c r="D12" s="15"/>
      <c r="E12" s="15"/>
      <c r="F12" s="15"/>
      <c r="G12" s="15"/>
      <c r="H12" s="15"/>
      <c r="I12" s="15"/>
      <c r="J12" s="15"/>
      <c r="K12" s="15"/>
      <c r="L12" s="15"/>
      <c r="M12" s="15"/>
      <c r="N12" s="15"/>
      <c r="O12" s="15"/>
      <c r="P12" s="15"/>
      <c r="Q12" s="15"/>
      <c r="R12" s="15"/>
      <c r="S12" s="15"/>
      <c r="T12" s="15"/>
      <c r="U12" s="15"/>
      <c r="V12" s="15"/>
      <c r="W12" s="15"/>
      <c r="X12" s="15"/>
      <c r="Y12" s="15"/>
      <c r="Z12" s="15"/>
    </row>
    <row r="13" ht="31.5" customHeight="1">
      <c r="A13" s="47" t="s">
        <v>139</v>
      </c>
      <c r="B13" s="36" t="s">
        <v>141</v>
      </c>
      <c r="C13" s="15"/>
      <c r="D13" s="15"/>
      <c r="E13" s="15"/>
      <c r="F13" s="15"/>
      <c r="G13" s="15"/>
      <c r="H13" s="15"/>
      <c r="I13" s="15"/>
      <c r="J13" s="15"/>
      <c r="K13" s="15"/>
      <c r="L13" s="15"/>
      <c r="M13" s="15"/>
      <c r="N13" s="15"/>
      <c r="O13" s="15"/>
      <c r="P13" s="15"/>
      <c r="Q13" s="15"/>
      <c r="R13" s="15"/>
      <c r="S13" s="15"/>
      <c r="T13" s="15"/>
      <c r="U13" s="15"/>
      <c r="V13" s="15"/>
      <c r="W13" s="15"/>
      <c r="X13" s="15"/>
      <c r="Y13" s="15"/>
      <c r="Z13" s="15"/>
    </row>
    <row r="14" ht="31.5" customHeight="1">
      <c r="A14" s="47" t="s">
        <v>166</v>
      </c>
      <c r="B14" s="36" t="s">
        <v>167</v>
      </c>
      <c r="C14" s="15"/>
      <c r="D14" s="15"/>
      <c r="E14" s="15"/>
      <c r="F14" s="15"/>
      <c r="G14" s="15"/>
      <c r="H14" s="15"/>
      <c r="I14" s="15"/>
      <c r="J14" s="15"/>
      <c r="K14" s="15"/>
      <c r="L14" s="15"/>
      <c r="M14" s="15"/>
      <c r="N14" s="15"/>
      <c r="O14" s="15"/>
      <c r="P14" s="15"/>
      <c r="Q14" s="15"/>
      <c r="R14" s="15"/>
      <c r="S14" s="15"/>
      <c r="T14" s="15"/>
      <c r="U14" s="15"/>
      <c r="V14" s="15"/>
      <c r="W14" s="15"/>
      <c r="X14" s="15"/>
      <c r="Y14" s="15"/>
      <c r="Z14" s="15"/>
    </row>
    <row r="15" ht="31.5" customHeight="1">
      <c r="A15" s="12" t="s">
        <v>184</v>
      </c>
      <c r="B15" s="29" t="s">
        <v>188</v>
      </c>
      <c r="C15" s="15"/>
      <c r="D15" s="15"/>
      <c r="E15" s="15"/>
      <c r="F15" s="15"/>
      <c r="G15" s="15"/>
      <c r="H15" s="15"/>
      <c r="I15" s="15"/>
      <c r="J15" s="15"/>
      <c r="K15" s="15"/>
      <c r="L15" s="15"/>
      <c r="M15" s="15"/>
      <c r="N15" s="15"/>
      <c r="O15" s="15"/>
      <c r="P15" s="15"/>
      <c r="Q15" s="15"/>
      <c r="R15" s="15"/>
      <c r="S15" s="15"/>
      <c r="T15" s="15"/>
      <c r="U15" s="15"/>
      <c r="V15" s="15"/>
      <c r="W15" s="15"/>
      <c r="X15" s="15"/>
      <c r="Y15" s="15"/>
      <c r="Z15" s="15"/>
    </row>
    <row r="16" ht="45.0" customHeight="1">
      <c r="A16" s="12" t="s">
        <v>199</v>
      </c>
      <c r="B16" s="29" t="s">
        <v>200</v>
      </c>
      <c r="C16" s="15"/>
      <c r="D16" s="15"/>
      <c r="E16" s="15"/>
      <c r="F16" s="15"/>
      <c r="G16" s="15"/>
      <c r="H16" s="15"/>
      <c r="I16" s="15"/>
      <c r="J16" s="15"/>
      <c r="K16" s="15"/>
      <c r="L16" s="15"/>
      <c r="M16" s="15"/>
      <c r="N16" s="15"/>
      <c r="O16" s="15"/>
      <c r="P16" s="15"/>
      <c r="Q16" s="15"/>
      <c r="R16" s="15"/>
      <c r="S16" s="15"/>
      <c r="T16" s="15"/>
      <c r="U16" s="15"/>
      <c r="V16" s="15"/>
      <c r="W16" s="15"/>
      <c r="X16" s="15"/>
      <c r="Y16" s="15"/>
      <c r="Z16" s="15"/>
    </row>
    <row r="17" ht="17.25" customHeight="1">
      <c r="A17" s="12"/>
      <c r="B17" s="14"/>
      <c r="C17" s="15"/>
      <c r="D17" s="15"/>
      <c r="E17" s="15"/>
      <c r="F17" s="15"/>
      <c r="G17" s="15"/>
      <c r="H17" s="15"/>
      <c r="I17" s="15"/>
      <c r="J17" s="15"/>
      <c r="K17" s="15"/>
      <c r="L17" s="15"/>
      <c r="M17" s="15"/>
      <c r="N17" s="15"/>
      <c r="O17" s="15"/>
      <c r="P17" s="15"/>
      <c r="Q17" s="15"/>
      <c r="R17" s="15"/>
      <c r="S17" s="15"/>
      <c r="T17" s="15"/>
      <c r="U17" s="15"/>
      <c r="V17" s="15"/>
      <c r="W17" s="15"/>
      <c r="X17" s="15"/>
      <c r="Y17" s="15"/>
      <c r="Z17" s="15"/>
    </row>
    <row r="18" ht="31.5" customHeight="1">
      <c r="A18" s="20" t="s">
        <v>232</v>
      </c>
      <c r="B18" s="22">
        <f>COUNTA('02_기능명세'!A6:A400)-COUNTIF('02_기능명세'!G6:G400,"삭제")</f>
        <v>162</v>
      </c>
      <c r="C18" s="15"/>
      <c r="D18" s="15"/>
      <c r="E18" s="15"/>
      <c r="F18" s="15"/>
      <c r="G18" s="15"/>
      <c r="H18" s="15"/>
      <c r="I18" s="15"/>
      <c r="J18" s="15"/>
      <c r="K18" s="15"/>
      <c r="L18" s="15"/>
      <c r="M18" s="15"/>
      <c r="N18" s="15"/>
      <c r="O18" s="15"/>
      <c r="P18" s="15"/>
      <c r="Q18" s="15"/>
      <c r="R18" s="15"/>
      <c r="S18" s="15"/>
      <c r="T18" s="15"/>
      <c r="U18" s="15"/>
      <c r="V18" s="15"/>
      <c r="W18" s="15"/>
      <c r="X18" s="15"/>
      <c r="Y18" s="15"/>
      <c r="Z18" s="15"/>
    </row>
    <row r="19" ht="17.25" customHeight="1">
      <c r="A19" s="47" t="s">
        <v>329</v>
      </c>
      <c r="B19" s="22">
        <f>COUNTIF('02_기능명세'!G6:G400,"must")</f>
        <v>84</v>
      </c>
      <c r="C19" s="15"/>
      <c r="D19" s="15"/>
      <c r="E19" s="15"/>
      <c r="F19" s="15"/>
      <c r="G19" s="15"/>
      <c r="H19" s="15"/>
      <c r="I19" s="15"/>
      <c r="J19" s="15"/>
      <c r="K19" s="15"/>
      <c r="L19" s="15"/>
      <c r="M19" s="15"/>
      <c r="N19" s="15"/>
      <c r="O19" s="15"/>
      <c r="P19" s="15"/>
      <c r="Q19" s="15"/>
      <c r="R19" s="15"/>
      <c r="S19" s="15"/>
      <c r="T19" s="15"/>
      <c r="U19" s="15"/>
      <c r="V19" s="15"/>
      <c r="W19" s="15"/>
      <c r="X19" s="15"/>
      <c r="Y19" s="15"/>
      <c r="Z19" s="15"/>
    </row>
    <row r="20" ht="17.25" customHeight="1">
      <c r="A20" s="47" t="s">
        <v>384</v>
      </c>
      <c r="B20" s="22">
        <f>COUNTIF('02_기능명세'!G6:G400,"should")</f>
        <v>68</v>
      </c>
      <c r="C20" s="15"/>
      <c r="D20" s="15"/>
      <c r="E20" s="15"/>
      <c r="F20" s="15"/>
      <c r="G20" s="15"/>
      <c r="H20" s="15"/>
      <c r="I20" s="15"/>
      <c r="J20" s="15"/>
      <c r="K20" s="15"/>
      <c r="L20" s="15"/>
      <c r="M20" s="15"/>
      <c r="N20" s="15"/>
      <c r="O20" s="15"/>
      <c r="P20" s="15"/>
      <c r="Q20" s="15"/>
      <c r="R20" s="15"/>
      <c r="S20" s="15"/>
      <c r="T20" s="15"/>
      <c r="U20" s="15"/>
      <c r="V20" s="15"/>
      <c r="W20" s="15"/>
      <c r="X20" s="15"/>
      <c r="Y20" s="15"/>
      <c r="Z20" s="15"/>
    </row>
    <row r="21" ht="17.25" customHeight="1">
      <c r="A21" s="47" t="s">
        <v>283</v>
      </c>
      <c r="B21" s="22">
        <f>COUNTIF('02_기능명세'!G6:G400,"could")</f>
        <v>9</v>
      </c>
      <c r="C21" s="15"/>
      <c r="D21" s="15"/>
      <c r="E21" s="15"/>
      <c r="F21" s="15"/>
      <c r="G21" s="15"/>
      <c r="H21" s="15"/>
      <c r="I21" s="15"/>
      <c r="J21" s="15"/>
      <c r="K21" s="15"/>
      <c r="L21" s="15"/>
      <c r="M21" s="15"/>
      <c r="N21" s="15"/>
      <c r="O21" s="15"/>
      <c r="P21" s="15"/>
      <c r="Q21" s="15"/>
      <c r="R21" s="15"/>
      <c r="S21" s="15"/>
      <c r="T21" s="15"/>
      <c r="U21" s="15"/>
      <c r="V21" s="15"/>
      <c r="W21" s="15"/>
      <c r="X21" s="15"/>
      <c r="Y21" s="15"/>
      <c r="Z21" s="15"/>
    </row>
    <row r="22" ht="17.25" customHeight="1">
      <c r="A22" s="47" t="s">
        <v>457</v>
      </c>
      <c r="B22" s="22">
        <f>COUNTIF('02_기능명세'!G6:G400,"won't")</f>
        <v>1</v>
      </c>
      <c r="C22" s="15"/>
      <c r="D22" s="15"/>
      <c r="E22" s="15"/>
      <c r="F22" s="15"/>
      <c r="G22" s="15"/>
      <c r="H22" s="15"/>
      <c r="I22" s="15"/>
      <c r="J22" s="15"/>
      <c r="K22" s="15"/>
      <c r="L22" s="15"/>
      <c r="M22" s="15"/>
      <c r="N22" s="15"/>
      <c r="O22" s="15"/>
      <c r="P22" s="15"/>
      <c r="Q22" s="15"/>
      <c r="R22" s="15"/>
      <c r="S22" s="15"/>
      <c r="T22" s="15"/>
      <c r="U22" s="15"/>
      <c r="V22" s="15"/>
      <c r="W22" s="15"/>
      <c r="X22" s="15"/>
      <c r="Y22" s="15"/>
      <c r="Z22" s="15"/>
    </row>
    <row r="23" ht="17.25" customHeight="1">
      <c r="A23" s="20" t="s">
        <v>484</v>
      </c>
      <c r="B23" s="22">
        <f>COUNTIF('02_기능명세'!L6:L400,"v3.0 신설")</f>
        <v>32</v>
      </c>
      <c r="C23" s="15"/>
      <c r="D23" s="15"/>
      <c r="E23" s="15"/>
      <c r="F23" s="15"/>
      <c r="G23" s="15"/>
      <c r="H23" s="15"/>
      <c r="I23" s="15"/>
      <c r="J23" s="15"/>
      <c r="K23" s="15"/>
      <c r="L23" s="15"/>
      <c r="M23" s="15"/>
      <c r="N23" s="15"/>
      <c r="O23" s="15"/>
      <c r="P23" s="15"/>
      <c r="Q23" s="15"/>
      <c r="R23" s="15"/>
      <c r="S23" s="15"/>
      <c r="T23" s="15"/>
      <c r="U23" s="15"/>
      <c r="V23" s="15"/>
      <c r="W23" s="15"/>
      <c r="X23" s="15"/>
      <c r="Y23" s="15"/>
      <c r="Z23" s="15"/>
    </row>
    <row r="24" ht="17.25" customHeight="1">
      <c r="A24" s="20" t="s">
        <v>517</v>
      </c>
      <c r="B24" s="22">
        <f>COUNTIF('02_기능명세'!L6:L400,"*v3.0 수정*")</f>
        <v>62</v>
      </c>
      <c r="C24" s="15"/>
      <c r="D24" s="15"/>
      <c r="E24" s="15"/>
      <c r="F24" s="15"/>
      <c r="G24" s="15"/>
      <c r="H24" s="15"/>
      <c r="I24" s="15"/>
      <c r="J24" s="15"/>
      <c r="K24" s="15"/>
      <c r="L24" s="15"/>
      <c r="M24" s="15"/>
      <c r="N24" s="15"/>
      <c r="O24" s="15"/>
      <c r="P24" s="15"/>
      <c r="Q24" s="15"/>
      <c r="R24" s="15"/>
      <c r="S24" s="15"/>
      <c r="T24" s="15"/>
      <c r="U24" s="15"/>
      <c r="V24" s="15"/>
      <c r="W24" s="15"/>
      <c r="X24" s="15"/>
      <c r="Y24" s="15"/>
      <c r="Z24" s="15"/>
    </row>
    <row r="25" ht="17.25" customHeight="1">
      <c r="A25" s="61" t="s">
        <v>564</v>
      </c>
      <c r="B25" s="61">
        <f>COUNTIF('02_기능명세'!G6:G400,"삭제")</f>
        <v>41</v>
      </c>
      <c r="C25" s="15"/>
      <c r="D25" s="15"/>
      <c r="E25" s="15"/>
      <c r="F25" s="15"/>
      <c r="G25" s="15"/>
      <c r="H25" s="15"/>
      <c r="I25" s="15"/>
      <c r="J25" s="15"/>
      <c r="K25" s="15"/>
      <c r="L25" s="15"/>
      <c r="M25" s="15"/>
      <c r="N25" s="15"/>
      <c r="O25" s="15"/>
      <c r="P25" s="15"/>
      <c r="Q25" s="15"/>
      <c r="R25" s="15"/>
      <c r="S25" s="15"/>
      <c r="T25" s="15"/>
      <c r="U25" s="15"/>
      <c r="V25" s="15"/>
      <c r="W25" s="15"/>
      <c r="X25" s="15"/>
      <c r="Y25" s="15"/>
      <c r="Z25" s="15"/>
    </row>
    <row r="26" ht="17.25" customHeight="1">
      <c r="A26" s="61" t="s">
        <v>608</v>
      </c>
      <c r="B26" s="62" t="s">
        <v>613</v>
      </c>
      <c r="C26" s="15"/>
      <c r="D26" s="15"/>
      <c r="E26" s="15"/>
      <c r="F26" s="15"/>
      <c r="G26" s="15"/>
      <c r="H26" s="15"/>
      <c r="I26" s="15"/>
      <c r="J26" s="15"/>
      <c r="K26" s="15"/>
      <c r="L26" s="15"/>
      <c r="M26" s="15"/>
      <c r="N26" s="15"/>
      <c r="O26" s="15"/>
      <c r="P26" s="15"/>
      <c r="Q26" s="15"/>
      <c r="R26" s="15"/>
      <c r="S26" s="15"/>
      <c r="T26" s="15"/>
      <c r="U26" s="15"/>
      <c r="V26" s="15"/>
      <c r="W26" s="15"/>
      <c r="X26" s="15"/>
      <c r="Y26" s="15"/>
      <c r="Z26" s="15"/>
    </row>
    <row r="27" ht="17.25" customHeight="1">
      <c r="A27" s="47" t="s">
        <v>626</v>
      </c>
      <c r="B27" s="22" t="s">
        <v>628</v>
      </c>
      <c r="C27" s="15"/>
      <c r="D27" s="15"/>
      <c r="E27" s="15"/>
      <c r="F27" s="15"/>
      <c r="G27" s="15"/>
      <c r="H27" s="15"/>
      <c r="I27" s="15"/>
      <c r="J27" s="15"/>
      <c r="K27" s="15"/>
      <c r="L27" s="15"/>
      <c r="M27" s="15"/>
      <c r="N27" s="15"/>
      <c r="O27" s="15"/>
      <c r="P27" s="15"/>
      <c r="Q27" s="15"/>
      <c r="R27" s="15"/>
      <c r="S27" s="15"/>
      <c r="T27" s="15"/>
      <c r="U27" s="15"/>
      <c r="V27" s="15"/>
      <c r="W27" s="15"/>
      <c r="X27" s="15"/>
      <c r="Y27" s="15"/>
      <c r="Z27" s="15"/>
    </row>
    <row r="28" ht="17.25" customHeight="1">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row>
    <row r="29" ht="31.5" customHeight="1">
      <c r="A29" s="61" t="s">
        <v>650</v>
      </c>
      <c r="B29" s="61"/>
      <c r="C29" s="15"/>
      <c r="D29" s="15"/>
      <c r="E29" s="15"/>
      <c r="F29" s="15"/>
      <c r="G29" s="15"/>
      <c r="H29" s="15"/>
      <c r="I29" s="15"/>
      <c r="J29" s="15"/>
      <c r="K29" s="15"/>
      <c r="L29" s="15"/>
      <c r="M29" s="15"/>
      <c r="N29" s="15"/>
      <c r="O29" s="15"/>
      <c r="P29" s="15"/>
      <c r="Q29" s="15"/>
      <c r="R29" s="15"/>
      <c r="S29" s="15"/>
      <c r="T29" s="15"/>
      <c r="U29" s="15"/>
      <c r="V29" s="15"/>
      <c r="W29" s="15"/>
      <c r="X29" s="15"/>
      <c r="Y29" s="15"/>
      <c r="Z29" s="15"/>
    </row>
    <row r="30" ht="31.5" customHeight="1">
      <c r="A30" s="62" t="s">
        <v>656</v>
      </c>
      <c r="B30" s="62" t="s">
        <v>657</v>
      </c>
      <c r="C30" s="15"/>
      <c r="D30" s="15"/>
      <c r="E30" s="15"/>
      <c r="F30" s="15"/>
      <c r="G30" s="15"/>
      <c r="H30" s="15"/>
      <c r="I30" s="15"/>
      <c r="J30" s="15"/>
      <c r="K30" s="15"/>
      <c r="L30" s="15"/>
      <c r="M30" s="15"/>
      <c r="N30" s="15"/>
      <c r="O30" s="15"/>
      <c r="P30" s="15"/>
      <c r="Q30" s="15"/>
      <c r="R30" s="15"/>
      <c r="S30" s="15"/>
      <c r="T30" s="15"/>
      <c r="U30" s="15"/>
      <c r="V30" s="15"/>
      <c r="W30" s="15"/>
      <c r="X30" s="15"/>
      <c r="Y30" s="15"/>
      <c r="Z30" s="15"/>
    </row>
    <row r="31" ht="31.5" customHeight="1">
      <c r="A31" s="62" t="s">
        <v>666</v>
      </c>
      <c r="B31" s="61" t="s">
        <v>668</v>
      </c>
      <c r="C31" s="15"/>
      <c r="D31" s="15"/>
      <c r="E31" s="15"/>
      <c r="F31" s="15"/>
      <c r="G31" s="15"/>
      <c r="H31" s="15"/>
      <c r="I31" s="15"/>
      <c r="J31" s="15"/>
      <c r="K31" s="15"/>
      <c r="L31" s="15"/>
      <c r="M31" s="15"/>
      <c r="N31" s="15"/>
      <c r="O31" s="15"/>
      <c r="P31" s="15"/>
      <c r="Q31" s="15"/>
      <c r="R31" s="15"/>
      <c r="S31" s="15"/>
      <c r="T31" s="15"/>
      <c r="U31" s="15"/>
      <c r="V31" s="15"/>
      <c r="W31" s="15"/>
      <c r="X31" s="15"/>
      <c r="Y31" s="15"/>
      <c r="Z31" s="15"/>
    </row>
    <row r="32" ht="31.5" customHeight="1">
      <c r="A32" s="62" t="s">
        <v>687</v>
      </c>
      <c r="B32" s="62" t="s">
        <v>690</v>
      </c>
      <c r="C32" s="15"/>
      <c r="D32" s="15"/>
      <c r="E32" s="15"/>
      <c r="F32" s="15"/>
      <c r="G32" s="15"/>
      <c r="H32" s="15"/>
      <c r="I32" s="15"/>
      <c r="J32" s="15"/>
      <c r="K32" s="15"/>
      <c r="L32" s="15"/>
      <c r="M32" s="15"/>
      <c r="N32" s="15"/>
      <c r="O32" s="15"/>
      <c r="P32" s="15"/>
      <c r="Q32" s="15"/>
      <c r="R32" s="15"/>
      <c r="S32" s="15"/>
      <c r="T32" s="15"/>
      <c r="U32" s="15"/>
      <c r="V32" s="15"/>
      <c r="W32" s="15"/>
      <c r="X32" s="15"/>
      <c r="Y32" s="15"/>
      <c r="Z32" s="15"/>
    </row>
    <row r="33" ht="17.25" customHeight="1">
      <c r="A33" s="62" t="s">
        <v>700</v>
      </c>
      <c r="B33" s="62" t="s">
        <v>702</v>
      </c>
      <c r="C33" s="15"/>
      <c r="D33" s="15"/>
      <c r="E33" s="15"/>
      <c r="F33" s="15"/>
      <c r="G33" s="15"/>
      <c r="H33" s="15"/>
      <c r="I33" s="15"/>
      <c r="J33" s="15"/>
      <c r="K33" s="15"/>
      <c r="L33" s="15"/>
      <c r="M33" s="15"/>
      <c r="N33" s="15"/>
      <c r="O33" s="15"/>
      <c r="P33" s="15"/>
      <c r="Q33" s="15"/>
      <c r="R33" s="15"/>
      <c r="S33" s="15"/>
      <c r="T33" s="15"/>
      <c r="U33" s="15"/>
      <c r="V33" s="15"/>
      <c r="W33" s="15"/>
      <c r="X33" s="15"/>
      <c r="Y33" s="15"/>
      <c r="Z33" s="15"/>
    </row>
    <row r="34" ht="31.5" customHeight="1">
      <c r="A34" s="62" t="s">
        <v>714</v>
      </c>
      <c r="B34" s="62" t="s">
        <v>718</v>
      </c>
      <c r="C34" s="15"/>
      <c r="D34" s="15"/>
      <c r="E34" s="15"/>
      <c r="F34" s="15"/>
      <c r="G34" s="15"/>
      <c r="H34" s="15"/>
      <c r="I34" s="15"/>
      <c r="J34" s="15"/>
      <c r="K34" s="15"/>
      <c r="L34" s="15"/>
      <c r="M34" s="15"/>
      <c r="N34" s="15"/>
      <c r="O34" s="15"/>
      <c r="P34" s="15"/>
      <c r="Q34" s="15"/>
      <c r="R34" s="15"/>
      <c r="S34" s="15"/>
      <c r="T34" s="15"/>
      <c r="U34" s="15"/>
      <c r="V34" s="15"/>
      <c r="W34" s="15"/>
      <c r="X34" s="15"/>
      <c r="Y34" s="15"/>
      <c r="Z34" s="15"/>
    </row>
    <row r="35" ht="31.5" customHeight="1">
      <c r="A35" s="62" t="s">
        <v>727</v>
      </c>
      <c r="B35" s="61" t="s">
        <v>729</v>
      </c>
      <c r="C35" s="15"/>
      <c r="D35" s="15"/>
      <c r="E35" s="15"/>
      <c r="F35" s="15"/>
      <c r="G35" s="15"/>
      <c r="H35" s="15"/>
      <c r="I35" s="15"/>
      <c r="J35" s="15"/>
      <c r="K35" s="15"/>
      <c r="L35" s="15"/>
      <c r="M35" s="15"/>
      <c r="N35" s="15"/>
      <c r="O35" s="15"/>
      <c r="P35" s="15"/>
      <c r="Q35" s="15"/>
      <c r="R35" s="15"/>
      <c r="S35" s="15"/>
      <c r="T35" s="15"/>
      <c r="U35" s="15"/>
      <c r="V35" s="15"/>
      <c r="W35" s="15"/>
      <c r="X35" s="15"/>
      <c r="Y35" s="15"/>
      <c r="Z35" s="15"/>
    </row>
    <row r="36" ht="17.25" customHeight="1">
      <c r="A36" s="62" t="s">
        <v>742</v>
      </c>
      <c r="B36" s="61" t="s">
        <v>744</v>
      </c>
      <c r="C36" s="15"/>
      <c r="D36" s="15"/>
      <c r="E36" s="15"/>
      <c r="F36" s="15"/>
      <c r="G36" s="15"/>
      <c r="H36" s="15"/>
      <c r="I36" s="15"/>
      <c r="J36" s="15"/>
      <c r="K36" s="15"/>
      <c r="L36" s="15"/>
      <c r="M36" s="15"/>
      <c r="N36" s="15"/>
      <c r="O36" s="15"/>
      <c r="P36" s="15"/>
      <c r="Q36" s="15"/>
      <c r="R36" s="15"/>
      <c r="S36" s="15"/>
      <c r="T36" s="15"/>
      <c r="U36" s="15"/>
      <c r="V36" s="15"/>
      <c r="W36" s="15"/>
      <c r="X36" s="15"/>
      <c r="Y36" s="15"/>
      <c r="Z36" s="15"/>
    </row>
    <row r="37" ht="31.5" customHeight="1">
      <c r="A37" s="62" t="s">
        <v>753</v>
      </c>
      <c r="B37" s="61" t="s">
        <v>755</v>
      </c>
      <c r="C37" s="15"/>
      <c r="D37" s="15"/>
      <c r="E37" s="15"/>
      <c r="F37" s="15"/>
      <c r="G37" s="15"/>
      <c r="H37" s="15"/>
      <c r="I37" s="15"/>
      <c r="J37" s="15"/>
      <c r="K37" s="15"/>
      <c r="L37" s="15"/>
      <c r="M37" s="15"/>
      <c r="N37" s="15"/>
      <c r="O37" s="15"/>
      <c r="P37" s="15"/>
      <c r="Q37" s="15"/>
      <c r="R37" s="15"/>
      <c r="S37" s="15"/>
      <c r="T37" s="15"/>
      <c r="U37" s="15"/>
      <c r="V37" s="15"/>
      <c r="W37" s="15"/>
      <c r="X37" s="15"/>
      <c r="Y37" s="15"/>
      <c r="Z37" s="15"/>
    </row>
    <row r="38" ht="31.5" customHeight="1">
      <c r="A38" s="62" t="s">
        <v>763</v>
      </c>
      <c r="B38" s="61" t="s">
        <v>764</v>
      </c>
      <c r="C38" s="15"/>
      <c r="D38" s="15"/>
      <c r="E38" s="15"/>
      <c r="F38" s="15"/>
      <c r="G38" s="15"/>
      <c r="H38" s="15"/>
      <c r="I38" s="15"/>
      <c r="J38" s="15"/>
      <c r="K38" s="15"/>
      <c r="L38" s="15"/>
      <c r="M38" s="15"/>
      <c r="N38" s="15"/>
      <c r="O38" s="15"/>
      <c r="P38" s="15"/>
      <c r="Q38" s="15"/>
      <c r="R38" s="15"/>
      <c r="S38" s="15"/>
      <c r="T38" s="15"/>
      <c r="U38" s="15"/>
      <c r="V38" s="15"/>
      <c r="W38" s="15"/>
      <c r="X38" s="15"/>
      <c r="Y38" s="15"/>
      <c r="Z38" s="15"/>
    </row>
    <row r="39" ht="45.0" customHeight="1">
      <c r="A39" s="62" t="s">
        <v>768</v>
      </c>
      <c r="B39" s="62" t="s">
        <v>769</v>
      </c>
      <c r="C39" s="15"/>
      <c r="D39" s="15"/>
      <c r="E39" s="15"/>
      <c r="F39" s="15"/>
      <c r="G39" s="15"/>
      <c r="H39" s="15"/>
      <c r="I39" s="15"/>
      <c r="J39" s="15"/>
      <c r="K39" s="15"/>
      <c r="L39" s="15"/>
      <c r="M39" s="15"/>
      <c r="N39" s="15"/>
      <c r="O39" s="15"/>
      <c r="P39" s="15"/>
      <c r="Q39" s="15"/>
      <c r="R39" s="15"/>
      <c r="S39" s="15"/>
      <c r="T39" s="15"/>
      <c r="U39" s="15"/>
      <c r="V39" s="15"/>
      <c r="W39" s="15"/>
      <c r="X39" s="15"/>
      <c r="Y39" s="15"/>
      <c r="Z39" s="15"/>
    </row>
    <row r="40" ht="31.5" customHeight="1">
      <c r="A40" s="62" t="s">
        <v>774</v>
      </c>
      <c r="B40" s="61" t="s">
        <v>775</v>
      </c>
      <c r="C40" s="15"/>
      <c r="D40" s="15"/>
      <c r="E40" s="15"/>
      <c r="F40" s="15"/>
      <c r="G40" s="15"/>
      <c r="H40" s="15"/>
      <c r="I40" s="15"/>
      <c r="J40" s="15"/>
      <c r="K40" s="15"/>
      <c r="L40" s="15"/>
      <c r="M40" s="15"/>
      <c r="N40" s="15"/>
      <c r="O40" s="15"/>
      <c r="P40" s="15"/>
      <c r="Q40" s="15"/>
      <c r="R40" s="15"/>
      <c r="S40" s="15"/>
      <c r="T40" s="15"/>
      <c r="U40" s="15"/>
      <c r="V40" s="15"/>
      <c r="W40" s="15"/>
      <c r="X40" s="15"/>
      <c r="Y40" s="15"/>
      <c r="Z40" s="15"/>
    </row>
    <row r="41" ht="31.5" customHeight="1">
      <c r="A41" s="62" t="s">
        <v>777</v>
      </c>
      <c r="B41" s="62" t="s">
        <v>778</v>
      </c>
      <c r="C41" s="15"/>
      <c r="D41" s="15"/>
      <c r="E41" s="15"/>
      <c r="F41" s="15"/>
      <c r="G41" s="15"/>
      <c r="H41" s="15"/>
      <c r="I41" s="15"/>
      <c r="J41" s="15"/>
      <c r="K41" s="15"/>
      <c r="L41" s="15"/>
      <c r="M41" s="15"/>
      <c r="N41" s="15"/>
      <c r="O41" s="15"/>
      <c r="P41" s="15"/>
      <c r="Q41" s="15"/>
      <c r="R41" s="15"/>
      <c r="S41" s="15"/>
      <c r="T41" s="15"/>
      <c r="U41" s="15"/>
      <c r="V41" s="15"/>
      <c r="W41" s="15"/>
      <c r="X41" s="15"/>
      <c r="Y41" s="15"/>
      <c r="Z41" s="15"/>
    </row>
    <row r="42" ht="17.25" customHeight="1">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ht="17.25" customHeight="1">
      <c r="A43" s="90" t="s">
        <v>782</v>
      </c>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ht="31.5" customHeight="1">
      <c r="A44" s="12" t="s">
        <v>785</v>
      </c>
      <c r="B44" s="29" t="s">
        <v>787</v>
      </c>
      <c r="C44" s="15"/>
      <c r="D44" s="15"/>
      <c r="E44" s="15"/>
      <c r="F44" s="15"/>
      <c r="G44" s="15"/>
      <c r="H44" s="15"/>
      <c r="I44" s="15"/>
      <c r="J44" s="15"/>
      <c r="K44" s="15"/>
      <c r="L44" s="15"/>
      <c r="M44" s="15"/>
      <c r="N44" s="15"/>
      <c r="O44" s="15"/>
      <c r="P44" s="15"/>
      <c r="Q44" s="15"/>
      <c r="R44" s="15"/>
      <c r="S44" s="15"/>
      <c r="T44" s="15"/>
      <c r="U44" s="15"/>
      <c r="V44" s="15"/>
      <c r="W44" s="15"/>
      <c r="X44" s="15"/>
      <c r="Y44" s="15"/>
      <c r="Z44" s="15"/>
    </row>
    <row r="45" ht="45.0" customHeight="1">
      <c r="A45" s="12" t="s">
        <v>789</v>
      </c>
      <c r="B45" s="14" t="s">
        <v>790</v>
      </c>
      <c r="C45" s="15"/>
      <c r="D45" s="15"/>
      <c r="E45" s="15"/>
      <c r="F45" s="15"/>
      <c r="G45" s="15"/>
      <c r="H45" s="15"/>
      <c r="I45" s="15"/>
      <c r="J45" s="15"/>
      <c r="K45" s="15"/>
      <c r="L45" s="15"/>
      <c r="M45" s="15"/>
      <c r="N45" s="15"/>
      <c r="O45" s="15"/>
      <c r="P45" s="15"/>
      <c r="Q45" s="15"/>
      <c r="R45" s="15"/>
      <c r="S45" s="15"/>
      <c r="T45" s="15"/>
      <c r="U45" s="15"/>
      <c r="V45" s="15"/>
      <c r="W45" s="15"/>
      <c r="X45" s="15"/>
      <c r="Y45" s="15"/>
      <c r="Z45" s="15"/>
    </row>
    <row r="46" ht="31.5" customHeight="1">
      <c r="A46" s="12" t="s">
        <v>795</v>
      </c>
      <c r="B46" s="14" t="s">
        <v>797</v>
      </c>
      <c r="C46" s="15"/>
      <c r="D46" s="15"/>
      <c r="E46" s="15"/>
      <c r="F46" s="15"/>
      <c r="G46" s="15"/>
      <c r="H46" s="15"/>
      <c r="I46" s="15"/>
      <c r="J46" s="15"/>
      <c r="K46" s="15"/>
      <c r="L46" s="15"/>
      <c r="M46" s="15"/>
      <c r="N46" s="15"/>
      <c r="O46" s="15"/>
      <c r="P46" s="15"/>
      <c r="Q46" s="15"/>
      <c r="R46" s="15"/>
      <c r="S46" s="15"/>
      <c r="T46" s="15"/>
      <c r="U46" s="15"/>
      <c r="V46" s="15"/>
      <c r="W46" s="15"/>
      <c r="X46" s="15"/>
      <c r="Y46" s="15"/>
      <c r="Z46" s="15"/>
    </row>
    <row r="47" ht="31.5" customHeight="1">
      <c r="A47" s="12" t="s">
        <v>800</v>
      </c>
      <c r="B47" s="14" t="s">
        <v>801</v>
      </c>
      <c r="C47" s="15"/>
      <c r="D47" s="15"/>
      <c r="E47" s="15"/>
      <c r="F47" s="15"/>
      <c r="G47" s="15"/>
      <c r="H47" s="15"/>
      <c r="I47" s="15"/>
      <c r="J47" s="15"/>
      <c r="K47" s="15"/>
      <c r="L47" s="15"/>
      <c r="M47" s="15"/>
      <c r="N47" s="15"/>
      <c r="O47" s="15"/>
      <c r="P47" s="15"/>
      <c r="Q47" s="15"/>
      <c r="R47" s="15"/>
      <c r="S47" s="15"/>
      <c r="T47" s="15"/>
      <c r="U47" s="15"/>
      <c r="V47" s="15"/>
      <c r="W47" s="15"/>
      <c r="X47" s="15"/>
      <c r="Y47" s="15"/>
      <c r="Z47" s="15"/>
    </row>
    <row r="48" ht="31.5" customHeight="1">
      <c r="A48" s="12" t="s">
        <v>803</v>
      </c>
      <c r="B48" s="14" t="s">
        <v>805</v>
      </c>
      <c r="C48" s="15"/>
      <c r="D48" s="15"/>
      <c r="E48" s="15"/>
      <c r="F48" s="15"/>
      <c r="G48" s="15"/>
      <c r="H48" s="15"/>
      <c r="I48" s="15"/>
      <c r="J48" s="15"/>
      <c r="K48" s="15"/>
      <c r="L48" s="15"/>
      <c r="M48" s="15"/>
      <c r="N48" s="15"/>
      <c r="O48" s="15"/>
      <c r="P48" s="15"/>
      <c r="Q48" s="15"/>
      <c r="R48" s="15"/>
      <c r="S48" s="15"/>
      <c r="T48" s="15"/>
      <c r="U48" s="15"/>
      <c r="V48" s="15"/>
      <c r="W48" s="15"/>
      <c r="X48" s="15"/>
      <c r="Y48" s="15"/>
      <c r="Z48" s="15"/>
    </row>
    <row r="49" ht="45.0" customHeight="1">
      <c r="A49" s="12" t="s">
        <v>806</v>
      </c>
      <c r="B49" s="14" t="s">
        <v>807</v>
      </c>
      <c r="C49" s="15"/>
      <c r="D49" s="15"/>
      <c r="E49" s="15"/>
      <c r="F49" s="15"/>
      <c r="G49" s="15"/>
      <c r="H49" s="15"/>
      <c r="I49" s="15"/>
      <c r="J49" s="15"/>
      <c r="K49" s="15"/>
      <c r="L49" s="15"/>
      <c r="M49" s="15"/>
      <c r="N49" s="15"/>
      <c r="O49" s="15"/>
      <c r="P49" s="15"/>
      <c r="Q49" s="15"/>
      <c r="R49" s="15"/>
      <c r="S49" s="15"/>
      <c r="T49" s="15"/>
      <c r="U49" s="15"/>
      <c r="V49" s="15"/>
      <c r="W49" s="15"/>
      <c r="X49" s="15"/>
      <c r="Y49" s="15"/>
      <c r="Z49" s="15"/>
    </row>
    <row r="50" ht="31.5" customHeight="1">
      <c r="A50" s="12" t="s">
        <v>809</v>
      </c>
      <c r="B50" s="14" t="s">
        <v>810</v>
      </c>
      <c r="C50" s="15"/>
      <c r="D50" s="15"/>
      <c r="E50" s="15"/>
      <c r="F50" s="15"/>
      <c r="G50" s="15"/>
      <c r="H50" s="15"/>
      <c r="I50" s="15"/>
      <c r="J50" s="15"/>
      <c r="K50" s="15"/>
      <c r="L50" s="15"/>
      <c r="M50" s="15"/>
      <c r="N50" s="15"/>
      <c r="O50" s="15"/>
      <c r="P50" s="15"/>
      <c r="Q50" s="15"/>
      <c r="R50" s="15"/>
      <c r="S50" s="15"/>
      <c r="T50" s="15"/>
      <c r="U50" s="15"/>
      <c r="V50" s="15"/>
      <c r="W50" s="15"/>
      <c r="X50" s="15"/>
      <c r="Y50" s="15"/>
      <c r="Z50" s="15"/>
    </row>
    <row r="51" ht="31.5" customHeight="1">
      <c r="A51" s="12" t="s">
        <v>813</v>
      </c>
      <c r="B51" s="14" t="s">
        <v>815</v>
      </c>
      <c r="C51" s="15"/>
      <c r="D51" s="15"/>
      <c r="E51" s="15"/>
      <c r="F51" s="15"/>
      <c r="G51" s="15"/>
      <c r="H51" s="15"/>
      <c r="I51" s="15"/>
      <c r="J51" s="15"/>
      <c r="K51" s="15"/>
      <c r="L51" s="15"/>
      <c r="M51" s="15"/>
      <c r="N51" s="15"/>
      <c r="O51" s="15"/>
      <c r="P51" s="15"/>
      <c r="Q51" s="15"/>
      <c r="R51" s="15"/>
      <c r="S51" s="15"/>
      <c r="T51" s="15"/>
      <c r="U51" s="15"/>
      <c r="V51" s="15"/>
      <c r="W51" s="15"/>
      <c r="X51" s="15"/>
      <c r="Y51" s="15"/>
      <c r="Z51" s="15"/>
    </row>
    <row r="52" ht="17.25" customHeight="1">
      <c r="A52" s="12" t="s">
        <v>817</v>
      </c>
      <c r="B52" s="14" t="s">
        <v>819</v>
      </c>
      <c r="C52" s="15"/>
      <c r="D52" s="15"/>
      <c r="E52" s="15"/>
      <c r="F52" s="15"/>
      <c r="G52" s="15"/>
      <c r="H52" s="15"/>
      <c r="I52" s="15"/>
      <c r="J52" s="15"/>
      <c r="K52" s="15"/>
      <c r="L52" s="15"/>
      <c r="M52" s="15"/>
      <c r="N52" s="15"/>
      <c r="O52" s="15"/>
      <c r="P52" s="15"/>
      <c r="Q52" s="15"/>
      <c r="R52" s="15"/>
      <c r="S52" s="15"/>
      <c r="T52" s="15"/>
      <c r="U52" s="15"/>
      <c r="V52" s="15"/>
      <c r="W52" s="15"/>
      <c r="X52" s="15"/>
      <c r="Y52" s="15"/>
      <c r="Z52" s="15"/>
    </row>
    <row r="53" ht="58.5" customHeight="1">
      <c r="A53" s="12" t="s">
        <v>820</v>
      </c>
      <c r="B53" s="29" t="s">
        <v>821</v>
      </c>
      <c r="C53" s="15"/>
      <c r="D53" s="15"/>
      <c r="E53" s="15"/>
      <c r="F53" s="15"/>
      <c r="G53" s="15"/>
      <c r="H53" s="15"/>
      <c r="I53" s="15"/>
      <c r="J53" s="15"/>
      <c r="K53" s="15"/>
      <c r="L53" s="15"/>
      <c r="M53" s="15"/>
      <c r="N53" s="15"/>
      <c r="O53" s="15"/>
      <c r="P53" s="15"/>
      <c r="Q53" s="15"/>
      <c r="R53" s="15"/>
      <c r="S53" s="15"/>
      <c r="T53" s="15"/>
      <c r="U53" s="15"/>
      <c r="V53" s="15"/>
      <c r="W53" s="15"/>
      <c r="X53" s="15"/>
      <c r="Y53" s="15"/>
      <c r="Z53" s="15"/>
    </row>
    <row r="54" ht="45.0" customHeight="1">
      <c r="A54" s="12" t="s">
        <v>826</v>
      </c>
      <c r="B54" s="14" t="s">
        <v>829</v>
      </c>
      <c r="C54" s="15"/>
      <c r="D54" s="15"/>
      <c r="E54" s="15"/>
      <c r="F54" s="15"/>
      <c r="G54" s="15"/>
      <c r="H54" s="15"/>
      <c r="I54" s="15"/>
      <c r="J54" s="15"/>
      <c r="K54" s="15"/>
      <c r="L54" s="15"/>
      <c r="M54" s="15"/>
      <c r="N54" s="15"/>
      <c r="O54" s="15"/>
      <c r="P54" s="15"/>
      <c r="Q54" s="15"/>
      <c r="R54" s="15"/>
      <c r="S54" s="15"/>
      <c r="T54" s="15"/>
      <c r="U54" s="15"/>
      <c r="V54" s="15"/>
      <c r="W54" s="15"/>
      <c r="X54" s="15"/>
      <c r="Y54" s="15"/>
      <c r="Z54" s="15"/>
    </row>
    <row r="55" ht="58.5" customHeight="1">
      <c r="A55" s="12" t="s">
        <v>831</v>
      </c>
      <c r="B55" s="29" t="s">
        <v>833</v>
      </c>
      <c r="C55" s="15"/>
      <c r="D55" s="15"/>
      <c r="E55" s="15"/>
      <c r="F55" s="15"/>
      <c r="G55" s="15"/>
      <c r="H55" s="15"/>
      <c r="I55" s="15"/>
      <c r="J55" s="15"/>
      <c r="K55" s="15"/>
      <c r="L55" s="15"/>
      <c r="M55" s="15"/>
      <c r="N55" s="15"/>
      <c r="O55" s="15"/>
      <c r="P55" s="15"/>
      <c r="Q55" s="15"/>
      <c r="R55" s="15"/>
      <c r="S55" s="15"/>
      <c r="T55" s="15"/>
      <c r="U55" s="15"/>
      <c r="V55" s="15"/>
      <c r="W55" s="15"/>
      <c r="X55" s="15"/>
      <c r="Y55" s="15"/>
      <c r="Z55" s="15"/>
    </row>
    <row r="56" ht="31.5" customHeight="1">
      <c r="A56" s="12" t="s">
        <v>839</v>
      </c>
      <c r="B56" s="14" t="s">
        <v>840</v>
      </c>
      <c r="C56" s="15"/>
      <c r="D56" s="15"/>
      <c r="E56" s="15"/>
      <c r="F56" s="15"/>
      <c r="G56" s="15"/>
      <c r="H56" s="15"/>
      <c r="I56" s="15"/>
      <c r="J56" s="15"/>
      <c r="K56" s="15"/>
      <c r="L56" s="15"/>
      <c r="M56" s="15"/>
      <c r="N56" s="15"/>
      <c r="O56" s="15"/>
      <c r="P56" s="15"/>
      <c r="Q56" s="15"/>
      <c r="R56" s="15"/>
      <c r="S56" s="15"/>
      <c r="T56" s="15"/>
      <c r="U56" s="15"/>
      <c r="V56" s="15"/>
      <c r="W56" s="15"/>
      <c r="X56" s="15"/>
      <c r="Y56" s="15"/>
      <c r="Z56" s="15"/>
    </row>
    <row r="57" ht="31.5" customHeight="1">
      <c r="A57" s="90" t="s">
        <v>844</v>
      </c>
      <c r="B57" s="14" t="s">
        <v>846</v>
      </c>
      <c r="C57" s="15"/>
      <c r="D57" s="15"/>
      <c r="E57" s="15"/>
      <c r="F57" s="15"/>
      <c r="G57" s="15"/>
      <c r="H57" s="15"/>
      <c r="I57" s="15"/>
      <c r="J57" s="15"/>
      <c r="K57" s="15"/>
      <c r="L57" s="15"/>
      <c r="M57" s="15"/>
      <c r="N57" s="15"/>
      <c r="O57" s="15"/>
      <c r="P57" s="15"/>
      <c r="Q57" s="15"/>
      <c r="R57" s="15"/>
      <c r="S57" s="15"/>
      <c r="T57" s="15"/>
      <c r="U57" s="15"/>
      <c r="V57" s="15"/>
      <c r="W57" s="15"/>
      <c r="X57" s="15"/>
      <c r="Y57" s="15"/>
      <c r="Z57" s="15"/>
    </row>
    <row r="58" ht="45.0" customHeight="1">
      <c r="A58" s="90" t="s">
        <v>849</v>
      </c>
      <c r="B58" s="14" t="s">
        <v>851</v>
      </c>
      <c r="C58" s="15"/>
      <c r="D58" s="15"/>
      <c r="E58" s="15"/>
      <c r="F58" s="15"/>
      <c r="G58" s="15"/>
      <c r="H58" s="15"/>
      <c r="I58" s="15"/>
      <c r="J58" s="15"/>
      <c r="K58" s="15"/>
      <c r="L58" s="15"/>
      <c r="M58" s="15"/>
      <c r="N58" s="15"/>
      <c r="O58" s="15"/>
      <c r="P58" s="15"/>
      <c r="Q58" s="15"/>
      <c r="R58" s="15"/>
      <c r="S58" s="15"/>
      <c r="T58" s="15"/>
      <c r="U58" s="15"/>
      <c r="V58" s="15"/>
      <c r="W58" s="15"/>
      <c r="X58" s="15"/>
      <c r="Y58" s="15"/>
      <c r="Z58" s="15"/>
    </row>
    <row r="59" ht="45.0" customHeight="1">
      <c r="A59" s="90" t="s">
        <v>857</v>
      </c>
      <c r="B59" s="29" t="s">
        <v>859</v>
      </c>
      <c r="C59" s="15"/>
      <c r="D59" s="15"/>
      <c r="E59" s="15"/>
      <c r="F59" s="15"/>
      <c r="G59" s="15"/>
      <c r="H59" s="15"/>
      <c r="I59" s="15"/>
      <c r="J59" s="15"/>
      <c r="K59" s="15"/>
      <c r="L59" s="15"/>
      <c r="M59" s="15"/>
      <c r="N59" s="15"/>
      <c r="O59" s="15"/>
      <c r="P59" s="15"/>
      <c r="Q59" s="15"/>
      <c r="R59" s="15"/>
      <c r="S59" s="15"/>
      <c r="T59" s="15"/>
      <c r="U59" s="15"/>
      <c r="V59" s="15"/>
      <c r="W59" s="15"/>
      <c r="X59" s="15"/>
      <c r="Y59" s="15"/>
      <c r="Z59" s="15"/>
    </row>
    <row r="60" ht="45.0" customHeight="1">
      <c r="A60" s="90" t="s">
        <v>862</v>
      </c>
      <c r="B60" s="14" t="s">
        <v>864</v>
      </c>
      <c r="C60" s="15"/>
      <c r="D60" s="15"/>
      <c r="E60" s="15"/>
      <c r="F60" s="15"/>
      <c r="G60" s="15"/>
      <c r="H60" s="15"/>
      <c r="I60" s="15"/>
      <c r="J60" s="15"/>
      <c r="K60" s="15"/>
      <c r="L60" s="15"/>
      <c r="M60" s="15"/>
      <c r="N60" s="15"/>
      <c r="O60" s="15"/>
      <c r="P60" s="15"/>
      <c r="Q60" s="15"/>
      <c r="R60" s="15"/>
      <c r="S60" s="15"/>
      <c r="T60" s="15"/>
      <c r="U60" s="15"/>
      <c r="V60" s="15"/>
      <c r="W60" s="15"/>
      <c r="X60" s="15"/>
      <c r="Y60" s="15"/>
      <c r="Z60" s="15"/>
    </row>
    <row r="61" ht="58.5" customHeight="1">
      <c r="A61" s="90" t="s">
        <v>869</v>
      </c>
      <c r="B61" s="29" t="s">
        <v>870</v>
      </c>
      <c r="C61" s="15"/>
      <c r="D61" s="15"/>
      <c r="E61" s="15"/>
      <c r="F61" s="15"/>
      <c r="G61" s="15"/>
      <c r="H61" s="15"/>
      <c r="I61" s="15"/>
      <c r="J61" s="15"/>
      <c r="K61" s="15"/>
      <c r="L61" s="15"/>
      <c r="M61" s="15"/>
      <c r="N61" s="15"/>
      <c r="O61" s="15"/>
      <c r="P61" s="15"/>
      <c r="Q61" s="15"/>
      <c r="R61" s="15"/>
      <c r="S61" s="15"/>
      <c r="T61" s="15"/>
      <c r="U61" s="15"/>
      <c r="V61" s="15"/>
      <c r="W61" s="15"/>
      <c r="X61" s="15"/>
      <c r="Y61" s="15"/>
      <c r="Z61" s="15"/>
    </row>
    <row r="62" ht="45.0" customHeight="1">
      <c r="A62" s="90" t="s">
        <v>876</v>
      </c>
      <c r="B62" s="14" t="s">
        <v>877</v>
      </c>
      <c r="C62" s="15"/>
      <c r="D62" s="15"/>
      <c r="E62" s="15"/>
      <c r="F62" s="15"/>
      <c r="G62" s="15"/>
      <c r="H62" s="15"/>
      <c r="I62" s="15"/>
      <c r="J62" s="15"/>
      <c r="K62" s="15"/>
      <c r="L62" s="15"/>
      <c r="M62" s="15"/>
      <c r="N62" s="15"/>
      <c r="O62" s="15"/>
      <c r="P62" s="15"/>
      <c r="Q62" s="15"/>
      <c r="R62" s="15"/>
      <c r="S62" s="15"/>
      <c r="T62" s="15"/>
      <c r="U62" s="15"/>
      <c r="V62" s="15"/>
      <c r="W62" s="15"/>
      <c r="X62" s="15"/>
      <c r="Y62" s="15"/>
      <c r="Z62" s="15"/>
    </row>
    <row r="63" ht="58.5" customHeight="1">
      <c r="A63" s="90" t="s">
        <v>880</v>
      </c>
      <c r="B63" s="29" t="s">
        <v>882</v>
      </c>
      <c r="C63" s="15"/>
      <c r="D63" s="15"/>
      <c r="E63" s="15"/>
      <c r="F63" s="15"/>
      <c r="G63" s="15"/>
      <c r="H63" s="15"/>
      <c r="I63" s="15"/>
      <c r="J63" s="15"/>
      <c r="K63" s="15"/>
      <c r="L63" s="15"/>
      <c r="M63" s="15"/>
      <c r="N63" s="15"/>
      <c r="O63" s="15"/>
      <c r="P63" s="15"/>
      <c r="Q63" s="15"/>
      <c r="R63" s="15"/>
      <c r="S63" s="15"/>
      <c r="T63" s="15"/>
      <c r="U63" s="15"/>
      <c r="V63" s="15"/>
      <c r="W63" s="15"/>
      <c r="X63" s="15"/>
      <c r="Y63" s="15"/>
      <c r="Z63" s="15"/>
    </row>
    <row r="64" ht="72.75" customHeight="1">
      <c r="A64" s="90" t="s">
        <v>886</v>
      </c>
      <c r="B64" s="14" t="s">
        <v>887</v>
      </c>
      <c r="C64" s="15"/>
      <c r="D64" s="15"/>
      <c r="E64" s="15"/>
      <c r="F64" s="15"/>
      <c r="G64" s="15"/>
      <c r="H64" s="15"/>
      <c r="I64" s="15"/>
      <c r="J64" s="15"/>
      <c r="K64" s="15"/>
      <c r="L64" s="15"/>
      <c r="M64" s="15"/>
      <c r="N64" s="15"/>
      <c r="O64" s="15"/>
      <c r="P64" s="15"/>
      <c r="Q64" s="15"/>
      <c r="R64" s="15"/>
      <c r="S64" s="15"/>
      <c r="T64" s="15"/>
      <c r="U64" s="15"/>
      <c r="V64" s="15"/>
      <c r="W64" s="15"/>
      <c r="X64" s="15"/>
      <c r="Y64" s="15"/>
      <c r="Z64" s="15"/>
    </row>
    <row r="65" ht="45.0" customHeight="1">
      <c r="A65" s="90" t="s">
        <v>890</v>
      </c>
      <c r="B65" s="29" t="s">
        <v>894</v>
      </c>
      <c r="C65" s="15"/>
      <c r="D65" s="15"/>
      <c r="E65" s="15"/>
      <c r="F65" s="15"/>
      <c r="G65" s="15"/>
      <c r="H65" s="15"/>
      <c r="I65" s="15"/>
      <c r="J65" s="15"/>
      <c r="K65" s="15"/>
      <c r="L65" s="15"/>
      <c r="M65" s="15"/>
      <c r="N65" s="15"/>
      <c r="O65" s="15"/>
      <c r="P65" s="15"/>
      <c r="Q65" s="15"/>
      <c r="R65" s="15"/>
      <c r="S65" s="15"/>
      <c r="T65" s="15"/>
      <c r="U65" s="15"/>
      <c r="V65" s="15"/>
      <c r="W65" s="15"/>
      <c r="X65" s="15"/>
      <c r="Y65" s="15"/>
      <c r="Z65" s="15"/>
    </row>
    <row r="66" ht="45.0" customHeight="1">
      <c r="A66" s="90" t="s">
        <v>897</v>
      </c>
      <c r="B66" s="14" t="s">
        <v>899</v>
      </c>
      <c r="C66" s="15"/>
      <c r="D66" s="15"/>
      <c r="E66" s="15"/>
      <c r="F66" s="15"/>
      <c r="G66" s="15"/>
      <c r="H66" s="15"/>
      <c r="I66" s="15"/>
      <c r="J66" s="15"/>
      <c r="K66" s="15"/>
      <c r="L66" s="15"/>
      <c r="M66" s="15"/>
      <c r="N66" s="15"/>
      <c r="O66" s="15"/>
      <c r="P66" s="15"/>
      <c r="Q66" s="15"/>
      <c r="R66" s="15"/>
      <c r="S66" s="15"/>
      <c r="T66" s="15"/>
      <c r="U66" s="15"/>
      <c r="V66" s="15"/>
      <c r="W66" s="15"/>
      <c r="X66" s="15"/>
      <c r="Y66" s="15"/>
      <c r="Z66" s="15"/>
    </row>
    <row r="67" ht="45.0" customHeight="1">
      <c r="A67" s="90" t="s">
        <v>906</v>
      </c>
      <c r="B67" s="29" t="s">
        <v>907</v>
      </c>
      <c r="C67" s="15"/>
      <c r="D67" s="15"/>
      <c r="E67" s="15"/>
      <c r="F67" s="15"/>
      <c r="G67" s="15"/>
      <c r="H67" s="15"/>
      <c r="I67" s="15"/>
      <c r="J67" s="15"/>
      <c r="K67" s="15"/>
      <c r="L67" s="15"/>
      <c r="M67" s="15"/>
      <c r="N67" s="15"/>
      <c r="O67" s="15"/>
      <c r="P67" s="15"/>
      <c r="Q67" s="15"/>
      <c r="R67" s="15"/>
      <c r="S67" s="15"/>
      <c r="T67" s="15"/>
      <c r="U67" s="15"/>
      <c r="V67" s="15"/>
      <c r="W67" s="15"/>
      <c r="X67" s="15"/>
      <c r="Y67" s="15"/>
      <c r="Z67" s="15"/>
    </row>
    <row r="68" ht="72.75" customHeight="1">
      <c r="A68" s="90" t="s">
        <v>911</v>
      </c>
      <c r="B68" s="29" t="s">
        <v>913</v>
      </c>
      <c r="C68" s="15"/>
      <c r="D68" s="15"/>
      <c r="E68" s="15"/>
      <c r="F68" s="15"/>
      <c r="G68" s="15"/>
      <c r="H68" s="15"/>
      <c r="I68" s="15"/>
      <c r="J68" s="15"/>
      <c r="K68" s="15"/>
      <c r="L68" s="15"/>
      <c r="M68" s="15"/>
      <c r="N68" s="15"/>
      <c r="O68" s="15"/>
      <c r="P68" s="15"/>
      <c r="Q68" s="15"/>
      <c r="R68" s="15"/>
      <c r="S68" s="15"/>
      <c r="T68" s="15"/>
      <c r="U68" s="15"/>
      <c r="V68" s="15"/>
      <c r="W68" s="15"/>
      <c r="X68" s="15"/>
      <c r="Y68" s="15"/>
      <c r="Z68" s="15"/>
    </row>
    <row r="69" ht="45.0" customHeight="1">
      <c r="A69" s="90" t="s">
        <v>917</v>
      </c>
      <c r="B69" s="14" t="s">
        <v>918</v>
      </c>
      <c r="C69" s="15"/>
      <c r="D69" s="15"/>
      <c r="E69" s="15"/>
      <c r="F69" s="15"/>
      <c r="G69" s="15"/>
      <c r="H69" s="15"/>
      <c r="I69" s="15"/>
      <c r="J69" s="15"/>
      <c r="K69" s="15"/>
      <c r="L69" s="15"/>
      <c r="M69" s="15"/>
      <c r="N69" s="15"/>
      <c r="O69" s="15"/>
      <c r="P69" s="15"/>
      <c r="Q69" s="15"/>
      <c r="R69" s="15"/>
      <c r="S69" s="15"/>
      <c r="T69" s="15"/>
      <c r="U69" s="15"/>
      <c r="V69" s="15"/>
      <c r="W69" s="15"/>
      <c r="X69" s="15"/>
      <c r="Y69" s="15"/>
      <c r="Z69" s="15"/>
    </row>
    <row r="70" ht="31.5" customHeight="1">
      <c r="A70" s="90" t="s">
        <v>920</v>
      </c>
      <c r="B70" s="14" t="s">
        <v>921</v>
      </c>
      <c r="C70" s="15"/>
      <c r="D70" s="15"/>
      <c r="E70" s="15"/>
      <c r="F70" s="15"/>
      <c r="G70" s="15"/>
      <c r="H70" s="15"/>
      <c r="I70" s="15"/>
      <c r="J70" s="15"/>
      <c r="K70" s="15"/>
      <c r="L70" s="15"/>
      <c r="M70" s="15"/>
      <c r="N70" s="15"/>
      <c r="O70" s="15"/>
      <c r="P70" s="15"/>
      <c r="Q70" s="15"/>
      <c r="R70" s="15"/>
      <c r="S70" s="15"/>
      <c r="T70" s="15"/>
      <c r="U70" s="15"/>
      <c r="V70" s="15"/>
      <c r="W70" s="15"/>
      <c r="X70" s="15"/>
      <c r="Y70" s="15"/>
      <c r="Z70" s="15"/>
    </row>
    <row r="71" ht="17.25" customHeight="1">
      <c r="A71" s="90" t="s">
        <v>925</v>
      </c>
      <c r="B71" s="29" t="s">
        <v>928</v>
      </c>
      <c r="C71" s="15"/>
      <c r="D71" s="15"/>
      <c r="E71" s="15"/>
      <c r="F71" s="15"/>
      <c r="G71" s="15"/>
      <c r="H71" s="15"/>
      <c r="I71" s="15"/>
      <c r="J71" s="15"/>
      <c r="K71" s="15"/>
      <c r="L71" s="15"/>
      <c r="M71" s="15"/>
      <c r="N71" s="15"/>
      <c r="O71" s="15"/>
      <c r="P71" s="15"/>
      <c r="Q71" s="15"/>
      <c r="R71" s="15"/>
      <c r="S71" s="15"/>
      <c r="T71" s="15"/>
      <c r="U71" s="15"/>
      <c r="V71" s="15"/>
      <c r="W71" s="15"/>
      <c r="X71" s="15"/>
      <c r="Y71" s="15"/>
      <c r="Z71" s="15"/>
    </row>
    <row r="72" ht="17.25" customHeight="1">
      <c r="A72" s="90" t="s">
        <v>931</v>
      </c>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ht="45.0" customHeight="1">
      <c r="A73" s="90" t="s">
        <v>937</v>
      </c>
      <c r="B73" s="29" t="s">
        <v>938</v>
      </c>
      <c r="C73" s="15"/>
      <c r="D73" s="15"/>
      <c r="E73" s="15"/>
      <c r="F73" s="15"/>
      <c r="G73" s="15"/>
      <c r="H73" s="15"/>
      <c r="I73" s="15"/>
      <c r="J73" s="15"/>
      <c r="K73" s="15"/>
      <c r="L73" s="15"/>
      <c r="M73" s="15"/>
      <c r="N73" s="15"/>
      <c r="O73" s="15"/>
      <c r="P73" s="15"/>
      <c r="Q73" s="15"/>
      <c r="R73" s="15"/>
      <c r="S73" s="15"/>
      <c r="T73" s="15"/>
      <c r="U73" s="15"/>
      <c r="V73" s="15"/>
      <c r="W73" s="15"/>
      <c r="X73" s="15"/>
      <c r="Y73" s="15"/>
      <c r="Z73" s="15"/>
    </row>
    <row r="74" ht="45.0" customHeight="1">
      <c r="A74" s="90" t="s">
        <v>941</v>
      </c>
      <c r="B74" s="29" t="s">
        <v>942</v>
      </c>
      <c r="C74" s="15"/>
      <c r="D74" s="15"/>
      <c r="E74" s="15"/>
      <c r="F74" s="15"/>
      <c r="G74" s="15"/>
      <c r="H74" s="15"/>
      <c r="I74" s="15"/>
      <c r="J74" s="15"/>
      <c r="K74" s="15"/>
      <c r="L74" s="15"/>
      <c r="M74" s="15"/>
      <c r="N74" s="15"/>
      <c r="O74" s="15"/>
      <c r="P74" s="15"/>
      <c r="Q74" s="15"/>
      <c r="R74" s="15"/>
      <c r="S74" s="15"/>
      <c r="T74" s="15"/>
      <c r="U74" s="15"/>
      <c r="V74" s="15"/>
      <c r="W74" s="15"/>
      <c r="X74" s="15"/>
      <c r="Y74" s="15"/>
      <c r="Z74" s="15"/>
    </row>
    <row r="75" ht="45.0" customHeight="1">
      <c r="A75" s="90" t="s">
        <v>948</v>
      </c>
      <c r="B75" s="29" t="s">
        <v>949</v>
      </c>
      <c r="C75" s="15"/>
      <c r="D75" s="15"/>
      <c r="E75" s="15"/>
      <c r="F75" s="15"/>
      <c r="G75" s="15"/>
      <c r="H75" s="15"/>
      <c r="I75" s="15"/>
      <c r="J75" s="15"/>
      <c r="K75" s="15"/>
      <c r="L75" s="15"/>
      <c r="M75" s="15"/>
      <c r="N75" s="15"/>
      <c r="O75" s="15"/>
      <c r="P75" s="15"/>
      <c r="Q75" s="15"/>
      <c r="R75" s="15"/>
      <c r="S75" s="15"/>
      <c r="T75" s="15"/>
      <c r="U75" s="15"/>
      <c r="V75" s="15"/>
      <c r="W75" s="15"/>
      <c r="X75" s="15"/>
      <c r="Y75" s="15"/>
      <c r="Z75" s="15"/>
    </row>
    <row r="76" ht="45.0" customHeight="1">
      <c r="A76" s="90" t="s">
        <v>953</v>
      </c>
      <c r="B76" s="29" t="s">
        <v>955</v>
      </c>
      <c r="C76" s="15"/>
      <c r="D76" s="15"/>
      <c r="E76" s="15"/>
      <c r="F76" s="15"/>
      <c r="G76" s="15"/>
      <c r="H76" s="15"/>
      <c r="I76" s="15"/>
      <c r="J76" s="15"/>
      <c r="K76" s="15"/>
      <c r="L76" s="15"/>
      <c r="M76" s="15"/>
      <c r="N76" s="15"/>
      <c r="O76" s="15"/>
      <c r="P76" s="15"/>
      <c r="Q76" s="15"/>
      <c r="R76" s="15"/>
      <c r="S76" s="15"/>
      <c r="T76" s="15"/>
      <c r="U76" s="15"/>
      <c r="V76" s="15"/>
      <c r="W76" s="15"/>
      <c r="X76" s="15"/>
      <c r="Y76" s="15"/>
      <c r="Z76" s="15"/>
    </row>
    <row r="77" ht="58.5" customHeight="1">
      <c r="A77" s="90" t="s">
        <v>959</v>
      </c>
      <c r="B77" s="14" t="s">
        <v>961</v>
      </c>
      <c r="C77" s="15"/>
      <c r="D77" s="15"/>
      <c r="E77" s="15"/>
      <c r="F77" s="15"/>
      <c r="G77" s="15"/>
      <c r="H77" s="15"/>
      <c r="I77" s="15"/>
      <c r="J77" s="15"/>
      <c r="K77" s="15"/>
      <c r="L77" s="15"/>
      <c r="M77" s="15"/>
      <c r="N77" s="15"/>
      <c r="O77" s="15"/>
      <c r="P77" s="15"/>
      <c r="Q77" s="15"/>
      <c r="R77" s="15"/>
      <c r="S77" s="15"/>
      <c r="T77" s="15"/>
      <c r="U77" s="15"/>
      <c r="V77" s="15"/>
      <c r="W77" s="15"/>
      <c r="X77" s="15"/>
      <c r="Y77" s="15"/>
      <c r="Z77" s="15"/>
    </row>
    <row r="78" ht="58.5" customHeight="1">
      <c r="A78" s="90" t="s">
        <v>966</v>
      </c>
      <c r="B78" s="29" t="s">
        <v>969</v>
      </c>
      <c r="C78" s="15"/>
      <c r="D78" s="15"/>
      <c r="E78" s="15"/>
      <c r="F78" s="15"/>
      <c r="G78" s="15"/>
      <c r="H78" s="15"/>
      <c r="I78" s="15"/>
      <c r="J78" s="15"/>
      <c r="K78" s="15"/>
      <c r="L78" s="15"/>
      <c r="M78" s="15"/>
      <c r="N78" s="15"/>
      <c r="O78" s="15"/>
      <c r="P78" s="15"/>
      <c r="Q78" s="15"/>
      <c r="R78" s="15"/>
      <c r="S78" s="15"/>
      <c r="T78" s="15"/>
      <c r="U78" s="15"/>
      <c r="V78" s="15"/>
      <c r="W78" s="15"/>
      <c r="X78" s="15"/>
      <c r="Y78" s="15"/>
      <c r="Z78" s="15"/>
    </row>
    <row r="79" ht="86.25" customHeight="1">
      <c r="A79" s="90" t="s">
        <v>971</v>
      </c>
      <c r="B79" s="14" t="s">
        <v>972</v>
      </c>
      <c r="C79" s="15"/>
      <c r="D79" s="15"/>
      <c r="E79" s="15"/>
      <c r="F79" s="15"/>
      <c r="G79" s="15"/>
      <c r="H79" s="15"/>
      <c r="I79" s="15"/>
      <c r="J79" s="15"/>
      <c r="K79" s="15"/>
      <c r="L79" s="15"/>
      <c r="M79" s="15"/>
      <c r="N79" s="15"/>
      <c r="O79" s="15"/>
      <c r="P79" s="15"/>
      <c r="Q79" s="15"/>
      <c r="R79" s="15"/>
      <c r="S79" s="15"/>
      <c r="T79" s="15"/>
      <c r="U79" s="15"/>
      <c r="V79" s="15"/>
      <c r="W79" s="15"/>
      <c r="X79" s="15"/>
      <c r="Y79" s="15"/>
      <c r="Z79" s="15"/>
    </row>
    <row r="80" ht="72.75" customHeight="1">
      <c r="A80" s="90" t="s">
        <v>977</v>
      </c>
      <c r="B80" s="14" t="s">
        <v>978</v>
      </c>
      <c r="C80" s="15"/>
      <c r="D80" s="15"/>
      <c r="E80" s="15"/>
      <c r="F80" s="15"/>
      <c r="G80" s="15"/>
      <c r="H80" s="15"/>
      <c r="I80" s="15"/>
      <c r="J80" s="15"/>
      <c r="K80" s="15"/>
      <c r="L80" s="15"/>
      <c r="M80" s="15"/>
      <c r="N80" s="15"/>
      <c r="O80" s="15"/>
      <c r="P80" s="15"/>
      <c r="Q80" s="15"/>
      <c r="R80" s="15"/>
      <c r="S80" s="15"/>
      <c r="T80" s="15"/>
      <c r="U80" s="15"/>
      <c r="V80" s="15"/>
      <c r="W80" s="15"/>
      <c r="X80" s="15"/>
      <c r="Y80" s="15"/>
      <c r="Z80" s="15"/>
    </row>
    <row r="81" ht="58.5" customHeight="1">
      <c r="A81" s="90" t="s">
        <v>985</v>
      </c>
      <c r="B81" s="14" t="s">
        <v>986</v>
      </c>
      <c r="C81" s="15"/>
      <c r="D81" s="15"/>
      <c r="E81" s="15"/>
      <c r="F81" s="15"/>
      <c r="G81" s="15"/>
      <c r="H81" s="15"/>
      <c r="I81" s="15"/>
      <c r="J81" s="15"/>
      <c r="K81" s="15"/>
      <c r="L81" s="15"/>
      <c r="M81" s="15"/>
      <c r="N81" s="15"/>
      <c r="O81" s="15"/>
      <c r="P81" s="15"/>
      <c r="Q81" s="15"/>
      <c r="R81" s="15"/>
      <c r="S81" s="15"/>
      <c r="T81" s="15"/>
      <c r="U81" s="15"/>
      <c r="V81" s="15"/>
      <c r="W81" s="15"/>
      <c r="X81" s="15"/>
      <c r="Y81" s="15"/>
      <c r="Z81" s="15"/>
    </row>
    <row r="82" ht="58.5" customHeight="1">
      <c r="A82" s="90" t="s">
        <v>990</v>
      </c>
      <c r="B82" s="29" t="s">
        <v>991</v>
      </c>
      <c r="C82" s="15"/>
      <c r="D82" s="15"/>
      <c r="E82" s="15"/>
      <c r="F82" s="15"/>
      <c r="G82" s="15"/>
      <c r="H82" s="15"/>
      <c r="I82" s="15"/>
      <c r="J82" s="15"/>
      <c r="K82" s="15"/>
      <c r="L82" s="15"/>
      <c r="M82" s="15"/>
      <c r="N82" s="15"/>
      <c r="O82" s="15"/>
      <c r="P82" s="15"/>
      <c r="Q82" s="15"/>
      <c r="R82" s="15"/>
      <c r="S82" s="15"/>
      <c r="T82" s="15"/>
      <c r="U82" s="15"/>
      <c r="V82" s="15"/>
      <c r="W82" s="15"/>
      <c r="X82" s="15"/>
      <c r="Y82" s="15"/>
      <c r="Z82" s="15"/>
    </row>
    <row r="83" ht="72.75" customHeight="1">
      <c r="A83" s="90" t="s">
        <v>995</v>
      </c>
      <c r="B83" s="14" t="s">
        <v>997</v>
      </c>
      <c r="C83" s="15"/>
      <c r="D83" s="15"/>
      <c r="E83" s="15"/>
      <c r="F83" s="15"/>
      <c r="G83" s="15"/>
      <c r="H83" s="15"/>
      <c r="I83" s="15"/>
      <c r="J83" s="15"/>
      <c r="K83" s="15"/>
      <c r="L83" s="15"/>
      <c r="M83" s="15"/>
      <c r="N83" s="15"/>
      <c r="O83" s="15"/>
      <c r="P83" s="15"/>
      <c r="Q83" s="15"/>
      <c r="R83" s="15"/>
      <c r="S83" s="15"/>
      <c r="T83" s="15"/>
      <c r="U83" s="15"/>
      <c r="V83" s="15"/>
      <c r="W83" s="15"/>
      <c r="X83" s="15"/>
      <c r="Y83" s="15"/>
      <c r="Z83" s="15"/>
    </row>
    <row r="84" ht="31.5" customHeight="1">
      <c r="A84" s="90" t="s">
        <v>1003</v>
      </c>
      <c r="B84" s="29" t="s">
        <v>1004</v>
      </c>
      <c r="C84" s="15"/>
      <c r="D84" s="15"/>
      <c r="E84" s="15"/>
      <c r="F84" s="15"/>
      <c r="G84" s="15"/>
      <c r="H84" s="15"/>
      <c r="I84" s="15"/>
      <c r="J84" s="15"/>
      <c r="K84" s="15"/>
      <c r="L84" s="15"/>
      <c r="M84" s="15"/>
      <c r="N84" s="15"/>
      <c r="O84" s="15"/>
      <c r="P84" s="15"/>
      <c r="Q84" s="15"/>
      <c r="R84" s="15"/>
      <c r="S84" s="15"/>
      <c r="T84" s="15"/>
      <c r="U84" s="15"/>
      <c r="V84" s="15"/>
      <c r="W84" s="15"/>
      <c r="X84" s="15"/>
      <c r="Y84" s="15"/>
      <c r="Z84" s="15"/>
    </row>
    <row r="85" ht="58.5" customHeight="1">
      <c r="A85" s="90" t="s">
        <v>1008</v>
      </c>
      <c r="B85" s="14" t="s">
        <v>1010</v>
      </c>
      <c r="C85" s="15"/>
      <c r="D85" s="15"/>
      <c r="E85" s="15"/>
      <c r="F85" s="15"/>
      <c r="G85" s="15"/>
      <c r="H85" s="15"/>
      <c r="I85" s="15"/>
      <c r="J85" s="15"/>
      <c r="K85" s="15"/>
      <c r="L85" s="15"/>
      <c r="M85" s="15"/>
      <c r="N85" s="15"/>
      <c r="O85" s="15"/>
      <c r="P85" s="15"/>
      <c r="Q85" s="15"/>
      <c r="R85" s="15"/>
      <c r="S85" s="15"/>
      <c r="T85" s="15"/>
      <c r="U85" s="15"/>
      <c r="V85" s="15"/>
      <c r="W85" s="15"/>
      <c r="X85" s="15"/>
      <c r="Y85" s="15"/>
      <c r="Z85" s="15"/>
    </row>
    <row r="86" ht="31.5" customHeight="1">
      <c r="A86" s="90" t="s">
        <v>1012</v>
      </c>
      <c r="B86" s="29" t="s">
        <v>1014</v>
      </c>
      <c r="C86" s="15"/>
      <c r="D86" s="15"/>
      <c r="E86" s="15"/>
      <c r="F86" s="15"/>
      <c r="G86" s="15"/>
      <c r="H86" s="15"/>
      <c r="I86" s="15"/>
      <c r="J86" s="15"/>
      <c r="K86" s="15"/>
      <c r="L86" s="15"/>
      <c r="M86" s="15"/>
      <c r="N86" s="15"/>
      <c r="O86" s="15"/>
      <c r="P86" s="15"/>
      <c r="Q86" s="15"/>
      <c r="R86" s="15"/>
      <c r="S86" s="15"/>
      <c r="T86" s="15"/>
      <c r="U86" s="15"/>
      <c r="V86" s="15"/>
      <c r="W86" s="15"/>
      <c r="X86" s="15"/>
      <c r="Y86" s="15"/>
      <c r="Z86" s="15"/>
    </row>
    <row r="87" ht="58.5" customHeight="1">
      <c r="A87" s="90" t="s">
        <v>1020</v>
      </c>
      <c r="B87" s="29" t="s">
        <v>1021</v>
      </c>
      <c r="C87" s="15"/>
      <c r="D87" s="15"/>
      <c r="E87" s="15"/>
      <c r="F87" s="15"/>
      <c r="G87" s="15"/>
      <c r="H87" s="15"/>
      <c r="I87" s="15"/>
      <c r="J87" s="15"/>
      <c r="K87" s="15"/>
      <c r="L87" s="15"/>
      <c r="M87" s="15"/>
      <c r="N87" s="15"/>
      <c r="O87" s="15"/>
      <c r="P87" s="15"/>
      <c r="Q87" s="15"/>
      <c r="R87" s="15"/>
      <c r="S87" s="15"/>
      <c r="T87" s="15"/>
      <c r="U87" s="15"/>
      <c r="V87" s="15"/>
      <c r="W87" s="15"/>
      <c r="X87" s="15"/>
      <c r="Y87" s="15"/>
      <c r="Z87" s="15"/>
    </row>
    <row r="88" ht="58.5" customHeight="1">
      <c r="A88" s="90" t="s">
        <v>1025</v>
      </c>
      <c r="B88" s="29" t="s">
        <v>1028</v>
      </c>
      <c r="C88" s="15"/>
      <c r="D88" s="15"/>
      <c r="E88" s="15"/>
      <c r="F88" s="15"/>
      <c r="G88" s="15"/>
      <c r="H88" s="15"/>
      <c r="I88" s="15"/>
      <c r="J88" s="15"/>
      <c r="K88" s="15"/>
      <c r="L88" s="15"/>
      <c r="M88" s="15"/>
      <c r="N88" s="15"/>
      <c r="O88" s="15"/>
      <c r="P88" s="15"/>
      <c r="Q88" s="15"/>
      <c r="R88" s="15"/>
      <c r="S88" s="15"/>
      <c r="T88" s="15"/>
      <c r="U88" s="15"/>
      <c r="V88" s="15"/>
      <c r="W88" s="15"/>
      <c r="X88" s="15"/>
      <c r="Y88" s="15"/>
      <c r="Z88" s="15"/>
    </row>
    <row r="89" ht="58.5" customHeight="1">
      <c r="A89" s="90" t="s">
        <v>1032</v>
      </c>
      <c r="B89" s="29" t="s">
        <v>1034</v>
      </c>
      <c r="C89" s="15"/>
      <c r="D89" s="15"/>
      <c r="E89" s="15"/>
      <c r="F89" s="15"/>
      <c r="G89" s="15"/>
      <c r="H89" s="15"/>
      <c r="I89" s="15"/>
      <c r="J89" s="15"/>
      <c r="K89" s="15"/>
      <c r="L89" s="15"/>
      <c r="M89" s="15"/>
      <c r="N89" s="15"/>
      <c r="O89" s="15"/>
      <c r="P89" s="15"/>
      <c r="Q89" s="15"/>
      <c r="R89" s="15"/>
      <c r="S89" s="15"/>
      <c r="T89" s="15"/>
      <c r="U89" s="15"/>
      <c r="V89" s="15"/>
      <c r="W89" s="15"/>
      <c r="X89" s="15"/>
      <c r="Y89" s="15"/>
      <c r="Z89" s="15"/>
    </row>
    <row r="90" ht="58.5" customHeight="1">
      <c r="A90" s="90" t="s">
        <v>1039</v>
      </c>
      <c r="B90" s="29" t="s">
        <v>1040</v>
      </c>
      <c r="C90" s="15"/>
      <c r="D90" s="15"/>
      <c r="E90" s="15"/>
      <c r="F90" s="15"/>
      <c r="G90" s="15"/>
      <c r="H90" s="15"/>
      <c r="I90" s="15"/>
      <c r="J90" s="15"/>
      <c r="K90" s="15"/>
      <c r="L90" s="15"/>
      <c r="M90" s="15"/>
      <c r="N90" s="15"/>
      <c r="O90" s="15"/>
      <c r="P90" s="15"/>
      <c r="Q90" s="15"/>
      <c r="R90" s="15"/>
      <c r="S90" s="15"/>
      <c r="T90" s="15"/>
      <c r="U90" s="15"/>
      <c r="V90" s="15"/>
      <c r="W90" s="15"/>
      <c r="X90" s="15"/>
      <c r="Y90" s="15"/>
      <c r="Z90" s="15"/>
    </row>
    <row r="91" ht="58.5" customHeight="1">
      <c r="A91" s="90" t="s">
        <v>1042</v>
      </c>
      <c r="B91" s="29" t="s">
        <v>1043</v>
      </c>
      <c r="C91" s="15"/>
      <c r="D91" s="15"/>
      <c r="E91" s="15"/>
      <c r="F91" s="15"/>
      <c r="G91" s="15"/>
      <c r="H91" s="15"/>
      <c r="I91" s="15"/>
      <c r="J91" s="15"/>
      <c r="K91" s="15"/>
      <c r="L91" s="15"/>
      <c r="M91" s="15"/>
      <c r="N91" s="15"/>
      <c r="O91" s="15"/>
      <c r="P91" s="15"/>
      <c r="Q91" s="15"/>
      <c r="R91" s="15"/>
      <c r="S91" s="15"/>
      <c r="T91" s="15"/>
      <c r="U91" s="15"/>
      <c r="V91" s="15"/>
      <c r="W91" s="15"/>
      <c r="X91" s="15"/>
      <c r="Y91" s="15"/>
      <c r="Z91" s="15"/>
    </row>
    <row r="92" ht="45.0" customHeight="1">
      <c r="A92" s="90" t="s">
        <v>1045</v>
      </c>
      <c r="B92" s="29" t="s">
        <v>1046</v>
      </c>
      <c r="C92" s="15"/>
      <c r="D92" s="15"/>
      <c r="E92" s="15"/>
      <c r="F92" s="15"/>
      <c r="G92" s="15"/>
      <c r="H92" s="15"/>
      <c r="I92" s="15"/>
      <c r="J92" s="15"/>
      <c r="K92" s="15"/>
      <c r="L92" s="15"/>
      <c r="M92" s="15"/>
      <c r="N92" s="15"/>
      <c r="O92" s="15"/>
      <c r="P92" s="15"/>
      <c r="Q92" s="15"/>
      <c r="R92" s="15"/>
      <c r="S92" s="15"/>
      <c r="T92" s="15"/>
      <c r="U92" s="15"/>
      <c r="V92" s="15"/>
      <c r="W92" s="15"/>
      <c r="X92" s="15"/>
      <c r="Y92" s="15"/>
      <c r="Z92" s="15"/>
    </row>
    <row r="93" ht="45.0" customHeight="1">
      <c r="A93" s="90" t="s">
        <v>1048</v>
      </c>
      <c r="B93" s="29" t="s">
        <v>1049</v>
      </c>
      <c r="C93" s="15"/>
      <c r="D93" s="15"/>
      <c r="E93" s="15"/>
      <c r="F93" s="15"/>
      <c r="G93" s="15"/>
      <c r="H93" s="15"/>
      <c r="I93" s="15"/>
      <c r="J93" s="15"/>
      <c r="K93" s="15"/>
      <c r="L93" s="15"/>
      <c r="M93" s="15"/>
      <c r="N93" s="15"/>
      <c r="O93" s="15"/>
      <c r="P93" s="15"/>
      <c r="Q93" s="15"/>
      <c r="R93" s="15"/>
      <c r="S93" s="15"/>
      <c r="T93" s="15"/>
      <c r="U93" s="15"/>
      <c r="V93" s="15"/>
      <c r="W93" s="15"/>
      <c r="X93" s="15"/>
      <c r="Y93" s="15"/>
      <c r="Z93" s="15"/>
    </row>
    <row r="94" ht="45.0" customHeight="1">
      <c r="A94" s="90" t="s">
        <v>1054</v>
      </c>
      <c r="B94" s="29" t="s">
        <v>1055</v>
      </c>
      <c r="C94" s="15"/>
      <c r="D94" s="15"/>
      <c r="E94" s="15"/>
      <c r="F94" s="15"/>
      <c r="G94" s="15"/>
      <c r="H94" s="15"/>
      <c r="I94" s="15"/>
      <c r="J94" s="15"/>
      <c r="K94" s="15"/>
      <c r="L94" s="15"/>
      <c r="M94" s="15"/>
      <c r="N94" s="15"/>
      <c r="O94" s="15"/>
      <c r="P94" s="15"/>
      <c r="Q94" s="15"/>
      <c r="R94" s="15"/>
      <c r="S94" s="15"/>
      <c r="T94" s="15"/>
      <c r="U94" s="15"/>
      <c r="V94" s="15"/>
      <c r="W94" s="15"/>
      <c r="X94" s="15"/>
      <c r="Y94" s="15"/>
      <c r="Z94" s="15"/>
    </row>
    <row r="95" ht="114.0" customHeight="1">
      <c r="A95" s="90" t="s">
        <v>1057</v>
      </c>
      <c r="B95" s="29" t="s">
        <v>1058</v>
      </c>
      <c r="C95" s="15"/>
      <c r="D95" s="15"/>
      <c r="E95" s="15"/>
      <c r="F95" s="15"/>
      <c r="G95" s="15"/>
      <c r="H95" s="15"/>
      <c r="I95" s="15"/>
      <c r="J95" s="15"/>
      <c r="K95" s="15"/>
      <c r="L95" s="15"/>
      <c r="M95" s="15"/>
      <c r="N95" s="15"/>
      <c r="O95" s="15"/>
      <c r="P95" s="15"/>
      <c r="Q95" s="15"/>
      <c r="R95" s="15"/>
      <c r="S95" s="15"/>
      <c r="T95" s="15"/>
      <c r="U95" s="15"/>
      <c r="V95" s="15"/>
      <c r="W95" s="15"/>
      <c r="X95" s="15"/>
      <c r="Y95" s="15"/>
      <c r="Z95" s="15"/>
    </row>
    <row r="96" ht="72.75" customHeight="1">
      <c r="A96" s="90" t="s">
        <v>1064</v>
      </c>
      <c r="B96" s="29" t="s">
        <v>1066</v>
      </c>
      <c r="C96" s="15"/>
      <c r="D96" s="15"/>
      <c r="E96" s="15"/>
      <c r="F96" s="15"/>
      <c r="G96" s="15"/>
      <c r="H96" s="15"/>
      <c r="I96" s="15"/>
      <c r="J96" s="15"/>
      <c r="K96" s="15"/>
      <c r="L96" s="15"/>
      <c r="M96" s="15"/>
      <c r="N96" s="15"/>
      <c r="O96" s="15"/>
      <c r="P96" s="15"/>
      <c r="Q96" s="15"/>
      <c r="R96" s="15"/>
      <c r="S96" s="15"/>
      <c r="T96" s="15"/>
      <c r="U96" s="15"/>
      <c r="V96" s="15"/>
      <c r="W96" s="15"/>
      <c r="X96" s="15"/>
      <c r="Y96" s="15"/>
      <c r="Z96" s="15"/>
    </row>
    <row r="97" ht="72.75" customHeight="1">
      <c r="A97" s="90" t="s">
        <v>1073</v>
      </c>
      <c r="B97" s="29" t="s">
        <v>1074</v>
      </c>
      <c r="C97" s="15"/>
      <c r="D97" s="15"/>
      <c r="E97" s="15"/>
      <c r="F97" s="15"/>
      <c r="G97" s="15"/>
      <c r="H97" s="15"/>
      <c r="I97" s="15"/>
      <c r="J97" s="15"/>
      <c r="K97" s="15"/>
      <c r="L97" s="15"/>
      <c r="M97" s="15"/>
      <c r="N97" s="15"/>
      <c r="O97" s="15"/>
      <c r="P97" s="15"/>
      <c r="Q97" s="15"/>
      <c r="R97" s="15"/>
      <c r="S97" s="15"/>
      <c r="T97" s="15"/>
      <c r="U97" s="15"/>
      <c r="V97" s="15"/>
      <c r="W97" s="15"/>
      <c r="X97" s="15"/>
      <c r="Y97" s="15"/>
      <c r="Z97" s="15"/>
    </row>
    <row r="98" ht="58.5" customHeight="1">
      <c r="A98" s="90" t="s">
        <v>1076</v>
      </c>
      <c r="B98" s="29" t="s">
        <v>1077</v>
      </c>
      <c r="C98" s="15"/>
      <c r="D98" s="15"/>
      <c r="E98" s="15"/>
      <c r="F98" s="15"/>
      <c r="G98" s="15"/>
      <c r="H98" s="15"/>
      <c r="I98" s="15"/>
      <c r="J98" s="15"/>
      <c r="K98" s="15"/>
      <c r="L98" s="15"/>
      <c r="M98" s="15"/>
      <c r="N98" s="15"/>
      <c r="O98" s="15"/>
      <c r="P98" s="15"/>
      <c r="Q98" s="15"/>
      <c r="R98" s="15"/>
      <c r="S98" s="15"/>
      <c r="T98" s="15"/>
      <c r="U98" s="15"/>
      <c r="V98" s="15"/>
      <c r="W98" s="15"/>
      <c r="X98" s="15"/>
      <c r="Y98" s="15"/>
      <c r="Z98" s="15"/>
    </row>
    <row r="99" ht="72.75" customHeight="1">
      <c r="A99" s="90" t="s">
        <v>1083</v>
      </c>
      <c r="B99" s="29" t="s">
        <v>1086</v>
      </c>
      <c r="C99" s="15"/>
      <c r="D99" s="15"/>
      <c r="E99" s="15"/>
      <c r="F99" s="15"/>
      <c r="G99" s="15"/>
      <c r="H99" s="15"/>
      <c r="I99" s="15"/>
      <c r="J99" s="15"/>
      <c r="K99" s="15"/>
      <c r="L99" s="15"/>
      <c r="M99" s="15"/>
      <c r="N99" s="15"/>
      <c r="O99" s="15"/>
      <c r="P99" s="15"/>
      <c r="Q99" s="15"/>
      <c r="R99" s="15"/>
      <c r="S99" s="15"/>
      <c r="T99" s="15"/>
      <c r="U99" s="15"/>
      <c r="V99" s="15"/>
      <c r="W99" s="15"/>
      <c r="X99" s="15"/>
      <c r="Y99" s="15"/>
      <c r="Z99" s="15"/>
    </row>
    <row r="100" ht="15.75" customHeight="1">
      <c r="A100" s="84"/>
      <c r="B100" s="84"/>
      <c r="C100" s="84"/>
      <c r="D100" s="84"/>
      <c r="E100" s="84"/>
      <c r="F100" s="84"/>
      <c r="G100" s="84"/>
      <c r="H100" s="84"/>
      <c r="I100" s="84"/>
      <c r="J100" s="84"/>
      <c r="K100" s="84"/>
      <c r="L100" s="84"/>
      <c r="M100" s="84"/>
      <c r="N100" s="84"/>
      <c r="O100" s="84"/>
      <c r="P100" s="84"/>
      <c r="Q100" s="84"/>
      <c r="R100" s="84"/>
      <c r="S100" s="84"/>
      <c r="T100" s="84"/>
      <c r="U100" s="84"/>
      <c r="V100" s="84"/>
      <c r="W100" s="84"/>
      <c r="X100" s="84"/>
      <c r="Y100" s="84"/>
      <c r="Z100" s="84"/>
    </row>
    <row r="101" ht="15.75" customHeight="1">
      <c r="A101" s="84" t="s">
        <v>1091</v>
      </c>
      <c r="B101" s="84"/>
      <c r="C101" s="84"/>
      <c r="D101" s="84"/>
      <c r="E101" s="84"/>
      <c r="F101" s="84"/>
      <c r="G101" s="84"/>
      <c r="H101" s="84"/>
      <c r="I101" s="84"/>
      <c r="J101" s="84"/>
      <c r="K101" s="84"/>
      <c r="L101" s="84"/>
      <c r="M101" s="84"/>
      <c r="N101" s="84"/>
      <c r="O101" s="84"/>
      <c r="P101" s="84"/>
      <c r="Q101" s="84"/>
      <c r="R101" s="84"/>
      <c r="S101" s="84"/>
      <c r="T101" s="84"/>
      <c r="U101" s="84"/>
      <c r="V101" s="84"/>
      <c r="W101" s="84"/>
      <c r="X101" s="84"/>
      <c r="Y101" s="84"/>
      <c r="Z101" s="84"/>
    </row>
    <row r="102" ht="15.75" customHeight="1">
      <c r="A102" s="84" t="s">
        <v>1096</v>
      </c>
      <c r="B102" s="84" t="s">
        <v>1097</v>
      </c>
      <c r="C102" s="84"/>
      <c r="D102" s="84"/>
      <c r="E102" s="84"/>
      <c r="F102" s="84"/>
      <c r="G102" s="84"/>
      <c r="H102" s="84"/>
      <c r="I102" s="84"/>
      <c r="J102" s="84"/>
      <c r="K102" s="84"/>
      <c r="L102" s="84"/>
      <c r="M102" s="84"/>
      <c r="N102" s="84"/>
      <c r="O102" s="84"/>
      <c r="P102" s="84"/>
      <c r="Q102" s="84"/>
      <c r="R102" s="84"/>
      <c r="S102" s="84"/>
      <c r="T102" s="84"/>
      <c r="U102" s="84"/>
      <c r="V102" s="84"/>
      <c r="W102" s="84"/>
      <c r="X102" s="84"/>
      <c r="Y102" s="84"/>
      <c r="Z102" s="84"/>
    </row>
    <row r="103" ht="15.75" customHeight="1">
      <c r="A103" s="84" t="s">
        <v>1099</v>
      </c>
      <c r="B103" s="84" t="s">
        <v>1100</v>
      </c>
      <c r="C103" s="84"/>
      <c r="D103" s="84"/>
      <c r="E103" s="84"/>
      <c r="F103" s="84"/>
      <c r="G103" s="84"/>
      <c r="H103" s="84"/>
      <c r="I103" s="84"/>
      <c r="J103" s="84"/>
      <c r="K103" s="84"/>
      <c r="L103" s="84"/>
      <c r="M103" s="84"/>
      <c r="N103" s="84"/>
      <c r="O103" s="84"/>
      <c r="P103" s="84"/>
      <c r="Q103" s="84"/>
      <c r="R103" s="84"/>
      <c r="S103" s="84"/>
      <c r="T103" s="84"/>
      <c r="U103" s="84"/>
      <c r="V103" s="84"/>
      <c r="W103" s="84"/>
      <c r="X103" s="84"/>
      <c r="Y103" s="84"/>
      <c r="Z103" s="84"/>
    </row>
    <row r="104" ht="15.75" customHeight="1">
      <c r="A104" s="84" t="s">
        <v>1107</v>
      </c>
      <c r="B104" s="84" t="s">
        <v>1108</v>
      </c>
      <c r="C104" s="84"/>
      <c r="D104" s="84"/>
      <c r="E104" s="84"/>
      <c r="F104" s="84"/>
      <c r="G104" s="84"/>
      <c r="H104" s="84"/>
      <c r="I104" s="84"/>
      <c r="J104" s="84"/>
      <c r="K104" s="84"/>
      <c r="L104" s="84"/>
      <c r="M104" s="84"/>
      <c r="N104" s="84"/>
      <c r="O104" s="84"/>
      <c r="P104" s="84"/>
      <c r="Q104" s="84"/>
      <c r="R104" s="84"/>
      <c r="S104" s="84"/>
      <c r="T104" s="84"/>
      <c r="U104" s="84"/>
      <c r="V104" s="84"/>
      <c r="W104" s="84"/>
      <c r="X104" s="84"/>
      <c r="Y104" s="84"/>
      <c r="Z104" s="84"/>
    </row>
    <row r="105" ht="15.75" customHeight="1">
      <c r="A105" s="84" t="s">
        <v>1112</v>
      </c>
      <c r="B105" s="84" t="s">
        <v>1113</v>
      </c>
      <c r="C105" s="84"/>
      <c r="D105" s="84"/>
      <c r="E105" s="84"/>
      <c r="F105" s="84"/>
      <c r="G105" s="84"/>
      <c r="H105" s="84"/>
      <c r="I105" s="84"/>
      <c r="J105" s="84"/>
      <c r="K105" s="84"/>
      <c r="L105" s="84"/>
      <c r="M105" s="84"/>
      <c r="N105" s="84"/>
      <c r="O105" s="84"/>
      <c r="P105" s="84"/>
      <c r="Q105" s="84"/>
      <c r="R105" s="84"/>
      <c r="S105" s="84"/>
      <c r="T105" s="84"/>
      <c r="U105" s="84"/>
      <c r="V105" s="84"/>
      <c r="W105" s="84"/>
      <c r="X105" s="84"/>
      <c r="Y105" s="84"/>
      <c r="Z105" s="84"/>
    </row>
    <row r="106" ht="15.75" customHeight="1">
      <c r="A106" s="84" t="s">
        <v>1117</v>
      </c>
      <c r="B106" s="84" t="s">
        <v>1118</v>
      </c>
      <c r="C106" s="84"/>
      <c r="D106" s="84"/>
      <c r="E106" s="84"/>
      <c r="F106" s="84"/>
      <c r="G106" s="84"/>
      <c r="H106" s="84"/>
      <c r="I106" s="84"/>
      <c r="J106" s="84"/>
      <c r="K106" s="84"/>
      <c r="L106" s="84"/>
      <c r="M106" s="84"/>
      <c r="N106" s="84"/>
      <c r="O106" s="84"/>
      <c r="P106" s="84"/>
      <c r="Q106" s="84"/>
      <c r="R106" s="84"/>
      <c r="S106" s="84"/>
      <c r="T106" s="84"/>
      <c r="U106" s="84"/>
      <c r="V106" s="84"/>
      <c r="W106" s="84"/>
      <c r="X106" s="84"/>
      <c r="Y106" s="84"/>
      <c r="Z106" s="84"/>
    </row>
    <row r="107" ht="15.75" customHeight="1">
      <c r="A107" s="84" t="s">
        <v>1125</v>
      </c>
      <c r="B107" s="84" t="s">
        <v>1126</v>
      </c>
      <c r="C107" s="84"/>
      <c r="D107" s="84"/>
      <c r="E107" s="84"/>
      <c r="F107" s="84"/>
      <c r="G107" s="84"/>
      <c r="H107" s="84"/>
      <c r="I107" s="84"/>
      <c r="J107" s="84"/>
      <c r="K107" s="84"/>
      <c r="L107" s="84"/>
      <c r="M107" s="84"/>
      <c r="N107" s="84"/>
      <c r="O107" s="84"/>
      <c r="P107" s="84"/>
      <c r="Q107" s="84"/>
      <c r="R107" s="84"/>
      <c r="S107" s="84"/>
      <c r="T107" s="84"/>
      <c r="U107" s="84"/>
      <c r="V107" s="84"/>
      <c r="W107" s="84"/>
      <c r="X107" s="84"/>
      <c r="Y107" s="84"/>
      <c r="Z107" s="84"/>
    </row>
    <row r="108" ht="15.75" customHeight="1">
      <c r="A108" s="84" t="s">
        <v>1134</v>
      </c>
      <c r="B108" s="84" t="s">
        <v>1135</v>
      </c>
      <c r="C108" s="84"/>
      <c r="D108" s="84"/>
      <c r="E108" s="84"/>
      <c r="F108" s="84"/>
      <c r="G108" s="84"/>
      <c r="H108" s="84"/>
      <c r="I108" s="84"/>
      <c r="J108" s="84"/>
      <c r="K108" s="84"/>
      <c r="L108" s="84"/>
      <c r="M108" s="84"/>
      <c r="N108" s="84"/>
      <c r="O108" s="84"/>
      <c r="P108" s="84"/>
      <c r="Q108" s="84"/>
      <c r="R108" s="84"/>
      <c r="S108" s="84"/>
      <c r="T108" s="84"/>
      <c r="U108" s="84"/>
      <c r="V108" s="84"/>
      <c r="W108" s="84"/>
      <c r="X108" s="84"/>
      <c r="Y108" s="84"/>
      <c r="Z108" s="84"/>
    </row>
    <row r="109" ht="15.75" customHeight="1">
      <c r="A109" s="84" t="s">
        <v>1137</v>
      </c>
      <c r="B109" s="84" t="s">
        <v>1140</v>
      </c>
      <c r="C109" s="84"/>
      <c r="D109" s="84"/>
      <c r="E109" s="84"/>
      <c r="F109" s="84"/>
      <c r="G109" s="84"/>
      <c r="H109" s="84"/>
      <c r="I109" s="84"/>
      <c r="J109" s="84"/>
      <c r="K109" s="84"/>
      <c r="L109" s="84"/>
      <c r="M109" s="84"/>
      <c r="N109" s="84"/>
      <c r="O109" s="84"/>
      <c r="P109" s="84"/>
      <c r="Q109" s="84"/>
      <c r="R109" s="84"/>
      <c r="S109" s="84"/>
      <c r="T109" s="84"/>
      <c r="U109" s="84"/>
      <c r="V109" s="84"/>
      <c r="W109" s="84"/>
      <c r="X109" s="84"/>
      <c r="Y109" s="84"/>
      <c r="Z109" s="84"/>
    </row>
    <row r="110" ht="15.75" customHeight="1">
      <c r="A110" s="84" t="s">
        <v>1144</v>
      </c>
      <c r="B110" s="84" t="s">
        <v>1146</v>
      </c>
      <c r="C110" s="84"/>
      <c r="D110" s="84"/>
      <c r="E110" s="84"/>
      <c r="F110" s="84"/>
      <c r="G110" s="84"/>
      <c r="H110" s="84"/>
      <c r="I110" s="84"/>
      <c r="J110" s="84"/>
      <c r="K110" s="84"/>
      <c r="L110" s="84"/>
      <c r="M110" s="84"/>
      <c r="N110" s="84"/>
      <c r="O110" s="84"/>
      <c r="P110" s="84"/>
      <c r="Q110" s="84"/>
      <c r="R110" s="84"/>
      <c r="S110" s="84"/>
      <c r="T110" s="84"/>
      <c r="U110" s="84"/>
      <c r="V110" s="84"/>
      <c r="W110" s="84"/>
      <c r="X110" s="84"/>
      <c r="Y110" s="84"/>
      <c r="Z110" s="84"/>
    </row>
    <row r="111" ht="15.75" customHeight="1">
      <c r="A111" s="84" t="s">
        <v>1153</v>
      </c>
      <c r="B111" s="84" t="s">
        <v>1154</v>
      </c>
      <c r="C111" s="84"/>
      <c r="D111" s="84"/>
      <c r="E111" s="84"/>
      <c r="F111" s="84"/>
      <c r="G111" s="84"/>
      <c r="H111" s="84"/>
      <c r="I111" s="84"/>
      <c r="J111" s="84"/>
      <c r="K111" s="84"/>
      <c r="L111" s="84"/>
      <c r="M111" s="84"/>
      <c r="N111" s="84"/>
      <c r="O111" s="84"/>
      <c r="P111" s="84"/>
      <c r="Q111" s="84"/>
      <c r="R111" s="84"/>
      <c r="S111" s="84"/>
      <c r="T111" s="84"/>
      <c r="U111" s="84"/>
      <c r="V111" s="84"/>
      <c r="W111" s="84"/>
      <c r="X111" s="84"/>
      <c r="Y111" s="84"/>
      <c r="Z111" s="84"/>
    </row>
    <row r="112" ht="15.75" customHeight="1">
      <c r="A112" s="84"/>
      <c r="B112" s="84"/>
      <c r="C112" s="84"/>
      <c r="D112" s="84"/>
      <c r="E112" s="84"/>
      <c r="F112" s="84"/>
      <c r="G112" s="84"/>
      <c r="H112" s="84"/>
      <c r="I112" s="84"/>
      <c r="J112" s="84"/>
      <c r="K112" s="84"/>
      <c r="L112" s="84"/>
      <c r="M112" s="84"/>
      <c r="N112" s="84"/>
      <c r="O112" s="84"/>
      <c r="P112" s="84"/>
      <c r="Q112" s="84"/>
      <c r="R112" s="84"/>
      <c r="S112" s="84"/>
      <c r="T112" s="84"/>
      <c r="U112" s="84"/>
      <c r="V112" s="84"/>
      <c r="W112" s="84"/>
      <c r="X112" s="84"/>
      <c r="Y112" s="84"/>
      <c r="Z112" s="84"/>
    </row>
    <row r="113" ht="15.75" customHeight="1">
      <c r="A113" s="84" t="s">
        <v>1164</v>
      </c>
      <c r="B113" s="84"/>
      <c r="C113" s="84"/>
      <c r="D113" s="84"/>
      <c r="E113" s="84"/>
      <c r="F113" s="84"/>
      <c r="G113" s="84"/>
      <c r="H113" s="84"/>
      <c r="I113" s="84"/>
      <c r="J113" s="84"/>
      <c r="K113" s="84"/>
      <c r="L113" s="84"/>
      <c r="M113" s="84"/>
      <c r="N113" s="84"/>
      <c r="O113" s="84"/>
      <c r="P113" s="84"/>
      <c r="Q113" s="84"/>
      <c r="R113" s="84"/>
      <c r="S113" s="84"/>
      <c r="T113" s="84"/>
      <c r="U113" s="84"/>
      <c r="V113" s="84"/>
      <c r="W113" s="84"/>
      <c r="X113" s="84"/>
      <c r="Y113" s="84"/>
      <c r="Z113" s="84"/>
    </row>
    <row r="114" ht="15.75" customHeight="1">
      <c r="A114" s="84" t="s">
        <v>1166</v>
      </c>
      <c r="B114" s="84" t="s">
        <v>1169</v>
      </c>
      <c r="C114" s="84"/>
      <c r="D114" s="84"/>
      <c r="E114" s="84"/>
      <c r="F114" s="84"/>
      <c r="G114" s="84"/>
      <c r="H114" s="84"/>
      <c r="I114" s="84"/>
      <c r="J114" s="84"/>
      <c r="K114" s="84"/>
      <c r="L114" s="84"/>
      <c r="M114" s="84"/>
      <c r="N114" s="84"/>
      <c r="O114" s="84"/>
      <c r="P114" s="84"/>
      <c r="Q114" s="84"/>
      <c r="R114" s="84"/>
      <c r="S114" s="84"/>
      <c r="T114" s="84"/>
      <c r="U114" s="84"/>
      <c r="V114" s="84"/>
      <c r="W114" s="84"/>
      <c r="X114" s="84"/>
      <c r="Y114" s="84"/>
      <c r="Z114" s="84"/>
    </row>
    <row r="115" ht="15.75" customHeight="1">
      <c r="A115" s="84" t="s">
        <v>1174</v>
      </c>
      <c r="B115" s="84" t="s">
        <v>1175</v>
      </c>
      <c r="C115" s="84"/>
      <c r="D115" s="84"/>
      <c r="E115" s="84"/>
      <c r="F115" s="84"/>
      <c r="G115" s="84"/>
      <c r="H115" s="84"/>
      <c r="I115" s="84"/>
      <c r="J115" s="84"/>
      <c r="K115" s="84"/>
      <c r="L115" s="84"/>
      <c r="M115" s="84"/>
      <c r="N115" s="84"/>
      <c r="O115" s="84"/>
      <c r="P115" s="84"/>
      <c r="Q115" s="84"/>
      <c r="R115" s="84"/>
      <c r="S115" s="84"/>
      <c r="T115" s="84"/>
      <c r="U115" s="84"/>
      <c r="V115" s="84"/>
      <c r="W115" s="84"/>
      <c r="X115" s="84"/>
      <c r="Y115" s="84"/>
      <c r="Z115" s="84"/>
    </row>
    <row r="116" ht="15.75" customHeight="1">
      <c r="A116" s="84" t="s">
        <v>1182</v>
      </c>
      <c r="B116" s="84" t="s">
        <v>1184</v>
      </c>
      <c r="C116" s="84"/>
      <c r="D116" s="84"/>
      <c r="E116" s="84"/>
      <c r="F116" s="84"/>
      <c r="G116" s="84"/>
      <c r="H116" s="84"/>
      <c r="I116" s="84"/>
      <c r="J116" s="84"/>
      <c r="K116" s="84"/>
      <c r="L116" s="84"/>
      <c r="M116" s="84"/>
      <c r="N116" s="84"/>
      <c r="O116" s="84"/>
      <c r="P116" s="84"/>
      <c r="Q116" s="84"/>
      <c r="R116" s="84"/>
      <c r="S116" s="84"/>
      <c r="T116" s="84"/>
      <c r="U116" s="84"/>
      <c r="V116" s="84"/>
      <c r="W116" s="84"/>
      <c r="X116" s="84"/>
      <c r="Y116" s="84"/>
      <c r="Z116" s="84"/>
    </row>
    <row r="117" ht="15.75" customHeight="1">
      <c r="A117" s="84" t="s">
        <v>1186</v>
      </c>
      <c r="B117" s="84" t="s">
        <v>1187</v>
      </c>
      <c r="C117" s="84"/>
      <c r="D117" s="84"/>
      <c r="E117" s="84"/>
      <c r="F117" s="84"/>
      <c r="G117" s="84"/>
      <c r="H117" s="84"/>
      <c r="I117" s="84"/>
      <c r="J117" s="84"/>
      <c r="K117" s="84"/>
      <c r="L117" s="84"/>
      <c r="M117" s="84"/>
      <c r="N117" s="84"/>
      <c r="O117" s="84"/>
      <c r="P117" s="84"/>
      <c r="Q117" s="84"/>
      <c r="R117" s="84"/>
      <c r="S117" s="84"/>
      <c r="T117" s="84"/>
      <c r="U117" s="84"/>
      <c r="V117" s="84"/>
      <c r="W117" s="84"/>
      <c r="X117" s="84"/>
      <c r="Y117" s="84"/>
      <c r="Z117" s="84"/>
    </row>
    <row r="118" ht="15.75" customHeight="1">
      <c r="A118" s="84" t="s">
        <v>1194</v>
      </c>
      <c r="B118" s="84" t="s">
        <v>1196</v>
      </c>
      <c r="C118" s="84"/>
      <c r="D118" s="84"/>
      <c r="E118" s="84"/>
      <c r="F118" s="84"/>
      <c r="G118" s="84"/>
      <c r="H118" s="84"/>
      <c r="I118" s="84"/>
      <c r="J118" s="84"/>
      <c r="K118" s="84"/>
      <c r="L118" s="84"/>
      <c r="M118" s="84"/>
      <c r="N118" s="84"/>
      <c r="O118" s="84"/>
      <c r="P118" s="84"/>
      <c r="Q118" s="84"/>
      <c r="R118" s="84"/>
      <c r="S118" s="84"/>
      <c r="T118" s="84"/>
      <c r="U118" s="84"/>
      <c r="V118" s="84"/>
      <c r="W118" s="84"/>
      <c r="X118" s="84"/>
      <c r="Y118" s="84"/>
      <c r="Z118" s="84"/>
    </row>
    <row r="119" ht="15.75" customHeight="1">
      <c r="A119" s="84" t="s">
        <v>1202</v>
      </c>
      <c r="B119" s="84" t="s">
        <v>1203</v>
      </c>
      <c r="C119" s="84"/>
      <c r="D119" s="84"/>
      <c r="E119" s="84"/>
      <c r="F119" s="84"/>
      <c r="G119" s="84"/>
      <c r="H119" s="84"/>
      <c r="I119" s="84"/>
      <c r="J119" s="84"/>
      <c r="K119" s="84"/>
      <c r="L119" s="84"/>
      <c r="M119" s="84"/>
      <c r="N119" s="84"/>
      <c r="O119" s="84"/>
      <c r="P119" s="84"/>
      <c r="Q119" s="84"/>
      <c r="R119" s="84"/>
      <c r="S119" s="84"/>
      <c r="T119" s="84"/>
      <c r="U119" s="84"/>
      <c r="V119" s="84"/>
      <c r="W119" s="84"/>
      <c r="X119" s="84"/>
      <c r="Y119" s="84"/>
      <c r="Z119" s="84"/>
    </row>
    <row r="120" ht="15.75" customHeight="1">
      <c r="A120" s="84" t="s">
        <v>1210</v>
      </c>
      <c r="B120" s="84" t="s">
        <v>1211</v>
      </c>
      <c r="C120" s="84"/>
      <c r="D120" s="84"/>
      <c r="E120" s="84"/>
      <c r="F120" s="84"/>
      <c r="G120" s="84"/>
      <c r="H120" s="84"/>
      <c r="I120" s="84"/>
      <c r="J120" s="84"/>
      <c r="K120" s="84"/>
      <c r="L120" s="84"/>
      <c r="M120" s="84"/>
      <c r="N120" s="84"/>
      <c r="O120" s="84"/>
      <c r="P120" s="84"/>
      <c r="Q120" s="84"/>
      <c r="R120" s="84"/>
      <c r="S120" s="84"/>
      <c r="T120" s="84"/>
      <c r="U120" s="84"/>
      <c r="V120" s="84"/>
      <c r="W120" s="84"/>
      <c r="X120" s="84"/>
      <c r="Y120" s="84"/>
      <c r="Z120" s="84"/>
    </row>
    <row r="121" ht="15.75" customHeight="1">
      <c r="A121" s="84" t="s">
        <v>1215</v>
      </c>
      <c r="B121" s="84" t="s">
        <v>1218</v>
      </c>
      <c r="C121" s="84"/>
      <c r="D121" s="84"/>
      <c r="E121" s="84"/>
      <c r="F121" s="84"/>
      <c r="G121" s="84"/>
      <c r="H121" s="84"/>
      <c r="I121" s="84"/>
      <c r="J121" s="84"/>
      <c r="K121" s="84"/>
      <c r="L121" s="84"/>
      <c r="M121" s="84"/>
      <c r="N121" s="84"/>
      <c r="O121" s="84"/>
      <c r="P121" s="84"/>
      <c r="Q121" s="84"/>
      <c r="R121" s="84"/>
      <c r="S121" s="84"/>
      <c r="T121" s="84"/>
      <c r="U121" s="84"/>
      <c r="V121" s="84"/>
      <c r="W121" s="84"/>
      <c r="X121" s="84"/>
      <c r="Y121" s="84"/>
      <c r="Z121" s="84"/>
    </row>
    <row r="122" ht="15.75" customHeight="1">
      <c r="A122" s="84" t="s">
        <v>1224</v>
      </c>
      <c r="B122" s="84" t="s">
        <v>1225</v>
      </c>
      <c r="C122" s="84"/>
      <c r="D122" s="84"/>
      <c r="E122" s="84"/>
      <c r="F122" s="84"/>
      <c r="G122" s="84"/>
      <c r="H122" s="84"/>
      <c r="I122" s="84"/>
      <c r="J122" s="84"/>
      <c r="K122" s="84"/>
      <c r="L122" s="84"/>
      <c r="M122" s="84"/>
      <c r="N122" s="84"/>
      <c r="O122" s="84"/>
      <c r="P122" s="84"/>
      <c r="Q122" s="84"/>
      <c r="R122" s="84"/>
      <c r="S122" s="84"/>
      <c r="T122" s="84"/>
      <c r="U122" s="84"/>
      <c r="V122" s="84"/>
      <c r="W122" s="84"/>
      <c r="X122" s="84"/>
      <c r="Y122" s="84"/>
      <c r="Z122" s="84"/>
    </row>
    <row r="123" ht="15.75" customHeight="1">
      <c r="A123" s="84" t="s">
        <v>1231</v>
      </c>
      <c r="B123" s="84" t="s">
        <v>1233</v>
      </c>
      <c r="C123" s="84"/>
      <c r="D123" s="84"/>
      <c r="E123" s="84"/>
      <c r="F123" s="84"/>
      <c r="G123" s="84"/>
      <c r="H123" s="84"/>
      <c r="I123" s="84"/>
      <c r="J123" s="84"/>
      <c r="K123" s="84"/>
      <c r="L123" s="84"/>
      <c r="M123" s="84"/>
      <c r="N123" s="84"/>
      <c r="O123" s="84"/>
      <c r="P123" s="84"/>
      <c r="Q123" s="84"/>
      <c r="R123" s="84"/>
      <c r="S123" s="84"/>
      <c r="T123" s="84"/>
      <c r="U123" s="84"/>
      <c r="V123" s="84"/>
      <c r="W123" s="84"/>
      <c r="X123" s="84"/>
      <c r="Y123" s="84"/>
      <c r="Z123" s="84"/>
    </row>
    <row r="124" ht="15.75" customHeight="1">
      <c r="A124" s="84" t="s">
        <v>1239</v>
      </c>
      <c r="B124" s="84" t="s">
        <v>1241</v>
      </c>
      <c r="C124" s="84"/>
      <c r="D124" s="84"/>
      <c r="E124" s="84"/>
      <c r="F124" s="84"/>
      <c r="G124" s="84"/>
      <c r="H124" s="84"/>
      <c r="I124" s="84"/>
      <c r="J124" s="84"/>
      <c r="K124" s="84"/>
      <c r="L124" s="84"/>
      <c r="M124" s="84"/>
      <c r="N124" s="84"/>
      <c r="O124" s="84"/>
      <c r="P124" s="84"/>
      <c r="Q124" s="84"/>
      <c r="R124" s="84"/>
      <c r="S124" s="84"/>
      <c r="T124" s="84"/>
      <c r="U124" s="84"/>
      <c r="V124" s="84"/>
      <c r="W124" s="84"/>
      <c r="X124" s="84"/>
      <c r="Y124" s="84"/>
      <c r="Z124" s="84"/>
    </row>
    <row r="125" ht="15.75" customHeight="1">
      <c r="A125" s="84" t="s">
        <v>1247</v>
      </c>
      <c r="B125" s="84" t="s">
        <v>1248</v>
      </c>
      <c r="C125" s="84"/>
      <c r="D125" s="84"/>
      <c r="E125" s="84"/>
      <c r="F125" s="84"/>
      <c r="G125" s="84"/>
      <c r="H125" s="84"/>
      <c r="I125" s="84"/>
      <c r="J125" s="84"/>
      <c r="K125" s="84"/>
      <c r="L125" s="84"/>
      <c r="M125" s="84"/>
      <c r="N125" s="84"/>
      <c r="O125" s="84"/>
      <c r="P125" s="84"/>
      <c r="Q125" s="84"/>
      <c r="R125" s="84"/>
      <c r="S125" s="84"/>
      <c r="T125" s="84"/>
      <c r="U125" s="84"/>
      <c r="V125" s="84"/>
      <c r="W125" s="84"/>
      <c r="X125" s="84"/>
      <c r="Y125" s="84"/>
      <c r="Z125" s="84"/>
    </row>
    <row r="126" ht="15.75" customHeight="1">
      <c r="A126" s="84"/>
      <c r="B126" s="84"/>
      <c r="C126" s="84"/>
      <c r="D126" s="84"/>
      <c r="E126" s="84"/>
      <c r="F126" s="84"/>
      <c r="G126" s="84"/>
      <c r="H126" s="84"/>
      <c r="I126" s="84"/>
      <c r="J126" s="84"/>
      <c r="K126" s="84"/>
      <c r="L126" s="84"/>
      <c r="M126" s="84"/>
      <c r="N126" s="84"/>
      <c r="O126" s="84"/>
      <c r="P126" s="84"/>
      <c r="Q126" s="84"/>
      <c r="R126" s="84"/>
      <c r="S126" s="84"/>
      <c r="T126" s="84"/>
      <c r="U126" s="84"/>
      <c r="V126" s="84"/>
      <c r="W126" s="84"/>
      <c r="X126" s="84"/>
      <c r="Y126" s="84"/>
      <c r="Z126" s="84"/>
    </row>
    <row r="127" ht="15.75" customHeight="1">
      <c r="A127" s="84" t="s">
        <v>1258</v>
      </c>
      <c r="B127" s="84"/>
      <c r="C127" s="84"/>
      <c r="D127" s="84"/>
      <c r="E127" s="84"/>
      <c r="F127" s="84"/>
      <c r="G127" s="84"/>
      <c r="H127" s="84"/>
      <c r="I127" s="84"/>
      <c r="J127" s="84"/>
      <c r="K127" s="84"/>
      <c r="L127" s="84"/>
      <c r="M127" s="84"/>
      <c r="N127" s="84"/>
      <c r="O127" s="84"/>
      <c r="P127" s="84"/>
      <c r="Q127" s="84"/>
      <c r="R127" s="84"/>
      <c r="S127" s="84"/>
      <c r="T127" s="84"/>
      <c r="U127" s="84"/>
      <c r="V127" s="84"/>
      <c r="W127" s="84"/>
      <c r="X127" s="84"/>
      <c r="Y127" s="84"/>
      <c r="Z127" s="84"/>
    </row>
    <row r="128" ht="15.75" customHeight="1">
      <c r="A128" s="84" t="s">
        <v>1260</v>
      </c>
      <c r="B128" s="84" t="s">
        <v>1261</v>
      </c>
      <c r="C128" s="84"/>
      <c r="D128" s="84"/>
      <c r="E128" s="84"/>
      <c r="F128" s="84"/>
      <c r="G128" s="84"/>
      <c r="H128" s="84"/>
      <c r="I128" s="84"/>
      <c r="J128" s="84"/>
      <c r="K128" s="84"/>
      <c r="L128" s="84"/>
      <c r="M128" s="84"/>
      <c r="N128" s="84"/>
      <c r="O128" s="84"/>
      <c r="P128" s="84"/>
      <c r="Q128" s="84"/>
      <c r="R128" s="84"/>
      <c r="S128" s="84"/>
      <c r="T128" s="84"/>
      <c r="U128" s="84"/>
      <c r="V128" s="84"/>
      <c r="W128" s="84"/>
      <c r="X128" s="84"/>
      <c r="Y128" s="84"/>
      <c r="Z128" s="84"/>
    </row>
    <row r="129" ht="15.75" customHeight="1">
      <c r="A129" s="84" t="s">
        <v>1265</v>
      </c>
      <c r="B129" s="84" t="s">
        <v>1268</v>
      </c>
      <c r="C129" s="84"/>
      <c r="D129" s="84"/>
      <c r="E129" s="84"/>
      <c r="F129" s="84"/>
      <c r="G129" s="84"/>
      <c r="H129" s="84"/>
      <c r="I129" s="84"/>
      <c r="J129" s="84"/>
      <c r="K129" s="84"/>
      <c r="L129" s="84"/>
      <c r="M129" s="84"/>
      <c r="N129" s="84"/>
      <c r="O129" s="84"/>
      <c r="P129" s="84"/>
      <c r="Q129" s="84"/>
      <c r="R129" s="84"/>
      <c r="S129" s="84"/>
      <c r="T129" s="84"/>
      <c r="U129" s="84"/>
      <c r="V129" s="84"/>
      <c r="W129" s="84"/>
      <c r="X129" s="84"/>
      <c r="Y129" s="84"/>
      <c r="Z129" s="84"/>
    </row>
    <row r="130" ht="15.75" customHeight="1">
      <c r="A130" s="84"/>
      <c r="B130" s="84"/>
      <c r="C130" s="84"/>
      <c r="D130" s="84"/>
      <c r="E130" s="84"/>
      <c r="F130" s="84"/>
      <c r="G130" s="84"/>
      <c r="H130" s="84"/>
      <c r="I130" s="84"/>
      <c r="J130" s="84"/>
      <c r="K130" s="84"/>
      <c r="L130" s="84"/>
      <c r="M130" s="84"/>
      <c r="N130" s="84"/>
      <c r="O130" s="84"/>
      <c r="P130" s="84"/>
      <c r="Q130" s="84"/>
      <c r="R130" s="84"/>
      <c r="S130" s="84"/>
      <c r="T130" s="84"/>
      <c r="U130" s="84"/>
      <c r="V130" s="84"/>
      <c r="W130" s="84"/>
      <c r="X130" s="84"/>
      <c r="Y130" s="84"/>
      <c r="Z130" s="84"/>
    </row>
    <row r="131" ht="15.75" customHeight="1">
      <c r="A131" s="130" t="s">
        <v>1276</v>
      </c>
      <c r="B131" s="84"/>
      <c r="C131" s="84"/>
      <c r="D131" s="84"/>
      <c r="E131" s="84"/>
      <c r="F131" s="84"/>
      <c r="G131" s="84"/>
      <c r="H131" s="84"/>
      <c r="I131" s="84"/>
      <c r="J131" s="84"/>
      <c r="K131" s="84"/>
      <c r="L131" s="84"/>
      <c r="M131" s="84"/>
      <c r="N131" s="84"/>
      <c r="O131" s="84"/>
      <c r="P131" s="84"/>
      <c r="Q131" s="84"/>
      <c r="R131" s="84"/>
      <c r="S131" s="84"/>
      <c r="T131" s="84"/>
      <c r="U131" s="84"/>
      <c r="V131" s="84"/>
      <c r="W131" s="84"/>
      <c r="X131" s="84"/>
      <c r="Y131" s="84"/>
      <c r="Z131" s="84"/>
    </row>
    <row r="132" ht="15.75" customHeight="1">
      <c r="A132" s="130" t="s">
        <v>1284</v>
      </c>
      <c r="B132" s="130" t="s">
        <v>1285</v>
      </c>
      <c r="C132" s="84"/>
      <c r="D132" s="84"/>
      <c r="E132" s="84"/>
      <c r="F132" s="84"/>
      <c r="G132" s="84"/>
      <c r="H132" s="84"/>
      <c r="I132" s="84"/>
      <c r="J132" s="84"/>
      <c r="K132" s="84"/>
      <c r="L132" s="84"/>
      <c r="M132" s="84"/>
      <c r="N132" s="84"/>
      <c r="O132" s="84"/>
      <c r="P132" s="84"/>
      <c r="Q132" s="84"/>
      <c r="R132" s="84"/>
      <c r="S132" s="84"/>
      <c r="T132" s="84"/>
      <c r="U132" s="84"/>
      <c r="V132" s="84"/>
      <c r="W132" s="84"/>
      <c r="X132" s="84"/>
      <c r="Y132" s="84"/>
      <c r="Z132" s="84"/>
    </row>
    <row r="133" ht="15.75" customHeight="1">
      <c r="A133" s="130" t="s">
        <v>1292</v>
      </c>
      <c r="B133" s="130" t="s">
        <v>1293</v>
      </c>
      <c r="C133" s="84"/>
      <c r="D133" s="84"/>
      <c r="E133" s="84"/>
      <c r="F133" s="84"/>
      <c r="G133" s="84"/>
      <c r="H133" s="84"/>
      <c r="I133" s="84"/>
      <c r="J133" s="84"/>
      <c r="K133" s="84"/>
      <c r="L133" s="84"/>
      <c r="M133" s="84"/>
      <c r="N133" s="84"/>
      <c r="O133" s="84"/>
      <c r="P133" s="84"/>
      <c r="Q133" s="84"/>
      <c r="R133" s="84"/>
      <c r="S133" s="84"/>
      <c r="T133" s="84"/>
      <c r="U133" s="84"/>
      <c r="V133" s="84"/>
      <c r="W133" s="84"/>
      <c r="X133" s="84"/>
      <c r="Y133" s="84"/>
      <c r="Z133" s="84"/>
    </row>
    <row r="134" ht="15.75" customHeight="1">
      <c r="A134" s="130" t="s">
        <v>1298</v>
      </c>
      <c r="B134" s="130" t="s">
        <v>1300</v>
      </c>
      <c r="C134" s="84"/>
      <c r="D134" s="84"/>
      <c r="E134" s="84"/>
      <c r="F134" s="84"/>
      <c r="G134" s="84"/>
      <c r="H134" s="84"/>
      <c r="I134" s="84"/>
      <c r="J134" s="84"/>
      <c r="K134" s="84"/>
      <c r="L134" s="84"/>
      <c r="M134" s="84"/>
      <c r="N134" s="84"/>
      <c r="O134" s="84"/>
      <c r="P134" s="84"/>
      <c r="Q134" s="84"/>
      <c r="R134" s="84"/>
      <c r="S134" s="84"/>
      <c r="T134" s="84"/>
      <c r="U134" s="84"/>
      <c r="V134" s="84"/>
      <c r="W134" s="84"/>
      <c r="X134" s="84"/>
      <c r="Y134" s="84"/>
      <c r="Z134" s="84"/>
    </row>
    <row r="135" ht="15.75" customHeight="1">
      <c r="A135" s="84"/>
      <c r="B135" s="84"/>
      <c r="C135" s="84"/>
      <c r="D135" s="84"/>
      <c r="E135" s="84"/>
      <c r="F135" s="84"/>
      <c r="G135" s="84"/>
      <c r="H135" s="84"/>
      <c r="I135" s="84"/>
      <c r="J135" s="84"/>
      <c r="K135" s="84"/>
      <c r="L135" s="84"/>
      <c r="M135" s="84"/>
      <c r="N135" s="84"/>
      <c r="O135" s="84"/>
      <c r="P135" s="84"/>
      <c r="Q135" s="84"/>
      <c r="R135" s="84"/>
      <c r="S135" s="84"/>
      <c r="T135" s="84"/>
      <c r="U135" s="84"/>
      <c r="V135" s="84"/>
      <c r="W135" s="84"/>
      <c r="X135" s="84"/>
      <c r="Y135" s="84"/>
      <c r="Z135" s="84"/>
    </row>
    <row r="136" ht="15.75" customHeight="1">
      <c r="A136" s="84"/>
      <c r="B136" s="84"/>
      <c r="C136" s="84"/>
      <c r="D136" s="84"/>
      <c r="E136" s="84"/>
      <c r="F136" s="84"/>
      <c r="G136" s="84"/>
      <c r="H136" s="84"/>
      <c r="I136" s="84"/>
      <c r="J136" s="84"/>
      <c r="K136" s="84"/>
      <c r="L136" s="84"/>
      <c r="M136" s="84"/>
      <c r="N136" s="84"/>
      <c r="O136" s="84"/>
      <c r="P136" s="84"/>
      <c r="Q136" s="84"/>
      <c r="R136" s="84"/>
      <c r="S136" s="84"/>
      <c r="T136" s="84"/>
      <c r="U136" s="84"/>
      <c r="V136" s="84"/>
      <c r="W136" s="84"/>
      <c r="X136" s="84"/>
      <c r="Y136" s="84"/>
      <c r="Z136" s="84"/>
    </row>
    <row r="137" ht="15.75" customHeight="1">
      <c r="A137" s="84"/>
      <c r="B137" s="84"/>
      <c r="C137" s="84"/>
      <c r="D137" s="84"/>
      <c r="E137" s="84"/>
      <c r="F137" s="84"/>
      <c r="G137" s="84"/>
      <c r="H137" s="84"/>
      <c r="I137" s="84"/>
      <c r="J137" s="84"/>
      <c r="K137" s="84"/>
      <c r="L137" s="84"/>
      <c r="M137" s="84"/>
      <c r="N137" s="84"/>
      <c r="O137" s="84"/>
      <c r="P137" s="84"/>
      <c r="Q137" s="84"/>
      <c r="R137" s="84"/>
      <c r="S137" s="84"/>
      <c r="T137" s="84"/>
      <c r="U137" s="84"/>
      <c r="V137" s="84"/>
      <c r="W137" s="84"/>
      <c r="X137" s="84"/>
      <c r="Y137" s="84"/>
      <c r="Z137" s="84"/>
    </row>
    <row r="138" ht="15.75" customHeight="1">
      <c r="A138" s="84"/>
      <c r="B138" s="84"/>
      <c r="C138" s="84"/>
      <c r="D138" s="84"/>
      <c r="E138" s="84"/>
      <c r="F138" s="84"/>
      <c r="G138" s="84"/>
      <c r="H138" s="84"/>
      <c r="I138" s="84"/>
      <c r="J138" s="84"/>
      <c r="K138" s="84"/>
      <c r="L138" s="84"/>
      <c r="M138" s="84"/>
      <c r="N138" s="84"/>
      <c r="O138" s="84"/>
      <c r="P138" s="84"/>
      <c r="Q138" s="84"/>
      <c r="R138" s="84"/>
      <c r="S138" s="84"/>
      <c r="T138" s="84"/>
      <c r="U138" s="84"/>
      <c r="V138" s="84"/>
      <c r="W138" s="84"/>
      <c r="X138" s="84"/>
      <c r="Y138" s="84"/>
      <c r="Z138" s="84"/>
    </row>
    <row r="139" ht="15.75" customHeight="1">
      <c r="A139" s="84"/>
      <c r="B139" s="84"/>
      <c r="C139" s="84"/>
      <c r="D139" s="84"/>
      <c r="E139" s="84"/>
      <c r="F139" s="84"/>
      <c r="G139" s="84"/>
      <c r="H139" s="84"/>
      <c r="I139" s="84"/>
      <c r="J139" s="84"/>
      <c r="K139" s="84"/>
      <c r="L139" s="84"/>
      <c r="M139" s="84"/>
      <c r="N139" s="84"/>
      <c r="O139" s="84"/>
      <c r="P139" s="84"/>
      <c r="Q139" s="84"/>
      <c r="R139" s="84"/>
      <c r="S139" s="84"/>
      <c r="T139" s="84"/>
      <c r="U139" s="84"/>
      <c r="V139" s="84"/>
      <c r="W139" s="84"/>
      <c r="X139" s="84"/>
      <c r="Y139" s="84"/>
      <c r="Z139" s="84"/>
    </row>
    <row r="140" ht="15.75" customHeight="1">
      <c r="A140" s="84"/>
      <c r="B140" s="84"/>
      <c r="C140" s="84"/>
      <c r="D140" s="84"/>
      <c r="E140" s="84"/>
      <c r="F140" s="84"/>
      <c r="G140" s="84"/>
      <c r="H140" s="84"/>
      <c r="I140" s="84"/>
      <c r="J140" s="84"/>
      <c r="K140" s="84"/>
      <c r="L140" s="84"/>
      <c r="M140" s="84"/>
      <c r="N140" s="84"/>
      <c r="O140" s="84"/>
      <c r="P140" s="84"/>
      <c r="Q140" s="84"/>
      <c r="R140" s="84"/>
      <c r="S140" s="84"/>
      <c r="T140" s="84"/>
      <c r="U140" s="84"/>
      <c r="V140" s="84"/>
      <c r="W140" s="84"/>
      <c r="X140" s="84"/>
      <c r="Y140" s="84"/>
      <c r="Z140" s="84"/>
    </row>
    <row r="141" ht="15.75" customHeight="1">
      <c r="A141" s="84"/>
      <c r="B141" s="84"/>
      <c r="C141" s="84"/>
      <c r="D141" s="84"/>
      <c r="E141" s="84"/>
      <c r="F141" s="84"/>
      <c r="G141" s="84"/>
      <c r="H141" s="84"/>
      <c r="I141" s="84"/>
      <c r="J141" s="84"/>
      <c r="K141" s="84"/>
      <c r="L141" s="84"/>
      <c r="M141" s="84"/>
      <c r="N141" s="84"/>
      <c r="O141" s="84"/>
      <c r="P141" s="84"/>
      <c r="Q141" s="84"/>
      <c r="R141" s="84"/>
      <c r="S141" s="84"/>
      <c r="T141" s="84"/>
      <c r="U141" s="84"/>
      <c r="V141" s="84"/>
      <c r="W141" s="84"/>
      <c r="X141" s="84"/>
      <c r="Y141" s="84"/>
      <c r="Z141" s="84"/>
    </row>
    <row r="142" ht="15.75" customHeight="1">
      <c r="A142" s="84"/>
      <c r="B142" s="84"/>
      <c r="C142" s="84"/>
      <c r="D142" s="84"/>
      <c r="E142" s="84"/>
      <c r="F142" s="84"/>
      <c r="G142" s="84"/>
      <c r="H142" s="84"/>
      <c r="I142" s="84"/>
      <c r="J142" s="84"/>
      <c r="K142" s="84"/>
      <c r="L142" s="84"/>
      <c r="M142" s="84"/>
      <c r="N142" s="84"/>
      <c r="O142" s="84"/>
      <c r="P142" s="84"/>
      <c r="Q142" s="84"/>
      <c r="R142" s="84"/>
      <c r="S142" s="84"/>
      <c r="T142" s="84"/>
      <c r="U142" s="84"/>
      <c r="V142" s="84"/>
      <c r="W142" s="84"/>
      <c r="X142" s="84"/>
      <c r="Y142" s="84"/>
      <c r="Z142" s="84"/>
    </row>
    <row r="143" ht="15.75" customHeight="1">
      <c r="A143" s="84"/>
      <c r="B143" s="84"/>
      <c r="C143" s="84"/>
      <c r="D143" s="84"/>
      <c r="E143" s="84"/>
      <c r="F143" s="84"/>
      <c r="G143" s="84"/>
      <c r="H143" s="84"/>
      <c r="I143" s="84"/>
      <c r="J143" s="84"/>
      <c r="K143" s="84"/>
      <c r="L143" s="84"/>
      <c r="M143" s="84"/>
      <c r="N143" s="84"/>
      <c r="O143" s="84"/>
      <c r="P143" s="84"/>
      <c r="Q143" s="84"/>
      <c r="R143" s="84"/>
      <c r="S143" s="84"/>
      <c r="T143" s="84"/>
      <c r="U143" s="84"/>
      <c r="V143" s="84"/>
      <c r="W143" s="84"/>
      <c r="X143" s="84"/>
      <c r="Y143" s="84"/>
      <c r="Z143" s="84"/>
    </row>
    <row r="144" ht="15.75" customHeight="1">
      <c r="A144" s="84"/>
      <c r="B144" s="84"/>
      <c r="C144" s="84"/>
      <c r="D144" s="84"/>
      <c r="E144" s="84"/>
      <c r="F144" s="84"/>
      <c r="G144" s="84"/>
      <c r="H144" s="84"/>
      <c r="I144" s="84"/>
      <c r="J144" s="84"/>
      <c r="K144" s="84"/>
      <c r="L144" s="84"/>
      <c r="M144" s="84"/>
      <c r="N144" s="84"/>
      <c r="O144" s="84"/>
      <c r="P144" s="84"/>
      <c r="Q144" s="84"/>
      <c r="R144" s="84"/>
      <c r="S144" s="84"/>
      <c r="T144" s="84"/>
      <c r="U144" s="84"/>
      <c r="V144" s="84"/>
      <c r="W144" s="84"/>
      <c r="X144" s="84"/>
      <c r="Y144" s="84"/>
      <c r="Z144" s="84"/>
    </row>
    <row r="145" ht="15.75" customHeight="1">
      <c r="A145" s="84"/>
      <c r="B145" s="84"/>
      <c r="C145" s="84"/>
      <c r="D145" s="84"/>
      <c r="E145" s="84"/>
      <c r="F145" s="84"/>
      <c r="G145" s="84"/>
      <c r="H145" s="84"/>
      <c r="I145" s="84"/>
      <c r="J145" s="84"/>
      <c r="K145" s="84"/>
      <c r="L145" s="84"/>
      <c r="M145" s="84"/>
      <c r="N145" s="84"/>
      <c r="O145" s="84"/>
      <c r="P145" s="84"/>
      <c r="Q145" s="84"/>
      <c r="R145" s="84"/>
      <c r="S145" s="84"/>
      <c r="T145" s="84"/>
      <c r="U145" s="84"/>
      <c r="V145" s="84"/>
      <c r="W145" s="84"/>
      <c r="X145" s="84"/>
      <c r="Y145" s="84"/>
      <c r="Z145" s="84"/>
    </row>
    <row r="146" ht="15.75" customHeight="1">
      <c r="A146" s="84"/>
      <c r="B146" s="84"/>
      <c r="C146" s="84"/>
      <c r="D146" s="84"/>
      <c r="E146" s="84"/>
      <c r="F146" s="84"/>
      <c r="G146" s="84"/>
      <c r="H146" s="84"/>
      <c r="I146" s="84"/>
      <c r="J146" s="84"/>
      <c r="K146" s="84"/>
      <c r="L146" s="84"/>
      <c r="M146" s="84"/>
      <c r="N146" s="84"/>
      <c r="O146" s="84"/>
      <c r="P146" s="84"/>
      <c r="Q146" s="84"/>
      <c r="R146" s="84"/>
      <c r="S146" s="84"/>
      <c r="T146" s="84"/>
      <c r="U146" s="84"/>
      <c r="V146" s="84"/>
      <c r="W146" s="84"/>
      <c r="X146" s="84"/>
      <c r="Y146" s="84"/>
      <c r="Z146" s="84"/>
    </row>
    <row r="147" ht="15.75" customHeight="1">
      <c r="A147" s="84"/>
      <c r="B147" s="84"/>
      <c r="C147" s="84"/>
      <c r="D147" s="84"/>
      <c r="E147" s="84"/>
      <c r="F147" s="84"/>
      <c r="G147" s="84"/>
      <c r="H147" s="84"/>
      <c r="I147" s="84"/>
      <c r="J147" s="84"/>
      <c r="K147" s="84"/>
      <c r="L147" s="84"/>
      <c r="M147" s="84"/>
      <c r="N147" s="84"/>
      <c r="O147" s="84"/>
      <c r="P147" s="84"/>
      <c r="Q147" s="84"/>
      <c r="R147" s="84"/>
      <c r="S147" s="84"/>
      <c r="T147" s="84"/>
      <c r="U147" s="84"/>
      <c r="V147" s="84"/>
      <c r="W147" s="84"/>
      <c r="X147" s="84"/>
      <c r="Y147" s="84"/>
      <c r="Z147" s="84"/>
    </row>
    <row r="148" ht="15.75" customHeight="1">
      <c r="A148" s="84"/>
      <c r="B148" s="84"/>
      <c r="C148" s="84"/>
      <c r="D148" s="84"/>
      <c r="E148" s="84"/>
      <c r="F148" s="84"/>
      <c r="G148" s="84"/>
      <c r="H148" s="84"/>
      <c r="I148" s="84"/>
      <c r="J148" s="84"/>
      <c r="K148" s="84"/>
      <c r="L148" s="84"/>
      <c r="M148" s="84"/>
      <c r="N148" s="84"/>
      <c r="O148" s="84"/>
      <c r="P148" s="84"/>
      <c r="Q148" s="84"/>
      <c r="R148" s="84"/>
      <c r="S148" s="84"/>
      <c r="T148" s="84"/>
      <c r="U148" s="84"/>
      <c r="V148" s="84"/>
      <c r="W148" s="84"/>
      <c r="X148" s="84"/>
      <c r="Y148" s="84"/>
      <c r="Z148" s="84"/>
    </row>
    <row r="149" ht="15.75" customHeight="1">
      <c r="A149" s="84"/>
      <c r="B149" s="84"/>
      <c r="C149" s="84"/>
      <c r="D149" s="84"/>
      <c r="E149" s="84"/>
      <c r="F149" s="84"/>
      <c r="G149" s="84"/>
      <c r="H149" s="84"/>
      <c r="I149" s="84"/>
      <c r="J149" s="84"/>
      <c r="K149" s="84"/>
      <c r="L149" s="84"/>
      <c r="M149" s="84"/>
      <c r="N149" s="84"/>
      <c r="O149" s="84"/>
      <c r="P149" s="84"/>
      <c r="Q149" s="84"/>
      <c r="R149" s="84"/>
      <c r="S149" s="84"/>
      <c r="T149" s="84"/>
      <c r="U149" s="84"/>
      <c r="V149" s="84"/>
      <c r="W149" s="84"/>
      <c r="X149" s="84"/>
      <c r="Y149" s="84"/>
      <c r="Z149" s="84"/>
    </row>
    <row r="150" ht="15.75" customHeight="1">
      <c r="A150" s="84"/>
      <c r="B150" s="84"/>
      <c r="C150" s="84"/>
      <c r="D150" s="84"/>
      <c r="E150" s="84"/>
      <c r="F150" s="84"/>
      <c r="G150" s="84"/>
      <c r="H150" s="84"/>
      <c r="I150" s="84"/>
      <c r="J150" s="84"/>
      <c r="K150" s="84"/>
      <c r="L150" s="84"/>
      <c r="M150" s="84"/>
      <c r="N150" s="84"/>
      <c r="O150" s="84"/>
      <c r="P150" s="84"/>
      <c r="Q150" s="84"/>
      <c r="R150" s="84"/>
      <c r="S150" s="84"/>
      <c r="T150" s="84"/>
      <c r="U150" s="84"/>
      <c r="V150" s="84"/>
      <c r="W150" s="84"/>
      <c r="X150" s="84"/>
      <c r="Y150" s="84"/>
      <c r="Z150" s="84"/>
    </row>
    <row r="151" ht="15.75" customHeight="1">
      <c r="A151" s="84"/>
      <c r="B151" s="84"/>
      <c r="C151" s="84"/>
      <c r="D151" s="84"/>
      <c r="E151" s="84"/>
      <c r="F151" s="84"/>
      <c r="G151" s="84"/>
      <c r="H151" s="84"/>
      <c r="I151" s="84"/>
      <c r="J151" s="84"/>
      <c r="K151" s="84"/>
      <c r="L151" s="84"/>
      <c r="M151" s="84"/>
      <c r="N151" s="84"/>
      <c r="O151" s="84"/>
      <c r="P151" s="84"/>
      <c r="Q151" s="84"/>
      <c r="R151" s="84"/>
      <c r="S151" s="84"/>
      <c r="T151" s="84"/>
      <c r="U151" s="84"/>
      <c r="V151" s="84"/>
      <c r="W151" s="84"/>
      <c r="X151" s="84"/>
      <c r="Y151" s="84"/>
      <c r="Z151" s="84"/>
    </row>
    <row r="152" ht="15.75" customHeight="1">
      <c r="A152" s="84"/>
      <c r="B152" s="84"/>
      <c r="C152" s="84"/>
      <c r="D152" s="84"/>
      <c r="E152" s="84"/>
      <c r="F152" s="84"/>
      <c r="G152" s="84"/>
      <c r="H152" s="84"/>
      <c r="I152" s="84"/>
      <c r="J152" s="84"/>
      <c r="K152" s="84"/>
      <c r="L152" s="84"/>
      <c r="M152" s="84"/>
      <c r="N152" s="84"/>
      <c r="O152" s="84"/>
      <c r="P152" s="84"/>
      <c r="Q152" s="84"/>
      <c r="R152" s="84"/>
      <c r="S152" s="84"/>
      <c r="T152" s="84"/>
      <c r="U152" s="84"/>
      <c r="V152" s="84"/>
      <c r="W152" s="84"/>
      <c r="X152" s="84"/>
      <c r="Y152" s="84"/>
      <c r="Z152" s="84"/>
    </row>
    <row r="153" ht="15.75" customHeight="1">
      <c r="A153" s="84"/>
      <c r="B153" s="84"/>
      <c r="C153" s="84"/>
      <c r="D153" s="84"/>
      <c r="E153" s="84"/>
      <c r="F153" s="84"/>
      <c r="G153" s="84"/>
      <c r="H153" s="84"/>
      <c r="I153" s="84"/>
      <c r="J153" s="84"/>
      <c r="K153" s="84"/>
      <c r="L153" s="84"/>
      <c r="M153" s="84"/>
      <c r="N153" s="84"/>
      <c r="O153" s="84"/>
      <c r="P153" s="84"/>
      <c r="Q153" s="84"/>
      <c r="R153" s="84"/>
      <c r="S153" s="84"/>
      <c r="T153" s="84"/>
      <c r="U153" s="84"/>
      <c r="V153" s="84"/>
      <c r="W153" s="84"/>
      <c r="X153" s="84"/>
      <c r="Y153" s="84"/>
      <c r="Z153" s="84"/>
    </row>
    <row r="154" ht="15.75" customHeight="1">
      <c r="A154" s="84"/>
      <c r="B154" s="84"/>
      <c r="C154" s="84"/>
      <c r="D154" s="84"/>
      <c r="E154" s="84"/>
      <c r="F154" s="84"/>
      <c r="G154" s="84"/>
      <c r="H154" s="84"/>
      <c r="I154" s="84"/>
      <c r="J154" s="84"/>
      <c r="K154" s="84"/>
      <c r="L154" s="84"/>
      <c r="M154" s="84"/>
      <c r="N154" s="84"/>
      <c r="O154" s="84"/>
      <c r="P154" s="84"/>
      <c r="Q154" s="84"/>
      <c r="R154" s="84"/>
      <c r="S154" s="84"/>
      <c r="T154" s="84"/>
      <c r="U154" s="84"/>
      <c r="V154" s="84"/>
      <c r="W154" s="84"/>
      <c r="X154" s="84"/>
      <c r="Y154" s="84"/>
      <c r="Z154" s="84"/>
    </row>
    <row r="155" ht="15.75" customHeight="1">
      <c r="A155" s="84"/>
      <c r="B155" s="84"/>
      <c r="C155" s="84"/>
      <c r="D155" s="84"/>
      <c r="E155" s="84"/>
      <c r="F155" s="84"/>
      <c r="G155" s="84"/>
      <c r="H155" s="84"/>
      <c r="I155" s="84"/>
      <c r="J155" s="84"/>
      <c r="K155" s="84"/>
      <c r="L155" s="84"/>
      <c r="M155" s="84"/>
      <c r="N155" s="84"/>
      <c r="O155" s="84"/>
      <c r="P155" s="84"/>
      <c r="Q155" s="84"/>
      <c r="R155" s="84"/>
      <c r="S155" s="84"/>
      <c r="T155" s="84"/>
      <c r="U155" s="84"/>
      <c r="V155" s="84"/>
      <c r="W155" s="84"/>
      <c r="X155" s="84"/>
      <c r="Y155" s="84"/>
      <c r="Z155" s="84"/>
    </row>
    <row r="156" ht="15.75" customHeight="1">
      <c r="A156" s="84"/>
      <c r="B156" s="84"/>
      <c r="C156" s="84"/>
      <c r="D156" s="84"/>
      <c r="E156" s="84"/>
      <c r="F156" s="84"/>
      <c r="G156" s="84"/>
      <c r="H156" s="84"/>
      <c r="I156" s="84"/>
      <c r="J156" s="84"/>
      <c r="K156" s="84"/>
      <c r="L156" s="84"/>
      <c r="M156" s="84"/>
      <c r="N156" s="84"/>
      <c r="O156" s="84"/>
      <c r="P156" s="84"/>
      <c r="Q156" s="84"/>
      <c r="R156" s="84"/>
      <c r="S156" s="84"/>
      <c r="T156" s="84"/>
      <c r="U156" s="84"/>
      <c r="V156" s="84"/>
      <c r="W156" s="84"/>
      <c r="X156" s="84"/>
      <c r="Y156" s="84"/>
      <c r="Z156" s="84"/>
    </row>
    <row r="157" ht="15.75" customHeight="1">
      <c r="A157" s="84"/>
      <c r="B157" s="84"/>
      <c r="C157" s="84"/>
      <c r="D157" s="84"/>
      <c r="E157" s="84"/>
      <c r="F157" s="84"/>
      <c r="G157" s="84"/>
      <c r="H157" s="84"/>
      <c r="I157" s="84"/>
      <c r="J157" s="84"/>
      <c r="K157" s="84"/>
      <c r="L157" s="84"/>
      <c r="M157" s="84"/>
      <c r="N157" s="84"/>
      <c r="O157" s="84"/>
      <c r="P157" s="84"/>
      <c r="Q157" s="84"/>
      <c r="R157" s="84"/>
      <c r="S157" s="84"/>
      <c r="T157" s="84"/>
      <c r="U157" s="84"/>
      <c r="V157" s="84"/>
      <c r="W157" s="84"/>
      <c r="X157" s="84"/>
      <c r="Y157" s="84"/>
      <c r="Z157" s="84"/>
    </row>
    <row r="158" ht="15.75" customHeight="1">
      <c r="A158" s="84"/>
      <c r="B158" s="84"/>
      <c r="C158" s="84"/>
      <c r="D158" s="84"/>
      <c r="E158" s="84"/>
      <c r="F158" s="84"/>
      <c r="G158" s="84"/>
      <c r="H158" s="84"/>
      <c r="I158" s="84"/>
      <c r="J158" s="84"/>
      <c r="K158" s="84"/>
      <c r="L158" s="84"/>
      <c r="M158" s="84"/>
      <c r="N158" s="84"/>
      <c r="O158" s="84"/>
      <c r="P158" s="84"/>
      <c r="Q158" s="84"/>
      <c r="R158" s="84"/>
      <c r="S158" s="84"/>
      <c r="T158" s="84"/>
      <c r="U158" s="84"/>
      <c r="V158" s="84"/>
      <c r="W158" s="84"/>
      <c r="X158" s="84"/>
      <c r="Y158" s="84"/>
      <c r="Z158" s="84"/>
    </row>
    <row r="159" ht="15.75" customHeight="1">
      <c r="A159" s="84"/>
      <c r="B159" s="84"/>
      <c r="C159" s="84"/>
      <c r="D159" s="84"/>
      <c r="E159" s="84"/>
      <c r="F159" s="84"/>
      <c r="G159" s="84"/>
      <c r="H159" s="84"/>
      <c r="I159" s="84"/>
      <c r="J159" s="84"/>
      <c r="K159" s="84"/>
      <c r="L159" s="84"/>
      <c r="M159" s="84"/>
      <c r="N159" s="84"/>
      <c r="O159" s="84"/>
      <c r="P159" s="84"/>
      <c r="Q159" s="84"/>
      <c r="R159" s="84"/>
      <c r="S159" s="84"/>
      <c r="T159" s="84"/>
      <c r="U159" s="84"/>
      <c r="V159" s="84"/>
      <c r="W159" s="84"/>
      <c r="X159" s="84"/>
      <c r="Y159" s="84"/>
      <c r="Z159" s="84"/>
    </row>
    <row r="160" ht="15.75" customHeight="1">
      <c r="A160" s="84"/>
      <c r="B160" s="84"/>
      <c r="C160" s="84"/>
      <c r="D160" s="84"/>
      <c r="E160" s="84"/>
      <c r="F160" s="84"/>
      <c r="G160" s="84"/>
      <c r="H160" s="84"/>
      <c r="I160" s="84"/>
      <c r="J160" s="84"/>
      <c r="K160" s="84"/>
      <c r="L160" s="84"/>
      <c r="M160" s="84"/>
      <c r="N160" s="84"/>
      <c r="O160" s="84"/>
      <c r="P160" s="84"/>
      <c r="Q160" s="84"/>
      <c r="R160" s="84"/>
      <c r="S160" s="84"/>
      <c r="T160" s="84"/>
      <c r="U160" s="84"/>
      <c r="V160" s="84"/>
      <c r="W160" s="84"/>
      <c r="X160" s="84"/>
      <c r="Y160" s="84"/>
      <c r="Z160" s="84"/>
    </row>
    <row r="161" ht="15.75" customHeight="1">
      <c r="A161" s="84"/>
      <c r="B161" s="84"/>
      <c r="C161" s="84"/>
      <c r="D161" s="84"/>
      <c r="E161" s="84"/>
      <c r="F161" s="84"/>
      <c r="G161" s="84"/>
      <c r="H161" s="84"/>
      <c r="I161" s="84"/>
      <c r="J161" s="84"/>
      <c r="K161" s="84"/>
      <c r="L161" s="84"/>
      <c r="M161" s="84"/>
      <c r="N161" s="84"/>
      <c r="O161" s="84"/>
      <c r="P161" s="84"/>
      <c r="Q161" s="84"/>
      <c r="R161" s="84"/>
      <c r="S161" s="84"/>
      <c r="T161" s="84"/>
      <c r="U161" s="84"/>
      <c r="V161" s="84"/>
      <c r="W161" s="84"/>
      <c r="X161" s="84"/>
      <c r="Y161" s="84"/>
      <c r="Z161" s="84"/>
    </row>
    <row r="162" ht="15.75" customHeight="1">
      <c r="A162" s="84"/>
      <c r="B162" s="84"/>
      <c r="C162" s="84"/>
      <c r="D162" s="84"/>
      <c r="E162" s="84"/>
      <c r="F162" s="84"/>
      <c r="G162" s="84"/>
      <c r="H162" s="84"/>
      <c r="I162" s="84"/>
      <c r="J162" s="84"/>
      <c r="K162" s="84"/>
      <c r="L162" s="84"/>
      <c r="M162" s="84"/>
      <c r="N162" s="84"/>
      <c r="O162" s="84"/>
      <c r="P162" s="84"/>
      <c r="Q162" s="84"/>
      <c r="R162" s="84"/>
      <c r="S162" s="84"/>
      <c r="T162" s="84"/>
      <c r="U162" s="84"/>
      <c r="V162" s="84"/>
      <c r="W162" s="84"/>
      <c r="X162" s="84"/>
      <c r="Y162" s="84"/>
      <c r="Z162" s="84"/>
    </row>
    <row r="163" ht="15.75" customHeight="1">
      <c r="A163" s="84"/>
      <c r="B163" s="84"/>
      <c r="C163" s="84"/>
      <c r="D163" s="84"/>
      <c r="E163" s="84"/>
      <c r="F163" s="84"/>
      <c r="G163" s="84"/>
      <c r="H163" s="84"/>
      <c r="I163" s="84"/>
      <c r="J163" s="84"/>
      <c r="K163" s="84"/>
      <c r="L163" s="84"/>
      <c r="M163" s="84"/>
      <c r="N163" s="84"/>
      <c r="O163" s="84"/>
      <c r="P163" s="84"/>
      <c r="Q163" s="84"/>
      <c r="R163" s="84"/>
      <c r="S163" s="84"/>
      <c r="T163" s="84"/>
      <c r="U163" s="84"/>
      <c r="V163" s="84"/>
      <c r="W163" s="84"/>
      <c r="X163" s="84"/>
      <c r="Y163" s="84"/>
      <c r="Z163" s="84"/>
    </row>
    <row r="164" ht="15.75" customHeight="1">
      <c r="A164" s="84"/>
      <c r="B164" s="84"/>
      <c r="C164" s="84"/>
      <c r="D164" s="84"/>
      <c r="E164" s="84"/>
      <c r="F164" s="84"/>
      <c r="G164" s="84"/>
      <c r="H164" s="84"/>
      <c r="I164" s="84"/>
      <c r="J164" s="84"/>
      <c r="K164" s="84"/>
      <c r="L164" s="84"/>
      <c r="M164" s="84"/>
      <c r="N164" s="84"/>
      <c r="O164" s="84"/>
      <c r="P164" s="84"/>
      <c r="Q164" s="84"/>
      <c r="R164" s="84"/>
      <c r="S164" s="84"/>
      <c r="T164" s="84"/>
      <c r="U164" s="84"/>
      <c r="V164" s="84"/>
      <c r="W164" s="84"/>
      <c r="X164" s="84"/>
      <c r="Y164" s="84"/>
      <c r="Z164" s="84"/>
    </row>
    <row r="165" ht="15.75" customHeight="1">
      <c r="A165" s="84"/>
      <c r="B165" s="84"/>
      <c r="C165" s="84"/>
      <c r="D165" s="84"/>
      <c r="E165" s="84"/>
      <c r="F165" s="84"/>
      <c r="G165" s="84"/>
      <c r="H165" s="84"/>
      <c r="I165" s="84"/>
      <c r="J165" s="84"/>
      <c r="K165" s="84"/>
      <c r="L165" s="84"/>
      <c r="M165" s="84"/>
      <c r="N165" s="84"/>
      <c r="O165" s="84"/>
      <c r="P165" s="84"/>
      <c r="Q165" s="84"/>
      <c r="R165" s="84"/>
      <c r="S165" s="84"/>
      <c r="T165" s="84"/>
      <c r="U165" s="84"/>
      <c r="V165" s="84"/>
      <c r="W165" s="84"/>
      <c r="X165" s="84"/>
      <c r="Y165" s="84"/>
      <c r="Z165" s="84"/>
    </row>
    <row r="166" ht="15.75" customHeight="1">
      <c r="A166" s="84"/>
      <c r="B166" s="84"/>
      <c r="C166" s="84"/>
      <c r="D166" s="84"/>
      <c r="E166" s="84"/>
      <c r="F166" s="84"/>
      <c r="G166" s="84"/>
      <c r="H166" s="84"/>
      <c r="I166" s="84"/>
      <c r="J166" s="84"/>
      <c r="K166" s="84"/>
      <c r="L166" s="84"/>
      <c r="M166" s="84"/>
      <c r="N166" s="84"/>
      <c r="O166" s="84"/>
      <c r="P166" s="84"/>
      <c r="Q166" s="84"/>
      <c r="R166" s="84"/>
      <c r="S166" s="84"/>
      <c r="T166" s="84"/>
      <c r="U166" s="84"/>
      <c r="V166" s="84"/>
      <c r="W166" s="84"/>
      <c r="X166" s="84"/>
      <c r="Y166" s="84"/>
      <c r="Z166" s="84"/>
    </row>
    <row r="167" ht="15.75" customHeight="1">
      <c r="A167" s="84"/>
      <c r="B167" s="84"/>
      <c r="C167" s="84"/>
      <c r="D167" s="84"/>
      <c r="E167" s="84"/>
      <c r="F167" s="84"/>
      <c r="G167" s="84"/>
      <c r="H167" s="84"/>
      <c r="I167" s="84"/>
      <c r="J167" s="84"/>
      <c r="K167" s="84"/>
      <c r="L167" s="84"/>
      <c r="M167" s="84"/>
      <c r="N167" s="84"/>
      <c r="O167" s="84"/>
      <c r="P167" s="84"/>
      <c r="Q167" s="84"/>
      <c r="R167" s="84"/>
      <c r="S167" s="84"/>
      <c r="T167" s="84"/>
      <c r="U167" s="84"/>
      <c r="V167" s="84"/>
      <c r="W167" s="84"/>
      <c r="X167" s="84"/>
      <c r="Y167" s="84"/>
      <c r="Z167" s="84"/>
    </row>
    <row r="168" ht="15.75" customHeight="1">
      <c r="A168" s="84"/>
      <c r="B168" s="84"/>
      <c r="C168" s="84"/>
      <c r="D168" s="84"/>
      <c r="E168" s="84"/>
      <c r="F168" s="84"/>
      <c r="G168" s="84"/>
      <c r="H168" s="84"/>
      <c r="I168" s="84"/>
      <c r="J168" s="84"/>
      <c r="K168" s="84"/>
      <c r="L168" s="84"/>
      <c r="M168" s="84"/>
      <c r="N168" s="84"/>
      <c r="O168" s="84"/>
      <c r="P168" s="84"/>
      <c r="Q168" s="84"/>
      <c r="R168" s="84"/>
      <c r="S168" s="84"/>
      <c r="T168" s="84"/>
      <c r="U168" s="84"/>
      <c r="V168" s="84"/>
      <c r="W168" s="84"/>
      <c r="X168" s="84"/>
      <c r="Y168" s="84"/>
      <c r="Z168" s="84"/>
    </row>
    <row r="169" ht="15.75" customHeight="1">
      <c r="A169" s="84"/>
      <c r="B169" s="84"/>
      <c r="C169" s="84"/>
      <c r="D169" s="84"/>
      <c r="E169" s="84"/>
      <c r="F169" s="84"/>
      <c r="G169" s="84"/>
      <c r="H169" s="84"/>
      <c r="I169" s="84"/>
      <c r="J169" s="84"/>
      <c r="K169" s="84"/>
      <c r="L169" s="84"/>
      <c r="M169" s="84"/>
      <c r="N169" s="84"/>
      <c r="O169" s="84"/>
      <c r="P169" s="84"/>
      <c r="Q169" s="84"/>
      <c r="R169" s="84"/>
      <c r="S169" s="84"/>
      <c r="T169" s="84"/>
      <c r="U169" s="84"/>
      <c r="V169" s="84"/>
      <c r="W169" s="84"/>
      <c r="X169" s="84"/>
      <c r="Y169" s="84"/>
      <c r="Z169" s="84"/>
    </row>
    <row r="170" ht="15.75" customHeight="1">
      <c r="A170" s="84"/>
      <c r="B170" s="84"/>
      <c r="C170" s="84"/>
      <c r="D170" s="84"/>
      <c r="E170" s="84"/>
      <c r="F170" s="84"/>
      <c r="G170" s="84"/>
      <c r="H170" s="84"/>
      <c r="I170" s="84"/>
      <c r="J170" s="84"/>
      <c r="K170" s="84"/>
      <c r="L170" s="84"/>
      <c r="M170" s="84"/>
      <c r="N170" s="84"/>
      <c r="O170" s="84"/>
      <c r="P170" s="84"/>
      <c r="Q170" s="84"/>
      <c r="R170" s="84"/>
      <c r="S170" s="84"/>
      <c r="T170" s="84"/>
      <c r="U170" s="84"/>
      <c r="V170" s="84"/>
      <c r="W170" s="84"/>
      <c r="X170" s="84"/>
      <c r="Y170" s="84"/>
      <c r="Z170" s="84"/>
    </row>
    <row r="171" ht="15.75" customHeight="1">
      <c r="A171" s="84"/>
      <c r="B171" s="84"/>
      <c r="C171" s="84"/>
      <c r="D171" s="84"/>
      <c r="E171" s="84"/>
      <c r="F171" s="84"/>
      <c r="G171" s="84"/>
      <c r="H171" s="84"/>
      <c r="I171" s="84"/>
      <c r="J171" s="84"/>
      <c r="K171" s="84"/>
      <c r="L171" s="84"/>
      <c r="M171" s="84"/>
      <c r="N171" s="84"/>
      <c r="O171" s="84"/>
      <c r="P171" s="84"/>
      <c r="Q171" s="84"/>
      <c r="R171" s="84"/>
      <c r="S171" s="84"/>
      <c r="T171" s="84"/>
      <c r="U171" s="84"/>
      <c r="V171" s="84"/>
      <c r="W171" s="84"/>
      <c r="X171" s="84"/>
      <c r="Y171" s="84"/>
      <c r="Z171" s="84"/>
    </row>
    <row r="172" ht="15.75" customHeight="1">
      <c r="A172" s="84"/>
      <c r="B172" s="84"/>
      <c r="C172" s="84"/>
      <c r="D172" s="84"/>
      <c r="E172" s="84"/>
      <c r="F172" s="84"/>
      <c r="G172" s="84"/>
      <c r="H172" s="84"/>
      <c r="I172" s="84"/>
      <c r="J172" s="84"/>
      <c r="K172" s="84"/>
      <c r="L172" s="84"/>
      <c r="M172" s="84"/>
      <c r="N172" s="84"/>
      <c r="O172" s="84"/>
      <c r="P172" s="84"/>
      <c r="Q172" s="84"/>
      <c r="R172" s="84"/>
      <c r="S172" s="84"/>
      <c r="T172" s="84"/>
      <c r="U172" s="84"/>
      <c r="V172" s="84"/>
      <c r="W172" s="84"/>
      <c r="X172" s="84"/>
      <c r="Y172" s="84"/>
      <c r="Z172" s="84"/>
    </row>
    <row r="173" ht="15.75" customHeight="1">
      <c r="A173" s="84"/>
      <c r="B173" s="84"/>
      <c r="C173" s="84"/>
      <c r="D173" s="84"/>
      <c r="E173" s="84"/>
      <c r="F173" s="84"/>
      <c r="G173" s="84"/>
      <c r="H173" s="84"/>
      <c r="I173" s="84"/>
      <c r="J173" s="84"/>
      <c r="K173" s="84"/>
      <c r="L173" s="84"/>
      <c r="M173" s="84"/>
      <c r="N173" s="84"/>
      <c r="O173" s="84"/>
      <c r="P173" s="84"/>
      <c r="Q173" s="84"/>
      <c r="R173" s="84"/>
      <c r="S173" s="84"/>
      <c r="T173" s="84"/>
      <c r="U173" s="84"/>
      <c r="V173" s="84"/>
      <c r="W173" s="84"/>
      <c r="X173" s="84"/>
      <c r="Y173" s="84"/>
      <c r="Z173" s="84"/>
    </row>
    <row r="174" ht="15.75" customHeight="1">
      <c r="A174" s="84"/>
      <c r="B174" s="84"/>
      <c r="C174" s="84"/>
      <c r="D174" s="84"/>
      <c r="E174" s="84"/>
      <c r="F174" s="84"/>
      <c r="G174" s="84"/>
      <c r="H174" s="84"/>
      <c r="I174" s="84"/>
      <c r="J174" s="84"/>
      <c r="K174" s="84"/>
      <c r="L174" s="84"/>
      <c r="M174" s="84"/>
      <c r="N174" s="84"/>
      <c r="O174" s="84"/>
      <c r="P174" s="84"/>
      <c r="Q174" s="84"/>
      <c r="R174" s="84"/>
      <c r="S174" s="84"/>
      <c r="T174" s="84"/>
      <c r="U174" s="84"/>
      <c r="V174" s="84"/>
      <c r="W174" s="84"/>
      <c r="X174" s="84"/>
      <c r="Y174" s="84"/>
      <c r="Z174" s="84"/>
    </row>
    <row r="175" ht="15.75" customHeight="1">
      <c r="A175" s="84"/>
      <c r="B175" s="84"/>
      <c r="C175" s="84"/>
      <c r="D175" s="84"/>
      <c r="E175" s="84"/>
      <c r="F175" s="84"/>
      <c r="G175" s="84"/>
      <c r="H175" s="84"/>
      <c r="I175" s="84"/>
      <c r="J175" s="84"/>
      <c r="K175" s="84"/>
      <c r="L175" s="84"/>
      <c r="M175" s="84"/>
      <c r="N175" s="84"/>
      <c r="O175" s="84"/>
      <c r="P175" s="84"/>
      <c r="Q175" s="84"/>
      <c r="R175" s="84"/>
      <c r="S175" s="84"/>
      <c r="T175" s="84"/>
      <c r="U175" s="84"/>
      <c r="V175" s="84"/>
      <c r="W175" s="84"/>
      <c r="X175" s="84"/>
      <c r="Y175" s="84"/>
      <c r="Z175" s="84"/>
    </row>
    <row r="176" ht="15.75" customHeight="1">
      <c r="A176" s="84"/>
      <c r="B176" s="84"/>
      <c r="C176" s="84"/>
      <c r="D176" s="84"/>
      <c r="E176" s="84"/>
      <c r="F176" s="84"/>
      <c r="G176" s="84"/>
      <c r="H176" s="84"/>
      <c r="I176" s="84"/>
      <c r="J176" s="84"/>
      <c r="K176" s="84"/>
      <c r="L176" s="84"/>
      <c r="M176" s="84"/>
      <c r="N176" s="84"/>
      <c r="O176" s="84"/>
      <c r="P176" s="84"/>
      <c r="Q176" s="84"/>
      <c r="R176" s="84"/>
      <c r="S176" s="84"/>
      <c r="T176" s="84"/>
      <c r="U176" s="84"/>
      <c r="V176" s="84"/>
      <c r="W176" s="84"/>
      <c r="X176" s="84"/>
      <c r="Y176" s="84"/>
      <c r="Z176" s="84"/>
    </row>
    <row r="177" ht="15.75" customHeight="1">
      <c r="A177" s="84"/>
      <c r="B177" s="84"/>
      <c r="C177" s="84"/>
      <c r="D177" s="84"/>
      <c r="E177" s="84"/>
      <c r="F177" s="84"/>
      <c r="G177" s="84"/>
      <c r="H177" s="84"/>
      <c r="I177" s="84"/>
      <c r="J177" s="84"/>
      <c r="K177" s="84"/>
      <c r="L177" s="84"/>
      <c r="M177" s="84"/>
      <c r="N177" s="84"/>
      <c r="O177" s="84"/>
      <c r="P177" s="84"/>
      <c r="Q177" s="84"/>
      <c r="R177" s="84"/>
      <c r="S177" s="84"/>
      <c r="T177" s="84"/>
      <c r="U177" s="84"/>
      <c r="V177" s="84"/>
      <c r="W177" s="84"/>
      <c r="X177" s="84"/>
      <c r="Y177" s="84"/>
      <c r="Z177" s="84"/>
    </row>
    <row r="178" ht="15.75" customHeight="1">
      <c r="A178" s="84"/>
      <c r="B178" s="84"/>
      <c r="C178" s="84"/>
      <c r="D178" s="84"/>
      <c r="E178" s="84"/>
      <c r="F178" s="84"/>
      <c r="G178" s="84"/>
      <c r="H178" s="84"/>
      <c r="I178" s="84"/>
      <c r="J178" s="84"/>
      <c r="K178" s="84"/>
      <c r="L178" s="84"/>
      <c r="M178" s="84"/>
      <c r="N178" s="84"/>
      <c r="O178" s="84"/>
      <c r="P178" s="84"/>
      <c r="Q178" s="84"/>
      <c r="R178" s="84"/>
      <c r="S178" s="84"/>
      <c r="T178" s="84"/>
      <c r="U178" s="84"/>
      <c r="V178" s="84"/>
      <c r="W178" s="84"/>
      <c r="X178" s="84"/>
      <c r="Y178" s="84"/>
      <c r="Z178" s="84"/>
    </row>
    <row r="179" ht="15.75" customHeight="1">
      <c r="A179" s="84"/>
      <c r="B179" s="84"/>
      <c r="C179" s="84"/>
      <c r="D179" s="84"/>
      <c r="E179" s="84"/>
      <c r="F179" s="84"/>
      <c r="G179" s="84"/>
      <c r="H179" s="84"/>
      <c r="I179" s="84"/>
      <c r="J179" s="84"/>
      <c r="K179" s="84"/>
      <c r="L179" s="84"/>
      <c r="M179" s="84"/>
      <c r="N179" s="84"/>
      <c r="O179" s="84"/>
      <c r="P179" s="84"/>
      <c r="Q179" s="84"/>
      <c r="R179" s="84"/>
      <c r="S179" s="84"/>
      <c r="T179" s="84"/>
      <c r="U179" s="84"/>
      <c r="V179" s="84"/>
      <c r="W179" s="84"/>
      <c r="X179" s="84"/>
      <c r="Y179" s="84"/>
      <c r="Z179" s="84"/>
    </row>
    <row r="180" ht="15.75" customHeight="1">
      <c r="A180" s="84"/>
      <c r="B180" s="84"/>
      <c r="C180" s="84"/>
      <c r="D180" s="84"/>
      <c r="E180" s="84"/>
      <c r="F180" s="84"/>
      <c r="G180" s="84"/>
      <c r="H180" s="84"/>
      <c r="I180" s="84"/>
      <c r="J180" s="84"/>
      <c r="K180" s="84"/>
      <c r="L180" s="84"/>
      <c r="M180" s="84"/>
      <c r="N180" s="84"/>
      <c r="O180" s="84"/>
      <c r="P180" s="84"/>
      <c r="Q180" s="84"/>
      <c r="R180" s="84"/>
      <c r="S180" s="84"/>
      <c r="T180" s="84"/>
      <c r="U180" s="84"/>
      <c r="V180" s="84"/>
      <c r="W180" s="84"/>
      <c r="X180" s="84"/>
      <c r="Y180" s="84"/>
      <c r="Z180" s="84"/>
    </row>
    <row r="181" ht="15.75" customHeight="1">
      <c r="A181" s="84"/>
      <c r="B181" s="84"/>
      <c r="C181" s="84"/>
      <c r="D181" s="84"/>
      <c r="E181" s="84"/>
      <c r="F181" s="84"/>
      <c r="G181" s="84"/>
      <c r="H181" s="84"/>
      <c r="I181" s="84"/>
      <c r="J181" s="84"/>
      <c r="K181" s="84"/>
      <c r="L181" s="84"/>
      <c r="M181" s="84"/>
      <c r="N181" s="84"/>
      <c r="O181" s="84"/>
      <c r="P181" s="84"/>
      <c r="Q181" s="84"/>
      <c r="R181" s="84"/>
      <c r="S181" s="84"/>
      <c r="T181" s="84"/>
      <c r="U181" s="84"/>
      <c r="V181" s="84"/>
      <c r="W181" s="84"/>
      <c r="X181" s="84"/>
      <c r="Y181" s="84"/>
      <c r="Z181" s="84"/>
    </row>
    <row r="182" ht="15.75" customHeight="1">
      <c r="A182" s="84"/>
      <c r="B182" s="84"/>
      <c r="C182" s="84"/>
      <c r="D182" s="84"/>
      <c r="E182" s="84"/>
      <c r="F182" s="84"/>
      <c r="G182" s="84"/>
      <c r="H182" s="84"/>
      <c r="I182" s="84"/>
      <c r="J182" s="84"/>
      <c r="K182" s="84"/>
      <c r="L182" s="84"/>
      <c r="M182" s="84"/>
      <c r="N182" s="84"/>
      <c r="O182" s="84"/>
      <c r="P182" s="84"/>
      <c r="Q182" s="84"/>
      <c r="R182" s="84"/>
      <c r="S182" s="84"/>
      <c r="T182" s="84"/>
      <c r="U182" s="84"/>
      <c r="V182" s="84"/>
      <c r="W182" s="84"/>
      <c r="X182" s="84"/>
      <c r="Y182" s="84"/>
      <c r="Z182" s="84"/>
    </row>
    <row r="183" ht="15.75" customHeight="1">
      <c r="A183" s="84"/>
      <c r="B183" s="84"/>
      <c r="C183" s="84"/>
      <c r="D183" s="84"/>
      <c r="E183" s="84"/>
      <c r="F183" s="84"/>
      <c r="G183" s="84"/>
      <c r="H183" s="84"/>
      <c r="I183" s="84"/>
      <c r="J183" s="84"/>
      <c r="K183" s="84"/>
      <c r="L183" s="84"/>
      <c r="M183" s="84"/>
      <c r="N183" s="84"/>
      <c r="O183" s="84"/>
      <c r="P183" s="84"/>
      <c r="Q183" s="84"/>
      <c r="R183" s="84"/>
      <c r="S183" s="84"/>
      <c r="T183" s="84"/>
      <c r="U183" s="84"/>
      <c r="V183" s="84"/>
      <c r="W183" s="84"/>
      <c r="X183" s="84"/>
      <c r="Y183" s="84"/>
      <c r="Z183" s="84"/>
    </row>
    <row r="184" ht="15.75" customHeight="1">
      <c r="A184" s="84"/>
      <c r="B184" s="84"/>
      <c r="C184" s="84"/>
      <c r="D184" s="84"/>
      <c r="E184" s="84"/>
      <c r="F184" s="84"/>
      <c r="G184" s="84"/>
      <c r="H184" s="84"/>
      <c r="I184" s="84"/>
      <c r="J184" s="84"/>
      <c r="K184" s="84"/>
      <c r="L184" s="84"/>
      <c r="M184" s="84"/>
      <c r="N184" s="84"/>
      <c r="O184" s="84"/>
      <c r="P184" s="84"/>
      <c r="Q184" s="84"/>
      <c r="R184" s="84"/>
      <c r="S184" s="84"/>
      <c r="T184" s="84"/>
      <c r="U184" s="84"/>
      <c r="V184" s="84"/>
      <c r="W184" s="84"/>
      <c r="X184" s="84"/>
      <c r="Y184" s="84"/>
      <c r="Z184" s="84"/>
    </row>
    <row r="185" ht="15.75" customHeight="1">
      <c r="A185" s="84"/>
      <c r="B185" s="84"/>
      <c r="C185" s="84"/>
      <c r="D185" s="84"/>
      <c r="E185" s="84"/>
      <c r="F185" s="84"/>
      <c r="G185" s="84"/>
      <c r="H185" s="84"/>
      <c r="I185" s="84"/>
      <c r="J185" s="84"/>
      <c r="K185" s="84"/>
      <c r="L185" s="84"/>
      <c r="M185" s="84"/>
      <c r="N185" s="84"/>
      <c r="O185" s="84"/>
      <c r="P185" s="84"/>
      <c r="Q185" s="84"/>
      <c r="R185" s="84"/>
      <c r="S185" s="84"/>
      <c r="T185" s="84"/>
      <c r="U185" s="84"/>
      <c r="V185" s="84"/>
      <c r="W185" s="84"/>
      <c r="X185" s="84"/>
      <c r="Y185" s="84"/>
      <c r="Z185" s="84"/>
    </row>
    <row r="186" ht="15.75" customHeight="1">
      <c r="A186" s="84"/>
      <c r="B186" s="84"/>
      <c r="C186" s="84"/>
      <c r="D186" s="84"/>
      <c r="E186" s="84"/>
      <c r="F186" s="84"/>
      <c r="G186" s="84"/>
      <c r="H186" s="84"/>
      <c r="I186" s="84"/>
      <c r="J186" s="84"/>
      <c r="K186" s="84"/>
      <c r="L186" s="84"/>
      <c r="M186" s="84"/>
      <c r="N186" s="84"/>
      <c r="O186" s="84"/>
      <c r="P186" s="84"/>
      <c r="Q186" s="84"/>
      <c r="R186" s="84"/>
      <c r="S186" s="84"/>
      <c r="T186" s="84"/>
      <c r="U186" s="84"/>
      <c r="V186" s="84"/>
      <c r="W186" s="84"/>
      <c r="X186" s="84"/>
      <c r="Y186" s="84"/>
      <c r="Z186" s="84"/>
    </row>
    <row r="187" ht="15.75" customHeight="1">
      <c r="A187" s="84"/>
      <c r="B187" s="84"/>
      <c r="C187" s="84"/>
      <c r="D187" s="84"/>
      <c r="E187" s="84"/>
      <c r="F187" s="84"/>
      <c r="G187" s="84"/>
      <c r="H187" s="84"/>
      <c r="I187" s="84"/>
      <c r="J187" s="84"/>
      <c r="K187" s="84"/>
      <c r="L187" s="84"/>
      <c r="M187" s="84"/>
      <c r="N187" s="84"/>
      <c r="O187" s="84"/>
      <c r="P187" s="84"/>
      <c r="Q187" s="84"/>
      <c r="R187" s="84"/>
      <c r="S187" s="84"/>
      <c r="T187" s="84"/>
      <c r="U187" s="84"/>
      <c r="V187" s="84"/>
      <c r="W187" s="84"/>
      <c r="X187" s="84"/>
      <c r="Y187" s="84"/>
      <c r="Z187" s="84"/>
    </row>
    <row r="188" ht="15.75" customHeight="1">
      <c r="A188" s="84"/>
      <c r="B188" s="84"/>
      <c r="C188" s="84"/>
      <c r="D188" s="84"/>
      <c r="E188" s="84"/>
      <c r="F188" s="84"/>
      <c r="G188" s="84"/>
      <c r="H188" s="84"/>
      <c r="I188" s="84"/>
      <c r="J188" s="84"/>
      <c r="K188" s="84"/>
      <c r="L188" s="84"/>
      <c r="M188" s="84"/>
      <c r="N188" s="84"/>
      <c r="O188" s="84"/>
      <c r="P188" s="84"/>
      <c r="Q188" s="84"/>
      <c r="R188" s="84"/>
      <c r="S188" s="84"/>
      <c r="T188" s="84"/>
      <c r="U188" s="84"/>
      <c r="V188" s="84"/>
      <c r="W188" s="84"/>
      <c r="X188" s="84"/>
      <c r="Y188" s="84"/>
      <c r="Z188" s="84"/>
    </row>
    <row r="189" ht="15.75" customHeight="1">
      <c r="A189" s="84"/>
      <c r="B189" s="84"/>
      <c r="C189" s="84"/>
      <c r="D189" s="84"/>
      <c r="E189" s="84"/>
      <c r="F189" s="84"/>
      <c r="G189" s="84"/>
      <c r="H189" s="84"/>
      <c r="I189" s="84"/>
      <c r="J189" s="84"/>
      <c r="K189" s="84"/>
      <c r="L189" s="84"/>
      <c r="M189" s="84"/>
      <c r="N189" s="84"/>
      <c r="O189" s="84"/>
      <c r="P189" s="84"/>
      <c r="Q189" s="84"/>
      <c r="R189" s="84"/>
      <c r="S189" s="84"/>
      <c r="T189" s="84"/>
      <c r="U189" s="84"/>
      <c r="V189" s="84"/>
      <c r="W189" s="84"/>
      <c r="X189" s="84"/>
      <c r="Y189" s="84"/>
      <c r="Z189" s="84"/>
    </row>
    <row r="190" ht="15.75" customHeight="1">
      <c r="A190" s="84"/>
      <c r="B190" s="84"/>
      <c r="C190" s="84"/>
      <c r="D190" s="84"/>
      <c r="E190" s="84"/>
      <c r="F190" s="84"/>
      <c r="G190" s="84"/>
      <c r="H190" s="84"/>
      <c r="I190" s="84"/>
      <c r="J190" s="84"/>
      <c r="K190" s="84"/>
      <c r="L190" s="84"/>
      <c r="M190" s="84"/>
      <c r="N190" s="84"/>
      <c r="O190" s="84"/>
      <c r="P190" s="84"/>
      <c r="Q190" s="84"/>
      <c r="R190" s="84"/>
      <c r="S190" s="84"/>
      <c r="T190" s="84"/>
      <c r="U190" s="84"/>
      <c r="V190" s="84"/>
      <c r="W190" s="84"/>
      <c r="X190" s="84"/>
      <c r="Y190" s="84"/>
      <c r="Z190" s="84"/>
    </row>
    <row r="191" ht="15.75" customHeight="1">
      <c r="A191" s="84"/>
      <c r="B191" s="84"/>
      <c r="C191" s="84"/>
      <c r="D191" s="84"/>
      <c r="E191" s="84"/>
      <c r="F191" s="84"/>
      <c r="G191" s="84"/>
      <c r="H191" s="84"/>
      <c r="I191" s="84"/>
      <c r="J191" s="84"/>
      <c r="K191" s="84"/>
      <c r="L191" s="84"/>
      <c r="M191" s="84"/>
      <c r="N191" s="84"/>
      <c r="O191" s="84"/>
      <c r="P191" s="84"/>
      <c r="Q191" s="84"/>
      <c r="R191" s="84"/>
      <c r="S191" s="84"/>
      <c r="T191" s="84"/>
      <c r="U191" s="84"/>
      <c r="V191" s="84"/>
      <c r="W191" s="84"/>
      <c r="X191" s="84"/>
      <c r="Y191" s="84"/>
      <c r="Z191" s="84"/>
    </row>
    <row r="192" ht="15.75" customHeight="1">
      <c r="A192" s="84"/>
      <c r="B192" s="84"/>
      <c r="C192" s="84"/>
      <c r="D192" s="84"/>
      <c r="E192" s="84"/>
      <c r="F192" s="84"/>
      <c r="G192" s="84"/>
      <c r="H192" s="84"/>
      <c r="I192" s="84"/>
      <c r="J192" s="84"/>
      <c r="K192" s="84"/>
      <c r="L192" s="84"/>
      <c r="M192" s="84"/>
      <c r="N192" s="84"/>
      <c r="O192" s="84"/>
      <c r="P192" s="84"/>
      <c r="Q192" s="84"/>
      <c r="R192" s="84"/>
      <c r="S192" s="84"/>
      <c r="T192" s="84"/>
      <c r="U192" s="84"/>
      <c r="V192" s="84"/>
      <c r="W192" s="84"/>
      <c r="X192" s="84"/>
      <c r="Y192" s="84"/>
      <c r="Z192" s="84"/>
    </row>
    <row r="193" ht="15.75" customHeight="1">
      <c r="A193" s="84"/>
      <c r="B193" s="84"/>
      <c r="C193" s="84"/>
      <c r="D193" s="84"/>
      <c r="E193" s="84"/>
      <c r="F193" s="84"/>
      <c r="G193" s="84"/>
      <c r="H193" s="84"/>
      <c r="I193" s="84"/>
      <c r="J193" s="84"/>
      <c r="K193" s="84"/>
      <c r="L193" s="84"/>
      <c r="M193" s="84"/>
      <c r="N193" s="84"/>
      <c r="O193" s="84"/>
      <c r="P193" s="84"/>
      <c r="Q193" s="84"/>
      <c r="R193" s="84"/>
      <c r="S193" s="84"/>
      <c r="T193" s="84"/>
      <c r="U193" s="84"/>
      <c r="V193" s="84"/>
      <c r="W193" s="84"/>
      <c r="X193" s="84"/>
      <c r="Y193" s="84"/>
      <c r="Z193" s="84"/>
    </row>
    <row r="194" ht="15.75" customHeight="1">
      <c r="A194" s="84"/>
      <c r="B194" s="84"/>
      <c r="C194" s="84"/>
      <c r="D194" s="84"/>
      <c r="E194" s="84"/>
      <c r="F194" s="84"/>
      <c r="G194" s="84"/>
      <c r="H194" s="84"/>
      <c r="I194" s="84"/>
      <c r="J194" s="84"/>
      <c r="K194" s="84"/>
      <c r="L194" s="84"/>
      <c r="M194" s="84"/>
      <c r="N194" s="84"/>
      <c r="O194" s="84"/>
      <c r="P194" s="84"/>
      <c r="Q194" s="84"/>
      <c r="R194" s="84"/>
      <c r="S194" s="84"/>
      <c r="T194" s="84"/>
      <c r="U194" s="84"/>
      <c r="V194" s="84"/>
      <c r="W194" s="84"/>
      <c r="X194" s="84"/>
      <c r="Y194" s="84"/>
      <c r="Z194" s="84"/>
    </row>
    <row r="195" ht="15.75" customHeight="1">
      <c r="A195" s="84"/>
      <c r="B195" s="84"/>
      <c r="C195" s="84"/>
      <c r="D195" s="84"/>
      <c r="E195" s="84"/>
      <c r="F195" s="84"/>
      <c r="G195" s="84"/>
      <c r="H195" s="84"/>
      <c r="I195" s="84"/>
      <c r="J195" s="84"/>
      <c r="K195" s="84"/>
      <c r="L195" s="84"/>
      <c r="M195" s="84"/>
      <c r="N195" s="84"/>
      <c r="O195" s="84"/>
      <c r="P195" s="84"/>
      <c r="Q195" s="84"/>
      <c r="R195" s="84"/>
      <c r="S195" s="84"/>
      <c r="T195" s="84"/>
      <c r="U195" s="84"/>
      <c r="V195" s="84"/>
      <c r="W195" s="84"/>
      <c r="X195" s="84"/>
      <c r="Y195" s="84"/>
      <c r="Z195" s="84"/>
    </row>
    <row r="196" ht="15.75" customHeight="1">
      <c r="A196" s="84"/>
      <c r="B196" s="84"/>
      <c r="C196" s="84"/>
      <c r="D196" s="84"/>
      <c r="E196" s="84"/>
      <c r="F196" s="84"/>
      <c r="G196" s="84"/>
      <c r="H196" s="84"/>
      <c r="I196" s="84"/>
      <c r="J196" s="84"/>
      <c r="K196" s="84"/>
      <c r="L196" s="84"/>
      <c r="M196" s="84"/>
      <c r="N196" s="84"/>
      <c r="O196" s="84"/>
      <c r="P196" s="84"/>
      <c r="Q196" s="84"/>
      <c r="R196" s="84"/>
      <c r="S196" s="84"/>
      <c r="T196" s="84"/>
      <c r="U196" s="84"/>
      <c r="V196" s="84"/>
      <c r="W196" s="84"/>
      <c r="X196" s="84"/>
      <c r="Y196" s="84"/>
      <c r="Z196" s="84"/>
    </row>
    <row r="197" ht="15.75" customHeight="1">
      <c r="A197" s="84"/>
      <c r="B197" s="84"/>
      <c r="C197" s="84"/>
      <c r="D197" s="84"/>
      <c r="E197" s="84"/>
      <c r="F197" s="84"/>
      <c r="G197" s="84"/>
      <c r="H197" s="84"/>
      <c r="I197" s="84"/>
      <c r="J197" s="84"/>
      <c r="K197" s="84"/>
      <c r="L197" s="84"/>
      <c r="M197" s="84"/>
      <c r="N197" s="84"/>
      <c r="O197" s="84"/>
      <c r="P197" s="84"/>
      <c r="Q197" s="84"/>
      <c r="R197" s="84"/>
      <c r="S197" s="84"/>
      <c r="T197" s="84"/>
      <c r="U197" s="84"/>
      <c r="V197" s="84"/>
      <c r="W197" s="84"/>
      <c r="X197" s="84"/>
      <c r="Y197" s="84"/>
      <c r="Z197" s="84"/>
    </row>
    <row r="198" ht="15.75" customHeight="1">
      <c r="A198" s="84"/>
      <c r="B198" s="84"/>
      <c r="C198" s="84"/>
      <c r="D198" s="84"/>
      <c r="E198" s="84"/>
      <c r="F198" s="84"/>
      <c r="G198" s="84"/>
      <c r="H198" s="84"/>
      <c r="I198" s="84"/>
      <c r="J198" s="84"/>
      <c r="K198" s="84"/>
      <c r="L198" s="84"/>
      <c r="M198" s="84"/>
      <c r="N198" s="84"/>
      <c r="O198" s="84"/>
      <c r="P198" s="84"/>
      <c r="Q198" s="84"/>
      <c r="R198" s="84"/>
      <c r="S198" s="84"/>
      <c r="T198" s="84"/>
      <c r="U198" s="84"/>
      <c r="V198" s="84"/>
      <c r="W198" s="84"/>
      <c r="X198" s="84"/>
      <c r="Y198" s="84"/>
      <c r="Z198" s="84"/>
    </row>
    <row r="199" ht="15.75" customHeight="1">
      <c r="A199" s="84"/>
      <c r="B199" s="84"/>
      <c r="C199" s="84"/>
      <c r="D199" s="84"/>
      <c r="E199" s="84"/>
      <c r="F199" s="84"/>
      <c r="G199" s="84"/>
      <c r="H199" s="84"/>
      <c r="I199" s="84"/>
      <c r="J199" s="84"/>
      <c r="K199" s="84"/>
      <c r="L199" s="84"/>
      <c r="M199" s="84"/>
      <c r="N199" s="84"/>
      <c r="O199" s="84"/>
      <c r="P199" s="84"/>
      <c r="Q199" s="84"/>
      <c r="R199" s="84"/>
      <c r="S199" s="84"/>
      <c r="T199" s="84"/>
      <c r="U199" s="84"/>
      <c r="V199" s="84"/>
      <c r="W199" s="84"/>
      <c r="X199" s="84"/>
      <c r="Y199" s="84"/>
      <c r="Z199" s="84"/>
    </row>
    <row r="200" ht="15.75" customHeight="1">
      <c r="A200" s="84"/>
      <c r="B200" s="84"/>
      <c r="C200" s="84"/>
      <c r="D200" s="84"/>
      <c r="E200" s="84"/>
      <c r="F200" s="84"/>
      <c r="G200" s="84"/>
      <c r="H200" s="84"/>
      <c r="I200" s="84"/>
      <c r="J200" s="84"/>
      <c r="K200" s="84"/>
      <c r="L200" s="84"/>
      <c r="M200" s="84"/>
      <c r="N200" s="84"/>
      <c r="O200" s="84"/>
      <c r="P200" s="84"/>
      <c r="Q200" s="84"/>
      <c r="R200" s="84"/>
      <c r="S200" s="84"/>
      <c r="T200" s="84"/>
      <c r="U200" s="84"/>
      <c r="V200" s="84"/>
      <c r="W200" s="84"/>
      <c r="X200" s="84"/>
      <c r="Y200" s="84"/>
      <c r="Z200" s="84"/>
    </row>
    <row r="201" ht="15.75" customHeight="1">
      <c r="A201" s="84"/>
      <c r="B201" s="84"/>
      <c r="C201" s="84"/>
      <c r="D201" s="84"/>
      <c r="E201" s="84"/>
      <c r="F201" s="84"/>
      <c r="G201" s="84"/>
      <c r="H201" s="84"/>
      <c r="I201" s="84"/>
      <c r="J201" s="84"/>
      <c r="K201" s="84"/>
      <c r="L201" s="84"/>
      <c r="M201" s="84"/>
      <c r="N201" s="84"/>
      <c r="O201" s="84"/>
      <c r="P201" s="84"/>
      <c r="Q201" s="84"/>
      <c r="R201" s="84"/>
      <c r="S201" s="84"/>
      <c r="T201" s="84"/>
      <c r="U201" s="84"/>
      <c r="V201" s="84"/>
      <c r="W201" s="84"/>
      <c r="X201" s="84"/>
      <c r="Y201" s="84"/>
      <c r="Z201" s="84"/>
    </row>
    <row r="202" ht="15.75" customHeight="1">
      <c r="A202" s="84"/>
      <c r="B202" s="84"/>
      <c r="C202" s="84"/>
      <c r="D202" s="84"/>
      <c r="E202" s="84"/>
      <c r="F202" s="84"/>
      <c r="G202" s="84"/>
      <c r="H202" s="84"/>
      <c r="I202" s="84"/>
      <c r="J202" s="84"/>
      <c r="K202" s="84"/>
      <c r="L202" s="84"/>
      <c r="M202" s="84"/>
      <c r="N202" s="84"/>
      <c r="O202" s="84"/>
      <c r="P202" s="84"/>
      <c r="Q202" s="84"/>
      <c r="R202" s="84"/>
      <c r="S202" s="84"/>
      <c r="T202" s="84"/>
      <c r="U202" s="84"/>
      <c r="V202" s="84"/>
      <c r="W202" s="84"/>
      <c r="X202" s="84"/>
      <c r="Y202" s="84"/>
      <c r="Z202" s="84"/>
    </row>
    <row r="203" ht="15.75" customHeight="1">
      <c r="A203" s="84"/>
      <c r="B203" s="84"/>
      <c r="C203" s="84"/>
      <c r="D203" s="84"/>
      <c r="E203" s="84"/>
      <c r="F203" s="84"/>
      <c r="G203" s="84"/>
      <c r="H203" s="84"/>
      <c r="I203" s="84"/>
      <c r="J203" s="84"/>
      <c r="K203" s="84"/>
      <c r="L203" s="84"/>
      <c r="M203" s="84"/>
      <c r="N203" s="84"/>
      <c r="O203" s="84"/>
      <c r="P203" s="84"/>
      <c r="Q203" s="84"/>
      <c r="R203" s="84"/>
      <c r="S203" s="84"/>
      <c r="T203" s="84"/>
      <c r="U203" s="84"/>
      <c r="V203" s="84"/>
      <c r="W203" s="84"/>
      <c r="X203" s="84"/>
      <c r="Y203" s="84"/>
      <c r="Z203" s="84"/>
    </row>
    <row r="204" ht="15.75" customHeight="1">
      <c r="A204" s="84"/>
      <c r="B204" s="84"/>
      <c r="C204" s="84"/>
      <c r="D204" s="84"/>
      <c r="E204" s="84"/>
      <c r="F204" s="84"/>
      <c r="G204" s="84"/>
      <c r="H204" s="84"/>
      <c r="I204" s="84"/>
      <c r="J204" s="84"/>
      <c r="K204" s="84"/>
      <c r="L204" s="84"/>
      <c r="M204" s="84"/>
      <c r="N204" s="84"/>
      <c r="O204" s="84"/>
      <c r="P204" s="84"/>
      <c r="Q204" s="84"/>
      <c r="R204" s="84"/>
      <c r="S204" s="84"/>
      <c r="T204" s="84"/>
      <c r="U204" s="84"/>
      <c r="V204" s="84"/>
      <c r="W204" s="84"/>
      <c r="X204" s="84"/>
      <c r="Y204" s="84"/>
      <c r="Z204" s="84"/>
    </row>
    <row r="205" ht="15.75" customHeight="1">
      <c r="A205" s="84"/>
      <c r="B205" s="84"/>
      <c r="C205" s="84"/>
      <c r="D205" s="84"/>
      <c r="E205" s="84"/>
      <c r="F205" s="84"/>
      <c r="G205" s="84"/>
      <c r="H205" s="84"/>
      <c r="I205" s="84"/>
      <c r="J205" s="84"/>
      <c r="K205" s="84"/>
      <c r="L205" s="84"/>
      <c r="M205" s="84"/>
      <c r="N205" s="84"/>
      <c r="O205" s="84"/>
      <c r="P205" s="84"/>
      <c r="Q205" s="84"/>
      <c r="R205" s="84"/>
      <c r="S205" s="84"/>
      <c r="T205" s="84"/>
      <c r="U205" s="84"/>
      <c r="V205" s="84"/>
      <c r="W205" s="84"/>
      <c r="X205" s="84"/>
      <c r="Y205" s="84"/>
      <c r="Z205" s="84"/>
    </row>
    <row r="206" ht="15.75" customHeight="1">
      <c r="A206" s="84"/>
      <c r="B206" s="84"/>
      <c r="C206" s="84"/>
      <c r="D206" s="84"/>
      <c r="E206" s="84"/>
      <c r="F206" s="84"/>
      <c r="G206" s="84"/>
      <c r="H206" s="84"/>
      <c r="I206" s="84"/>
      <c r="J206" s="84"/>
      <c r="K206" s="84"/>
      <c r="L206" s="84"/>
      <c r="M206" s="84"/>
      <c r="N206" s="84"/>
      <c r="O206" s="84"/>
      <c r="P206" s="84"/>
      <c r="Q206" s="84"/>
      <c r="R206" s="84"/>
      <c r="S206" s="84"/>
      <c r="T206" s="84"/>
      <c r="U206" s="84"/>
      <c r="V206" s="84"/>
      <c r="W206" s="84"/>
      <c r="X206" s="84"/>
      <c r="Y206" s="84"/>
      <c r="Z206" s="84"/>
    </row>
    <row r="207" ht="15.75" customHeight="1">
      <c r="A207" s="84"/>
      <c r="B207" s="84"/>
      <c r="C207" s="84"/>
      <c r="D207" s="84"/>
      <c r="E207" s="84"/>
      <c r="F207" s="84"/>
      <c r="G207" s="84"/>
      <c r="H207" s="84"/>
      <c r="I207" s="84"/>
      <c r="J207" s="84"/>
      <c r="K207" s="84"/>
      <c r="L207" s="84"/>
      <c r="M207" s="84"/>
      <c r="N207" s="84"/>
      <c r="O207" s="84"/>
      <c r="P207" s="84"/>
      <c r="Q207" s="84"/>
      <c r="R207" s="84"/>
      <c r="S207" s="84"/>
      <c r="T207" s="84"/>
      <c r="U207" s="84"/>
      <c r="V207" s="84"/>
      <c r="W207" s="84"/>
      <c r="X207" s="84"/>
      <c r="Y207" s="84"/>
      <c r="Z207" s="84"/>
    </row>
    <row r="208" ht="15.75" customHeight="1">
      <c r="A208" s="84"/>
      <c r="B208" s="84"/>
      <c r="C208" s="84"/>
      <c r="D208" s="84"/>
      <c r="E208" s="84"/>
      <c r="F208" s="84"/>
      <c r="G208" s="84"/>
      <c r="H208" s="84"/>
      <c r="I208" s="84"/>
      <c r="J208" s="84"/>
      <c r="K208" s="84"/>
      <c r="L208" s="84"/>
      <c r="M208" s="84"/>
      <c r="N208" s="84"/>
      <c r="O208" s="84"/>
      <c r="P208" s="84"/>
      <c r="Q208" s="84"/>
      <c r="R208" s="84"/>
      <c r="S208" s="84"/>
      <c r="T208" s="84"/>
      <c r="U208" s="84"/>
      <c r="V208" s="84"/>
      <c r="W208" s="84"/>
      <c r="X208" s="84"/>
      <c r="Y208" s="84"/>
      <c r="Z208" s="84"/>
    </row>
    <row r="209" ht="15.75" customHeight="1">
      <c r="A209" s="84"/>
      <c r="B209" s="84"/>
      <c r="C209" s="84"/>
      <c r="D209" s="84"/>
      <c r="E209" s="84"/>
      <c r="F209" s="84"/>
      <c r="G209" s="84"/>
      <c r="H209" s="84"/>
      <c r="I209" s="84"/>
      <c r="J209" s="84"/>
      <c r="K209" s="84"/>
      <c r="L209" s="84"/>
      <c r="M209" s="84"/>
      <c r="N209" s="84"/>
      <c r="O209" s="84"/>
      <c r="P209" s="84"/>
      <c r="Q209" s="84"/>
      <c r="R209" s="84"/>
      <c r="S209" s="84"/>
      <c r="T209" s="84"/>
      <c r="U209" s="84"/>
      <c r="V209" s="84"/>
      <c r="W209" s="84"/>
      <c r="X209" s="84"/>
      <c r="Y209" s="84"/>
      <c r="Z209" s="84"/>
    </row>
    <row r="210" ht="15.75" customHeight="1">
      <c r="A210" s="84"/>
      <c r="B210" s="84"/>
      <c r="C210" s="84"/>
      <c r="D210" s="84"/>
      <c r="E210" s="84"/>
      <c r="F210" s="84"/>
      <c r="G210" s="84"/>
      <c r="H210" s="84"/>
      <c r="I210" s="84"/>
      <c r="J210" s="84"/>
      <c r="K210" s="84"/>
      <c r="L210" s="84"/>
      <c r="M210" s="84"/>
      <c r="N210" s="84"/>
      <c r="O210" s="84"/>
      <c r="P210" s="84"/>
      <c r="Q210" s="84"/>
      <c r="R210" s="84"/>
      <c r="S210" s="84"/>
      <c r="T210" s="84"/>
      <c r="U210" s="84"/>
      <c r="V210" s="84"/>
      <c r="W210" s="84"/>
      <c r="X210" s="84"/>
      <c r="Y210" s="84"/>
      <c r="Z210" s="84"/>
    </row>
    <row r="211" ht="15.75" customHeight="1">
      <c r="A211" s="84"/>
      <c r="B211" s="84"/>
      <c r="C211" s="84"/>
      <c r="D211" s="84"/>
      <c r="E211" s="84"/>
      <c r="F211" s="84"/>
      <c r="G211" s="84"/>
      <c r="H211" s="84"/>
      <c r="I211" s="84"/>
      <c r="J211" s="84"/>
      <c r="K211" s="84"/>
      <c r="L211" s="84"/>
      <c r="M211" s="84"/>
      <c r="N211" s="84"/>
      <c r="O211" s="84"/>
      <c r="P211" s="84"/>
      <c r="Q211" s="84"/>
      <c r="R211" s="84"/>
      <c r="S211" s="84"/>
      <c r="T211" s="84"/>
      <c r="U211" s="84"/>
      <c r="V211" s="84"/>
      <c r="W211" s="84"/>
      <c r="X211" s="84"/>
      <c r="Y211" s="84"/>
      <c r="Z211" s="84"/>
    </row>
    <row r="212" ht="15.75" customHeight="1">
      <c r="A212" s="84"/>
      <c r="B212" s="84"/>
      <c r="C212" s="84"/>
      <c r="D212" s="84"/>
      <c r="E212" s="84"/>
      <c r="F212" s="84"/>
      <c r="G212" s="84"/>
      <c r="H212" s="84"/>
      <c r="I212" s="84"/>
      <c r="J212" s="84"/>
      <c r="K212" s="84"/>
      <c r="L212" s="84"/>
      <c r="M212" s="84"/>
      <c r="N212" s="84"/>
      <c r="O212" s="84"/>
      <c r="P212" s="84"/>
      <c r="Q212" s="84"/>
      <c r="R212" s="84"/>
      <c r="S212" s="84"/>
      <c r="T212" s="84"/>
      <c r="U212" s="84"/>
      <c r="V212" s="84"/>
      <c r="W212" s="84"/>
      <c r="X212" s="84"/>
      <c r="Y212" s="84"/>
      <c r="Z212" s="84"/>
    </row>
    <row r="213" ht="15.75" customHeight="1">
      <c r="A213" s="84"/>
      <c r="B213" s="84"/>
      <c r="C213" s="84"/>
      <c r="D213" s="84"/>
      <c r="E213" s="84"/>
      <c r="F213" s="84"/>
      <c r="G213" s="84"/>
      <c r="H213" s="84"/>
      <c r="I213" s="84"/>
      <c r="J213" s="84"/>
      <c r="K213" s="84"/>
      <c r="L213" s="84"/>
      <c r="M213" s="84"/>
      <c r="N213" s="84"/>
      <c r="O213" s="84"/>
      <c r="P213" s="84"/>
      <c r="Q213" s="84"/>
      <c r="R213" s="84"/>
      <c r="S213" s="84"/>
      <c r="T213" s="84"/>
      <c r="U213" s="84"/>
      <c r="V213" s="84"/>
      <c r="W213" s="84"/>
      <c r="X213" s="84"/>
      <c r="Y213" s="84"/>
      <c r="Z213" s="84"/>
    </row>
    <row r="214" ht="15.75" customHeight="1">
      <c r="A214" s="84"/>
      <c r="B214" s="84"/>
      <c r="C214" s="84"/>
      <c r="D214" s="84"/>
      <c r="E214" s="84"/>
      <c r="F214" s="84"/>
      <c r="G214" s="84"/>
      <c r="H214" s="84"/>
      <c r="I214" s="84"/>
      <c r="J214" s="84"/>
      <c r="K214" s="84"/>
      <c r="L214" s="84"/>
      <c r="M214" s="84"/>
      <c r="N214" s="84"/>
      <c r="O214" s="84"/>
      <c r="P214" s="84"/>
      <c r="Q214" s="84"/>
      <c r="R214" s="84"/>
      <c r="S214" s="84"/>
      <c r="T214" s="84"/>
      <c r="U214" s="84"/>
      <c r="V214" s="84"/>
      <c r="W214" s="84"/>
      <c r="X214" s="84"/>
      <c r="Y214" s="84"/>
      <c r="Z214" s="84"/>
    </row>
    <row r="215" ht="15.75" customHeight="1">
      <c r="A215" s="84"/>
      <c r="B215" s="84"/>
      <c r="C215" s="84"/>
      <c r="D215" s="84"/>
      <c r="E215" s="84"/>
      <c r="F215" s="84"/>
      <c r="G215" s="84"/>
      <c r="H215" s="84"/>
      <c r="I215" s="84"/>
      <c r="J215" s="84"/>
      <c r="K215" s="84"/>
      <c r="L215" s="84"/>
      <c r="M215" s="84"/>
      <c r="N215" s="84"/>
      <c r="O215" s="84"/>
      <c r="P215" s="84"/>
      <c r="Q215" s="84"/>
      <c r="R215" s="84"/>
      <c r="S215" s="84"/>
      <c r="T215" s="84"/>
      <c r="U215" s="84"/>
      <c r="V215" s="84"/>
      <c r="W215" s="84"/>
      <c r="X215" s="84"/>
      <c r="Y215" s="84"/>
      <c r="Z215" s="84"/>
    </row>
    <row r="216" ht="15.75" customHeight="1">
      <c r="A216" s="84"/>
      <c r="B216" s="84"/>
      <c r="C216" s="84"/>
      <c r="D216" s="84"/>
      <c r="E216" s="84"/>
      <c r="F216" s="84"/>
      <c r="G216" s="84"/>
      <c r="H216" s="84"/>
      <c r="I216" s="84"/>
      <c r="J216" s="84"/>
      <c r="K216" s="84"/>
      <c r="L216" s="84"/>
      <c r="M216" s="84"/>
      <c r="N216" s="84"/>
      <c r="O216" s="84"/>
      <c r="P216" s="84"/>
      <c r="Q216" s="84"/>
      <c r="R216" s="84"/>
      <c r="S216" s="84"/>
      <c r="T216" s="84"/>
      <c r="U216" s="84"/>
      <c r="V216" s="84"/>
      <c r="W216" s="84"/>
      <c r="X216" s="84"/>
      <c r="Y216" s="84"/>
      <c r="Z216" s="84"/>
    </row>
    <row r="217" ht="15.75" customHeight="1">
      <c r="A217" s="84"/>
      <c r="B217" s="84"/>
      <c r="C217" s="84"/>
      <c r="D217" s="84"/>
      <c r="E217" s="84"/>
      <c r="F217" s="84"/>
      <c r="G217" s="84"/>
      <c r="H217" s="84"/>
      <c r="I217" s="84"/>
      <c r="J217" s="84"/>
      <c r="K217" s="84"/>
      <c r="L217" s="84"/>
      <c r="M217" s="84"/>
      <c r="N217" s="84"/>
      <c r="O217" s="84"/>
      <c r="P217" s="84"/>
      <c r="Q217" s="84"/>
      <c r="R217" s="84"/>
      <c r="S217" s="84"/>
      <c r="T217" s="84"/>
      <c r="U217" s="84"/>
      <c r="V217" s="84"/>
      <c r="W217" s="84"/>
      <c r="X217" s="84"/>
      <c r="Y217" s="84"/>
      <c r="Z217" s="84"/>
    </row>
    <row r="218" ht="15.75" customHeight="1">
      <c r="A218" s="84"/>
      <c r="B218" s="84"/>
      <c r="C218" s="84"/>
      <c r="D218" s="84"/>
      <c r="E218" s="84"/>
      <c r="F218" s="84"/>
      <c r="G218" s="84"/>
      <c r="H218" s="84"/>
      <c r="I218" s="84"/>
      <c r="J218" s="84"/>
      <c r="K218" s="84"/>
      <c r="L218" s="84"/>
      <c r="M218" s="84"/>
      <c r="N218" s="84"/>
      <c r="O218" s="84"/>
      <c r="P218" s="84"/>
      <c r="Q218" s="84"/>
      <c r="R218" s="84"/>
      <c r="S218" s="84"/>
      <c r="T218" s="84"/>
      <c r="U218" s="84"/>
      <c r="V218" s="84"/>
      <c r="W218" s="84"/>
      <c r="X218" s="84"/>
      <c r="Y218" s="84"/>
      <c r="Z218" s="84"/>
    </row>
    <row r="219" ht="15.75" customHeight="1">
      <c r="A219" s="84"/>
      <c r="B219" s="84"/>
      <c r="C219" s="84"/>
      <c r="D219" s="84"/>
      <c r="E219" s="84"/>
      <c r="F219" s="84"/>
      <c r="G219" s="84"/>
      <c r="H219" s="84"/>
      <c r="I219" s="84"/>
      <c r="J219" s="84"/>
      <c r="K219" s="84"/>
      <c r="L219" s="84"/>
      <c r="M219" s="84"/>
      <c r="N219" s="84"/>
      <c r="O219" s="84"/>
      <c r="P219" s="84"/>
      <c r="Q219" s="84"/>
      <c r="R219" s="84"/>
      <c r="S219" s="84"/>
      <c r="T219" s="84"/>
      <c r="U219" s="84"/>
      <c r="V219" s="84"/>
      <c r="W219" s="84"/>
      <c r="X219" s="84"/>
      <c r="Y219" s="84"/>
      <c r="Z219" s="84"/>
    </row>
    <row r="220" ht="15.75" customHeight="1">
      <c r="A220" s="84"/>
      <c r="B220" s="84"/>
      <c r="C220" s="84"/>
      <c r="D220" s="84"/>
      <c r="E220" s="84"/>
      <c r="F220" s="84"/>
      <c r="G220" s="84"/>
      <c r="H220" s="84"/>
      <c r="I220" s="84"/>
      <c r="J220" s="84"/>
      <c r="K220" s="84"/>
      <c r="L220" s="84"/>
      <c r="M220" s="84"/>
      <c r="N220" s="84"/>
      <c r="O220" s="84"/>
      <c r="P220" s="84"/>
      <c r="Q220" s="84"/>
      <c r="R220" s="84"/>
      <c r="S220" s="84"/>
      <c r="T220" s="84"/>
      <c r="U220" s="84"/>
      <c r="V220" s="84"/>
      <c r="W220" s="84"/>
      <c r="X220" s="84"/>
      <c r="Y220" s="84"/>
      <c r="Z220" s="84"/>
    </row>
    <row r="221" ht="15.75" customHeight="1">
      <c r="A221" s="84"/>
      <c r="B221" s="84"/>
      <c r="C221" s="84"/>
      <c r="D221" s="84"/>
      <c r="E221" s="84"/>
      <c r="F221" s="84"/>
      <c r="G221" s="84"/>
      <c r="H221" s="84"/>
      <c r="I221" s="84"/>
      <c r="J221" s="84"/>
      <c r="K221" s="84"/>
      <c r="L221" s="84"/>
      <c r="M221" s="84"/>
      <c r="N221" s="84"/>
      <c r="O221" s="84"/>
      <c r="P221" s="84"/>
      <c r="Q221" s="84"/>
      <c r="R221" s="84"/>
      <c r="S221" s="84"/>
      <c r="T221" s="84"/>
      <c r="U221" s="84"/>
      <c r="V221" s="84"/>
      <c r="W221" s="84"/>
      <c r="X221" s="84"/>
      <c r="Y221" s="84"/>
      <c r="Z221" s="84"/>
    </row>
    <row r="222" ht="15.75" customHeight="1">
      <c r="A222" s="84"/>
      <c r="B222" s="84"/>
      <c r="C222" s="84"/>
      <c r="D222" s="84"/>
      <c r="E222" s="84"/>
      <c r="F222" s="84"/>
      <c r="G222" s="84"/>
      <c r="H222" s="84"/>
      <c r="I222" s="84"/>
      <c r="J222" s="84"/>
      <c r="K222" s="84"/>
      <c r="L222" s="84"/>
      <c r="M222" s="84"/>
      <c r="N222" s="84"/>
      <c r="O222" s="84"/>
      <c r="P222" s="84"/>
      <c r="Q222" s="84"/>
      <c r="R222" s="84"/>
      <c r="S222" s="84"/>
      <c r="T222" s="84"/>
      <c r="U222" s="84"/>
      <c r="V222" s="84"/>
      <c r="W222" s="84"/>
      <c r="X222" s="84"/>
      <c r="Y222" s="84"/>
      <c r="Z222" s="84"/>
    </row>
    <row r="223" ht="15.75" customHeight="1">
      <c r="A223" s="84"/>
      <c r="B223" s="84"/>
      <c r="C223" s="84"/>
      <c r="D223" s="84"/>
      <c r="E223" s="84"/>
      <c r="F223" s="84"/>
      <c r="G223" s="84"/>
      <c r="H223" s="84"/>
      <c r="I223" s="84"/>
      <c r="J223" s="84"/>
      <c r="K223" s="84"/>
      <c r="L223" s="84"/>
      <c r="M223" s="84"/>
      <c r="N223" s="84"/>
      <c r="O223" s="84"/>
      <c r="P223" s="84"/>
      <c r="Q223" s="84"/>
      <c r="R223" s="84"/>
      <c r="S223" s="84"/>
      <c r="T223" s="84"/>
      <c r="U223" s="84"/>
      <c r="V223" s="84"/>
      <c r="W223" s="84"/>
      <c r="X223" s="84"/>
      <c r="Y223" s="84"/>
      <c r="Z223" s="84"/>
    </row>
    <row r="224" ht="15.75" customHeight="1">
      <c r="A224" s="84"/>
      <c r="B224" s="84"/>
      <c r="C224" s="84"/>
      <c r="D224" s="84"/>
      <c r="E224" s="84"/>
      <c r="F224" s="84"/>
      <c r="G224" s="84"/>
      <c r="H224" s="84"/>
      <c r="I224" s="84"/>
      <c r="J224" s="84"/>
      <c r="K224" s="84"/>
      <c r="L224" s="84"/>
      <c r="M224" s="84"/>
      <c r="N224" s="84"/>
      <c r="O224" s="84"/>
      <c r="P224" s="84"/>
      <c r="Q224" s="84"/>
      <c r="R224" s="84"/>
      <c r="S224" s="84"/>
      <c r="T224" s="84"/>
      <c r="U224" s="84"/>
      <c r="V224" s="84"/>
      <c r="W224" s="84"/>
      <c r="X224" s="84"/>
      <c r="Y224" s="84"/>
      <c r="Z224" s="84"/>
    </row>
    <row r="225" ht="15.75" customHeight="1">
      <c r="A225" s="84"/>
      <c r="B225" s="84"/>
      <c r="C225" s="84"/>
      <c r="D225" s="84"/>
      <c r="E225" s="84"/>
      <c r="F225" s="84"/>
      <c r="G225" s="84"/>
      <c r="H225" s="84"/>
      <c r="I225" s="84"/>
      <c r="J225" s="84"/>
      <c r="K225" s="84"/>
      <c r="L225" s="84"/>
      <c r="M225" s="84"/>
      <c r="N225" s="84"/>
      <c r="O225" s="84"/>
      <c r="P225" s="84"/>
      <c r="Q225" s="84"/>
      <c r="R225" s="84"/>
      <c r="S225" s="84"/>
      <c r="T225" s="84"/>
      <c r="U225" s="84"/>
      <c r="V225" s="84"/>
      <c r="W225" s="84"/>
      <c r="X225" s="84"/>
      <c r="Y225" s="84"/>
      <c r="Z225" s="84"/>
    </row>
    <row r="226" ht="15.75" customHeight="1">
      <c r="A226" s="84"/>
      <c r="B226" s="84"/>
      <c r="C226" s="84"/>
      <c r="D226" s="84"/>
      <c r="E226" s="84"/>
      <c r="F226" s="84"/>
      <c r="G226" s="84"/>
      <c r="H226" s="84"/>
      <c r="I226" s="84"/>
      <c r="J226" s="84"/>
      <c r="K226" s="84"/>
      <c r="L226" s="84"/>
      <c r="M226" s="84"/>
      <c r="N226" s="84"/>
      <c r="O226" s="84"/>
      <c r="P226" s="84"/>
      <c r="Q226" s="84"/>
      <c r="R226" s="84"/>
      <c r="S226" s="84"/>
      <c r="T226" s="84"/>
      <c r="U226" s="84"/>
      <c r="V226" s="84"/>
      <c r="W226" s="84"/>
      <c r="X226" s="84"/>
      <c r="Y226" s="84"/>
      <c r="Z226" s="84"/>
    </row>
    <row r="227" ht="15.75" customHeight="1">
      <c r="A227" s="84"/>
      <c r="B227" s="84"/>
      <c r="C227" s="84"/>
      <c r="D227" s="84"/>
      <c r="E227" s="84"/>
      <c r="F227" s="84"/>
      <c r="G227" s="84"/>
      <c r="H227" s="84"/>
      <c r="I227" s="84"/>
      <c r="J227" s="84"/>
      <c r="K227" s="84"/>
      <c r="L227" s="84"/>
      <c r="M227" s="84"/>
      <c r="N227" s="84"/>
      <c r="O227" s="84"/>
      <c r="P227" s="84"/>
      <c r="Q227" s="84"/>
      <c r="R227" s="84"/>
      <c r="S227" s="84"/>
      <c r="T227" s="84"/>
      <c r="U227" s="84"/>
      <c r="V227" s="84"/>
      <c r="W227" s="84"/>
      <c r="X227" s="84"/>
      <c r="Y227" s="84"/>
      <c r="Z227" s="84"/>
    </row>
    <row r="228" ht="15.75" customHeight="1">
      <c r="A228" s="84"/>
      <c r="B228" s="84"/>
      <c r="C228" s="84"/>
      <c r="D228" s="84"/>
      <c r="E228" s="84"/>
      <c r="F228" s="84"/>
      <c r="G228" s="84"/>
      <c r="H228" s="84"/>
      <c r="I228" s="84"/>
      <c r="J228" s="84"/>
      <c r="K228" s="84"/>
      <c r="L228" s="84"/>
      <c r="M228" s="84"/>
      <c r="N228" s="84"/>
      <c r="O228" s="84"/>
      <c r="P228" s="84"/>
      <c r="Q228" s="84"/>
      <c r="R228" s="84"/>
      <c r="S228" s="84"/>
      <c r="T228" s="84"/>
      <c r="U228" s="84"/>
      <c r="V228" s="84"/>
      <c r="W228" s="84"/>
      <c r="X228" s="84"/>
      <c r="Y228" s="84"/>
      <c r="Z228" s="84"/>
    </row>
    <row r="229" ht="15.75" customHeight="1">
      <c r="A229" s="84"/>
      <c r="B229" s="84"/>
      <c r="C229" s="84"/>
      <c r="D229" s="84"/>
      <c r="E229" s="84"/>
      <c r="F229" s="84"/>
      <c r="G229" s="84"/>
      <c r="H229" s="84"/>
      <c r="I229" s="84"/>
      <c r="J229" s="84"/>
      <c r="K229" s="84"/>
      <c r="L229" s="84"/>
      <c r="M229" s="84"/>
      <c r="N229" s="84"/>
      <c r="O229" s="84"/>
      <c r="P229" s="84"/>
      <c r="Q229" s="84"/>
      <c r="R229" s="84"/>
      <c r="S229" s="84"/>
      <c r="T229" s="84"/>
      <c r="U229" s="84"/>
      <c r="V229" s="84"/>
      <c r="W229" s="84"/>
      <c r="X229" s="84"/>
      <c r="Y229" s="84"/>
      <c r="Z229" s="84"/>
    </row>
    <row r="230" ht="15.75" customHeight="1">
      <c r="A230" s="84"/>
      <c r="B230" s="84"/>
      <c r="C230" s="84"/>
      <c r="D230" s="84"/>
      <c r="E230" s="84"/>
      <c r="F230" s="84"/>
      <c r="G230" s="84"/>
      <c r="H230" s="84"/>
      <c r="I230" s="84"/>
      <c r="J230" s="84"/>
      <c r="K230" s="84"/>
      <c r="L230" s="84"/>
      <c r="M230" s="84"/>
      <c r="N230" s="84"/>
      <c r="O230" s="84"/>
      <c r="P230" s="84"/>
      <c r="Q230" s="84"/>
      <c r="R230" s="84"/>
      <c r="S230" s="84"/>
      <c r="T230" s="84"/>
      <c r="U230" s="84"/>
      <c r="V230" s="84"/>
      <c r="W230" s="84"/>
      <c r="X230" s="84"/>
      <c r="Y230" s="84"/>
      <c r="Z230" s="84"/>
    </row>
    <row r="231" ht="15.75" customHeight="1">
      <c r="A231" s="84"/>
      <c r="B231" s="84"/>
      <c r="C231" s="84"/>
      <c r="D231" s="84"/>
      <c r="E231" s="84"/>
      <c r="F231" s="84"/>
      <c r="G231" s="84"/>
      <c r="H231" s="84"/>
      <c r="I231" s="84"/>
      <c r="J231" s="84"/>
      <c r="K231" s="84"/>
      <c r="L231" s="84"/>
      <c r="M231" s="84"/>
      <c r="N231" s="84"/>
      <c r="O231" s="84"/>
      <c r="P231" s="84"/>
      <c r="Q231" s="84"/>
      <c r="R231" s="84"/>
      <c r="S231" s="84"/>
      <c r="T231" s="84"/>
      <c r="U231" s="84"/>
      <c r="V231" s="84"/>
      <c r="W231" s="84"/>
      <c r="X231" s="84"/>
      <c r="Y231" s="84"/>
      <c r="Z231" s="84"/>
    </row>
    <row r="232" ht="15.75" customHeight="1">
      <c r="A232" s="84"/>
      <c r="B232" s="84"/>
      <c r="C232" s="84"/>
      <c r="D232" s="84"/>
      <c r="E232" s="84"/>
      <c r="F232" s="84"/>
      <c r="G232" s="84"/>
      <c r="H232" s="84"/>
      <c r="I232" s="84"/>
      <c r="J232" s="84"/>
      <c r="K232" s="84"/>
      <c r="L232" s="84"/>
      <c r="M232" s="84"/>
      <c r="N232" s="84"/>
      <c r="O232" s="84"/>
      <c r="P232" s="84"/>
      <c r="Q232" s="84"/>
      <c r="R232" s="84"/>
      <c r="S232" s="84"/>
      <c r="T232" s="84"/>
      <c r="U232" s="84"/>
      <c r="V232" s="84"/>
      <c r="W232" s="84"/>
      <c r="X232" s="84"/>
      <c r="Y232" s="84"/>
      <c r="Z232" s="84"/>
    </row>
    <row r="233" ht="15.75" customHeight="1">
      <c r="A233" s="84"/>
      <c r="B233" s="84"/>
      <c r="C233" s="84"/>
      <c r="D233" s="84"/>
      <c r="E233" s="84"/>
      <c r="F233" s="84"/>
      <c r="G233" s="84"/>
      <c r="H233" s="84"/>
      <c r="I233" s="84"/>
      <c r="J233" s="84"/>
      <c r="K233" s="84"/>
      <c r="L233" s="84"/>
      <c r="M233" s="84"/>
      <c r="N233" s="84"/>
      <c r="O233" s="84"/>
      <c r="P233" s="84"/>
      <c r="Q233" s="84"/>
      <c r="R233" s="84"/>
      <c r="S233" s="84"/>
      <c r="T233" s="84"/>
      <c r="U233" s="84"/>
      <c r="V233" s="84"/>
      <c r="W233" s="84"/>
      <c r="X233" s="84"/>
      <c r="Y233" s="84"/>
      <c r="Z233" s="84"/>
    </row>
    <row r="234" ht="15.75" customHeight="1">
      <c r="A234" s="84"/>
      <c r="B234" s="84"/>
      <c r="C234" s="84"/>
      <c r="D234" s="84"/>
      <c r="E234" s="84"/>
      <c r="F234" s="84"/>
      <c r="G234" s="84"/>
      <c r="H234" s="84"/>
      <c r="I234" s="84"/>
      <c r="J234" s="84"/>
      <c r="K234" s="84"/>
      <c r="L234" s="84"/>
      <c r="M234" s="84"/>
      <c r="N234" s="84"/>
      <c r="O234" s="84"/>
      <c r="P234" s="84"/>
      <c r="Q234" s="84"/>
      <c r="R234" s="84"/>
      <c r="S234" s="84"/>
      <c r="T234" s="84"/>
      <c r="U234" s="84"/>
      <c r="V234" s="84"/>
      <c r="W234" s="84"/>
      <c r="X234" s="84"/>
      <c r="Y234" s="84"/>
      <c r="Z234" s="84"/>
    </row>
    <row r="235" ht="15.75" customHeight="1">
      <c r="A235" s="84"/>
      <c r="B235" s="84"/>
      <c r="C235" s="84"/>
      <c r="D235" s="84"/>
      <c r="E235" s="84"/>
      <c r="F235" s="84"/>
      <c r="G235" s="84"/>
      <c r="H235" s="84"/>
      <c r="I235" s="84"/>
      <c r="J235" s="84"/>
      <c r="K235" s="84"/>
      <c r="L235" s="84"/>
      <c r="M235" s="84"/>
      <c r="N235" s="84"/>
      <c r="O235" s="84"/>
      <c r="P235" s="84"/>
      <c r="Q235" s="84"/>
      <c r="R235" s="84"/>
      <c r="S235" s="84"/>
      <c r="T235" s="84"/>
      <c r="U235" s="84"/>
      <c r="V235" s="84"/>
      <c r="W235" s="84"/>
      <c r="X235" s="84"/>
      <c r="Y235" s="84"/>
      <c r="Z235" s="84"/>
    </row>
    <row r="236" ht="15.75" customHeight="1">
      <c r="A236" s="84"/>
      <c r="B236" s="84"/>
      <c r="C236" s="84"/>
      <c r="D236" s="84"/>
      <c r="E236" s="84"/>
      <c r="F236" s="84"/>
      <c r="G236" s="84"/>
      <c r="H236" s="84"/>
      <c r="I236" s="84"/>
      <c r="J236" s="84"/>
      <c r="K236" s="84"/>
      <c r="L236" s="84"/>
      <c r="M236" s="84"/>
      <c r="N236" s="84"/>
      <c r="O236" s="84"/>
      <c r="P236" s="84"/>
      <c r="Q236" s="84"/>
      <c r="R236" s="84"/>
      <c r="S236" s="84"/>
      <c r="T236" s="84"/>
      <c r="U236" s="84"/>
      <c r="V236" s="84"/>
      <c r="W236" s="84"/>
      <c r="X236" s="84"/>
      <c r="Y236" s="84"/>
      <c r="Z236" s="84"/>
    </row>
    <row r="237" ht="15.75" customHeight="1">
      <c r="A237" s="84"/>
      <c r="B237" s="84"/>
      <c r="C237" s="84"/>
      <c r="D237" s="84"/>
      <c r="E237" s="84"/>
      <c r="F237" s="84"/>
      <c r="G237" s="84"/>
      <c r="H237" s="84"/>
      <c r="I237" s="84"/>
      <c r="J237" s="84"/>
      <c r="K237" s="84"/>
      <c r="L237" s="84"/>
      <c r="M237" s="84"/>
      <c r="N237" s="84"/>
      <c r="O237" s="84"/>
      <c r="P237" s="84"/>
      <c r="Q237" s="84"/>
      <c r="R237" s="84"/>
      <c r="S237" s="84"/>
      <c r="T237" s="84"/>
      <c r="U237" s="84"/>
      <c r="V237" s="84"/>
      <c r="W237" s="84"/>
      <c r="X237" s="84"/>
      <c r="Y237" s="84"/>
      <c r="Z237" s="84"/>
    </row>
    <row r="238" ht="15.75" customHeight="1">
      <c r="A238" s="84"/>
      <c r="B238" s="84"/>
      <c r="C238" s="84"/>
      <c r="D238" s="84"/>
      <c r="E238" s="84"/>
      <c r="F238" s="84"/>
      <c r="G238" s="84"/>
      <c r="H238" s="84"/>
      <c r="I238" s="84"/>
      <c r="J238" s="84"/>
      <c r="K238" s="84"/>
      <c r="L238" s="84"/>
      <c r="M238" s="84"/>
      <c r="N238" s="84"/>
      <c r="O238" s="84"/>
      <c r="P238" s="84"/>
      <c r="Q238" s="84"/>
      <c r="R238" s="84"/>
      <c r="S238" s="84"/>
      <c r="T238" s="84"/>
      <c r="U238" s="84"/>
      <c r="V238" s="84"/>
      <c r="W238" s="84"/>
      <c r="X238" s="84"/>
      <c r="Y238" s="84"/>
      <c r="Z238" s="84"/>
    </row>
    <row r="239" ht="15.75" customHeight="1">
      <c r="A239" s="84"/>
      <c r="B239" s="84"/>
      <c r="C239" s="84"/>
      <c r="D239" s="84"/>
      <c r="E239" s="84"/>
      <c r="F239" s="84"/>
      <c r="G239" s="84"/>
      <c r="H239" s="84"/>
      <c r="I239" s="84"/>
      <c r="J239" s="84"/>
      <c r="K239" s="84"/>
      <c r="L239" s="84"/>
      <c r="M239" s="84"/>
      <c r="N239" s="84"/>
      <c r="O239" s="84"/>
      <c r="P239" s="84"/>
      <c r="Q239" s="84"/>
      <c r="R239" s="84"/>
      <c r="S239" s="84"/>
      <c r="T239" s="84"/>
      <c r="U239" s="84"/>
      <c r="V239" s="84"/>
      <c r="W239" s="84"/>
      <c r="X239" s="84"/>
      <c r="Y239" s="84"/>
      <c r="Z239" s="84"/>
    </row>
    <row r="240" ht="15.75" customHeight="1">
      <c r="A240" s="84"/>
      <c r="B240" s="84"/>
      <c r="C240" s="84"/>
      <c r="D240" s="84"/>
      <c r="E240" s="84"/>
      <c r="F240" s="84"/>
      <c r="G240" s="84"/>
      <c r="H240" s="84"/>
      <c r="I240" s="84"/>
      <c r="J240" s="84"/>
      <c r="K240" s="84"/>
      <c r="L240" s="84"/>
      <c r="M240" s="84"/>
      <c r="N240" s="84"/>
      <c r="O240" s="84"/>
      <c r="P240" s="84"/>
      <c r="Q240" s="84"/>
      <c r="R240" s="84"/>
      <c r="S240" s="84"/>
      <c r="T240" s="84"/>
      <c r="U240" s="84"/>
      <c r="V240" s="84"/>
      <c r="W240" s="84"/>
      <c r="X240" s="84"/>
      <c r="Y240" s="84"/>
      <c r="Z240" s="84"/>
    </row>
    <row r="241" ht="15.75" customHeight="1">
      <c r="A241" s="84"/>
      <c r="B241" s="84"/>
      <c r="C241" s="84"/>
      <c r="D241" s="84"/>
      <c r="E241" s="84"/>
      <c r="F241" s="84"/>
      <c r="G241" s="84"/>
      <c r="H241" s="84"/>
      <c r="I241" s="84"/>
      <c r="J241" s="84"/>
      <c r="K241" s="84"/>
      <c r="L241" s="84"/>
      <c r="M241" s="84"/>
      <c r="N241" s="84"/>
      <c r="O241" s="84"/>
      <c r="P241" s="84"/>
      <c r="Q241" s="84"/>
      <c r="R241" s="84"/>
      <c r="S241" s="84"/>
      <c r="T241" s="84"/>
      <c r="U241" s="84"/>
      <c r="V241" s="84"/>
      <c r="W241" s="84"/>
      <c r="X241" s="84"/>
      <c r="Y241" s="84"/>
      <c r="Z241" s="84"/>
    </row>
    <row r="242" ht="15.75" customHeight="1">
      <c r="A242" s="84"/>
      <c r="B242" s="84"/>
      <c r="C242" s="84"/>
      <c r="D242" s="84"/>
      <c r="E242" s="84"/>
      <c r="F242" s="84"/>
      <c r="G242" s="84"/>
      <c r="H242" s="84"/>
      <c r="I242" s="84"/>
      <c r="J242" s="84"/>
      <c r="K242" s="84"/>
      <c r="L242" s="84"/>
      <c r="M242" s="84"/>
      <c r="N242" s="84"/>
      <c r="O242" s="84"/>
      <c r="P242" s="84"/>
      <c r="Q242" s="84"/>
      <c r="R242" s="84"/>
      <c r="S242" s="84"/>
      <c r="T242" s="84"/>
      <c r="U242" s="84"/>
      <c r="V242" s="84"/>
      <c r="W242" s="84"/>
      <c r="X242" s="84"/>
      <c r="Y242" s="84"/>
      <c r="Z242" s="84"/>
    </row>
    <row r="243" ht="15.75" customHeight="1">
      <c r="A243" s="84"/>
      <c r="B243" s="84"/>
      <c r="C243" s="84"/>
      <c r="D243" s="84"/>
      <c r="E243" s="84"/>
      <c r="F243" s="84"/>
      <c r="G243" s="84"/>
      <c r="H243" s="84"/>
      <c r="I243" s="84"/>
      <c r="J243" s="84"/>
      <c r="K243" s="84"/>
      <c r="L243" s="84"/>
      <c r="M243" s="84"/>
      <c r="N243" s="84"/>
      <c r="O243" s="84"/>
      <c r="P243" s="84"/>
      <c r="Q243" s="84"/>
      <c r="R243" s="84"/>
      <c r="S243" s="84"/>
      <c r="T243" s="84"/>
      <c r="U243" s="84"/>
      <c r="V243" s="84"/>
      <c r="W243" s="84"/>
      <c r="X243" s="84"/>
      <c r="Y243" s="84"/>
      <c r="Z243" s="84"/>
    </row>
    <row r="244" ht="15.75" customHeight="1">
      <c r="A244" s="84"/>
      <c r="B244" s="84"/>
      <c r="C244" s="84"/>
      <c r="D244" s="84"/>
      <c r="E244" s="84"/>
      <c r="F244" s="84"/>
      <c r="G244" s="84"/>
      <c r="H244" s="84"/>
      <c r="I244" s="84"/>
      <c r="J244" s="84"/>
      <c r="K244" s="84"/>
      <c r="L244" s="84"/>
      <c r="M244" s="84"/>
      <c r="N244" s="84"/>
      <c r="O244" s="84"/>
      <c r="P244" s="84"/>
      <c r="Q244" s="84"/>
      <c r="R244" s="84"/>
      <c r="S244" s="84"/>
      <c r="T244" s="84"/>
      <c r="U244" s="84"/>
      <c r="V244" s="84"/>
      <c r="W244" s="84"/>
      <c r="X244" s="84"/>
      <c r="Y244" s="84"/>
      <c r="Z244" s="84"/>
    </row>
    <row r="245" ht="15.75" customHeight="1">
      <c r="A245" s="84"/>
      <c r="B245" s="84"/>
      <c r="C245" s="84"/>
      <c r="D245" s="84"/>
      <c r="E245" s="84"/>
      <c r="F245" s="84"/>
      <c r="G245" s="84"/>
      <c r="H245" s="84"/>
      <c r="I245" s="84"/>
      <c r="J245" s="84"/>
      <c r="K245" s="84"/>
      <c r="L245" s="84"/>
      <c r="M245" s="84"/>
      <c r="N245" s="84"/>
      <c r="O245" s="84"/>
      <c r="P245" s="84"/>
      <c r="Q245" s="84"/>
      <c r="R245" s="84"/>
      <c r="S245" s="84"/>
      <c r="T245" s="84"/>
      <c r="U245" s="84"/>
      <c r="V245" s="84"/>
      <c r="W245" s="84"/>
      <c r="X245" s="84"/>
      <c r="Y245" s="84"/>
      <c r="Z245" s="84"/>
    </row>
    <row r="246" ht="15.75" customHeight="1">
      <c r="A246" s="84"/>
      <c r="B246" s="84"/>
      <c r="C246" s="84"/>
      <c r="D246" s="84"/>
      <c r="E246" s="84"/>
      <c r="F246" s="84"/>
      <c r="G246" s="84"/>
      <c r="H246" s="84"/>
      <c r="I246" s="84"/>
      <c r="J246" s="84"/>
      <c r="K246" s="84"/>
      <c r="L246" s="84"/>
      <c r="M246" s="84"/>
      <c r="N246" s="84"/>
      <c r="O246" s="84"/>
      <c r="P246" s="84"/>
      <c r="Q246" s="84"/>
      <c r="R246" s="84"/>
      <c r="S246" s="84"/>
      <c r="T246" s="84"/>
      <c r="U246" s="84"/>
      <c r="V246" s="84"/>
      <c r="W246" s="84"/>
      <c r="X246" s="84"/>
      <c r="Y246" s="84"/>
      <c r="Z246" s="84"/>
    </row>
    <row r="247" ht="15.75" customHeight="1">
      <c r="A247" s="84"/>
      <c r="B247" s="84"/>
      <c r="C247" s="84"/>
      <c r="D247" s="84"/>
      <c r="E247" s="84"/>
      <c r="F247" s="84"/>
      <c r="G247" s="84"/>
      <c r="H247" s="84"/>
      <c r="I247" s="84"/>
      <c r="J247" s="84"/>
      <c r="K247" s="84"/>
      <c r="L247" s="84"/>
      <c r="M247" s="84"/>
      <c r="N247" s="84"/>
      <c r="O247" s="84"/>
      <c r="P247" s="84"/>
      <c r="Q247" s="84"/>
      <c r="R247" s="84"/>
      <c r="S247" s="84"/>
      <c r="T247" s="84"/>
      <c r="U247" s="84"/>
      <c r="V247" s="84"/>
      <c r="W247" s="84"/>
      <c r="X247" s="84"/>
      <c r="Y247" s="84"/>
      <c r="Z247" s="84"/>
    </row>
    <row r="248" ht="15.75" customHeight="1">
      <c r="A248" s="84"/>
      <c r="B248" s="84"/>
      <c r="C248" s="84"/>
      <c r="D248" s="84"/>
      <c r="E248" s="84"/>
      <c r="F248" s="84"/>
      <c r="G248" s="84"/>
      <c r="H248" s="84"/>
      <c r="I248" s="84"/>
      <c r="J248" s="84"/>
      <c r="K248" s="84"/>
      <c r="L248" s="84"/>
      <c r="M248" s="84"/>
      <c r="N248" s="84"/>
      <c r="O248" s="84"/>
      <c r="P248" s="84"/>
      <c r="Q248" s="84"/>
      <c r="R248" s="84"/>
      <c r="S248" s="84"/>
      <c r="T248" s="84"/>
      <c r="U248" s="84"/>
      <c r="V248" s="84"/>
      <c r="W248" s="84"/>
      <c r="X248" s="84"/>
      <c r="Y248" s="84"/>
      <c r="Z248" s="84"/>
    </row>
    <row r="249" ht="15.75" customHeight="1">
      <c r="A249" s="84"/>
      <c r="B249" s="84"/>
      <c r="C249" s="84"/>
      <c r="D249" s="84"/>
      <c r="E249" s="84"/>
      <c r="F249" s="84"/>
      <c r="G249" s="84"/>
      <c r="H249" s="84"/>
      <c r="I249" s="84"/>
      <c r="J249" s="84"/>
      <c r="K249" s="84"/>
      <c r="L249" s="84"/>
      <c r="M249" s="84"/>
      <c r="N249" s="84"/>
      <c r="O249" s="84"/>
      <c r="P249" s="84"/>
      <c r="Q249" s="84"/>
      <c r="R249" s="84"/>
      <c r="S249" s="84"/>
      <c r="T249" s="84"/>
      <c r="U249" s="84"/>
      <c r="V249" s="84"/>
      <c r="W249" s="84"/>
      <c r="X249" s="84"/>
      <c r="Y249" s="84"/>
      <c r="Z249" s="84"/>
    </row>
    <row r="250" ht="15.75" customHeight="1">
      <c r="A250" s="84"/>
      <c r="B250" s="84"/>
      <c r="C250" s="84"/>
      <c r="D250" s="84"/>
      <c r="E250" s="84"/>
      <c r="F250" s="84"/>
      <c r="G250" s="84"/>
      <c r="H250" s="84"/>
      <c r="I250" s="84"/>
      <c r="J250" s="84"/>
      <c r="K250" s="84"/>
      <c r="L250" s="84"/>
      <c r="M250" s="84"/>
      <c r="N250" s="84"/>
      <c r="O250" s="84"/>
      <c r="P250" s="84"/>
      <c r="Q250" s="84"/>
      <c r="R250" s="84"/>
      <c r="S250" s="84"/>
      <c r="T250" s="84"/>
      <c r="U250" s="84"/>
      <c r="V250" s="84"/>
      <c r="W250" s="84"/>
      <c r="X250" s="84"/>
      <c r="Y250" s="84"/>
      <c r="Z250" s="84"/>
    </row>
    <row r="251" ht="15.75" customHeight="1">
      <c r="A251" s="84"/>
      <c r="B251" s="84"/>
      <c r="C251" s="84"/>
      <c r="D251" s="84"/>
      <c r="E251" s="84"/>
      <c r="F251" s="84"/>
      <c r="G251" s="84"/>
      <c r="H251" s="84"/>
      <c r="I251" s="84"/>
      <c r="J251" s="84"/>
      <c r="K251" s="84"/>
      <c r="L251" s="84"/>
      <c r="M251" s="84"/>
      <c r="N251" s="84"/>
      <c r="O251" s="84"/>
      <c r="P251" s="84"/>
      <c r="Q251" s="84"/>
      <c r="R251" s="84"/>
      <c r="S251" s="84"/>
      <c r="T251" s="84"/>
      <c r="U251" s="84"/>
      <c r="V251" s="84"/>
      <c r="W251" s="84"/>
      <c r="X251" s="84"/>
      <c r="Y251" s="84"/>
      <c r="Z251" s="84"/>
    </row>
    <row r="252" ht="15.75" customHeight="1">
      <c r="A252" s="84"/>
      <c r="B252" s="84"/>
      <c r="C252" s="84"/>
      <c r="D252" s="84"/>
      <c r="E252" s="84"/>
      <c r="F252" s="84"/>
      <c r="G252" s="84"/>
      <c r="H252" s="84"/>
      <c r="I252" s="84"/>
      <c r="J252" s="84"/>
      <c r="K252" s="84"/>
      <c r="L252" s="84"/>
      <c r="M252" s="84"/>
      <c r="N252" s="84"/>
      <c r="O252" s="84"/>
      <c r="P252" s="84"/>
      <c r="Q252" s="84"/>
      <c r="R252" s="84"/>
      <c r="S252" s="84"/>
      <c r="T252" s="84"/>
      <c r="U252" s="84"/>
      <c r="V252" s="84"/>
      <c r="W252" s="84"/>
      <c r="X252" s="84"/>
      <c r="Y252" s="84"/>
      <c r="Z252" s="84"/>
    </row>
    <row r="253" ht="15.75" customHeight="1">
      <c r="A253" s="84"/>
      <c r="B253" s="84"/>
      <c r="C253" s="84"/>
      <c r="D253" s="84"/>
      <c r="E253" s="84"/>
      <c r="F253" s="84"/>
      <c r="G253" s="84"/>
      <c r="H253" s="84"/>
      <c r="I253" s="84"/>
      <c r="J253" s="84"/>
      <c r="K253" s="84"/>
      <c r="L253" s="84"/>
      <c r="M253" s="84"/>
      <c r="N253" s="84"/>
      <c r="O253" s="84"/>
      <c r="P253" s="84"/>
      <c r="Q253" s="84"/>
      <c r="R253" s="84"/>
      <c r="S253" s="84"/>
      <c r="T253" s="84"/>
      <c r="U253" s="84"/>
      <c r="V253" s="84"/>
      <c r="W253" s="84"/>
      <c r="X253" s="84"/>
      <c r="Y253" s="84"/>
      <c r="Z253" s="84"/>
    </row>
    <row r="254" ht="15.75" customHeight="1">
      <c r="A254" s="84"/>
      <c r="B254" s="84"/>
      <c r="C254" s="84"/>
      <c r="D254" s="84"/>
      <c r="E254" s="84"/>
      <c r="F254" s="84"/>
      <c r="G254" s="84"/>
      <c r="H254" s="84"/>
      <c r="I254" s="84"/>
      <c r="J254" s="84"/>
      <c r="K254" s="84"/>
      <c r="L254" s="84"/>
      <c r="M254" s="84"/>
      <c r="N254" s="84"/>
      <c r="O254" s="84"/>
      <c r="P254" s="84"/>
      <c r="Q254" s="84"/>
      <c r="R254" s="84"/>
      <c r="S254" s="84"/>
      <c r="T254" s="84"/>
      <c r="U254" s="84"/>
      <c r="V254" s="84"/>
      <c r="W254" s="84"/>
      <c r="X254" s="84"/>
      <c r="Y254" s="84"/>
      <c r="Z254" s="84"/>
    </row>
    <row r="255" ht="15.75" customHeight="1">
      <c r="A255" s="84"/>
      <c r="B255" s="84"/>
      <c r="C255" s="84"/>
      <c r="D255" s="84"/>
      <c r="E255" s="84"/>
      <c r="F255" s="84"/>
      <c r="G255" s="84"/>
      <c r="H255" s="84"/>
      <c r="I255" s="84"/>
      <c r="J255" s="84"/>
      <c r="K255" s="84"/>
      <c r="L255" s="84"/>
      <c r="M255" s="84"/>
      <c r="N255" s="84"/>
      <c r="O255" s="84"/>
      <c r="P255" s="84"/>
      <c r="Q255" s="84"/>
      <c r="R255" s="84"/>
      <c r="S255" s="84"/>
      <c r="T255" s="84"/>
      <c r="U255" s="84"/>
      <c r="V255" s="84"/>
      <c r="W255" s="84"/>
      <c r="X255" s="84"/>
      <c r="Y255" s="84"/>
      <c r="Z255" s="84"/>
    </row>
    <row r="256" ht="15.75" customHeight="1">
      <c r="A256" s="84"/>
      <c r="B256" s="84"/>
      <c r="C256" s="84"/>
      <c r="D256" s="84"/>
      <c r="E256" s="84"/>
      <c r="F256" s="84"/>
      <c r="G256" s="84"/>
      <c r="H256" s="84"/>
      <c r="I256" s="84"/>
      <c r="J256" s="84"/>
      <c r="K256" s="84"/>
      <c r="L256" s="84"/>
      <c r="M256" s="84"/>
      <c r="N256" s="84"/>
      <c r="O256" s="84"/>
      <c r="P256" s="84"/>
      <c r="Q256" s="84"/>
      <c r="R256" s="84"/>
      <c r="S256" s="84"/>
      <c r="T256" s="84"/>
      <c r="U256" s="84"/>
      <c r="V256" s="84"/>
      <c r="W256" s="84"/>
      <c r="X256" s="84"/>
      <c r="Y256" s="84"/>
      <c r="Z256" s="84"/>
    </row>
    <row r="257" ht="15.75" customHeight="1">
      <c r="A257" s="84"/>
      <c r="B257" s="84"/>
      <c r="C257" s="84"/>
      <c r="D257" s="84"/>
      <c r="E257" s="84"/>
      <c r="F257" s="84"/>
      <c r="G257" s="84"/>
      <c r="H257" s="84"/>
      <c r="I257" s="84"/>
      <c r="J257" s="84"/>
      <c r="K257" s="84"/>
      <c r="L257" s="84"/>
      <c r="M257" s="84"/>
      <c r="N257" s="84"/>
      <c r="O257" s="84"/>
      <c r="P257" s="84"/>
      <c r="Q257" s="84"/>
      <c r="R257" s="84"/>
      <c r="S257" s="84"/>
      <c r="T257" s="84"/>
      <c r="U257" s="84"/>
      <c r="V257" s="84"/>
      <c r="W257" s="84"/>
      <c r="X257" s="84"/>
      <c r="Y257" s="84"/>
      <c r="Z257" s="84"/>
    </row>
    <row r="258" ht="15.75" customHeight="1">
      <c r="A258" s="84"/>
      <c r="B258" s="84"/>
      <c r="C258" s="84"/>
      <c r="D258" s="84"/>
      <c r="E258" s="84"/>
      <c r="F258" s="84"/>
      <c r="G258" s="84"/>
      <c r="H258" s="84"/>
      <c r="I258" s="84"/>
      <c r="J258" s="84"/>
      <c r="K258" s="84"/>
      <c r="L258" s="84"/>
      <c r="M258" s="84"/>
      <c r="N258" s="84"/>
      <c r="O258" s="84"/>
      <c r="P258" s="84"/>
      <c r="Q258" s="84"/>
      <c r="R258" s="84"/>
      <c r="S258" s="84"/>
      <c r="T258" s="84"/>
      <c r="U258" s="84"/>
      <c r="V258" s="84"/>
      <c r="W258" s="84"/>
      <c r="X258" s="84"/>
      <c r="Y258" s="84"/>
      <c r="Z258" s="84"/>
    </row>
    <row r="259" ht="15.75" customHeight="1">
      <c r="A259" s="84"/>
      <c r="B259" s="84"/>
      <c r="C259" s="84"/>
      <c r="D259" s="84"/>
      <c r="E259" s="84"/>
      <c r="F259" s="84"/>
      <c r="G259" s="84"/>
      <c r="H259" s="84"/>
      <c r="I259" s="84"/>
      <c r="J259" s="84"/>
      <c r="K259" s="84"/>
      <c r="L259" s="84"/>
      <c r="M259" s="84"/>
      <c r="N259" s="84"/>
      <c r="O259" s="84"/>
      <c r="P259" s="84"/>
      <c r="Q259" s="84"/>
      <c r="R259" s="84"/>
      <c r="S259" s="84"/>
      <c r="T259" s="84"/>
      <c r="U259" s="84"/>
      <c r="V259" s="84"/>
      <c r="W259" s="84"/>
      <c r="X259" s="84"/>
      <c r="Y259" s="84"/>
      <c r="Z259" s="84"/>
    </row>
    <row r="260" ht="15.75" customHeight="1">
      <c r="A260" s="84"/>
      <c r="B260" s="84"/>
      <c r="C260" s="84"/>
      <c r="D260" s="84"/>
      <c r="E260" s="84"/>
      <c r="F260" s="84"/>
      <c r="G260" s="84"/>
      <c r="H260" s="84"/>
      <c r="I260" s="84"/>
      <c r="J260" s="84"/>
      <c r="K260" s="84"/>
      <c r="L260" s="84"/>
      <c r="M260" s="84"/>
      <c r="N260" s="84"/>
      <c r="O260" s="84"/>
      <c r="P260" s="84"/>
      <c r="Q260" s="84"/>
      <c r="R260" s="84"/>
      <c r="S260" s="84"/>
      <c r="T260" s="84"/>
      <c r="U260" s="84"/>
      <c r="V260" s="84"/>
      <c r="W260" s="84"/>
      <c r="X260" s="84"/>
      <c r="Y260" s="84"/>
      <c r="Z260" s="84"/>
    </row>
    <row r="261" ht="15.75" customHeight="1">
      <c r="A261" s="84"/>
      <c r="B261" s="84"/>
      <c r="C261" s="84"/>
      <c r="D261" s="84"/>
      <c r="E261" s="84"/>
      <c r="F261" s="84"/>
      <c r="G261" s="84"/>
      <c r="H261" s="84"/>
      <c r="I261" s="84"/>
      <c r="J261" s="84"/>
      <c r="K261" s="84"/>
      <c r="L261" s="84"/>
      <c r="M261" s="84"/>
      <c r="N261" s="84"/>
      <c r="O261" s="84"/>
      <c r="P261" s="84"/>
      <c r="Q261" s="84"/>
      <c r="R261" s="84"/>
      <c r="S261" s="84"/>
      <c r="T261" s="84"/>
      <c r="U261" s="84"/>
      <c r="V261" s="84"/>
      <c r="W261" s="84"/>
      <c r="X261" s="84"/>
      <c r="Y261" s="84"/>
      <c r="Z261" s="84"/>
    </row>
    <row r="262" ht="15.75" customHeight="1">
      <c r="A262" s="84"/>
      <c r="B262" s="84"/>
      <c r="C262" s="84"/>
      <c r="D262" s="84"/>
      <c r="E262" s="84"/>
      <c r="F262" s="84"/>
      <c r="G262" s="84"/>
      <c r="H262" s="84"/>
      <c r="I262" s="84"/>
      <c r="J262" s="84"/>
      <c r="K262" s="84"/>
      <c r="L262" s="84"/>
      <c r="M262" s="84"/>
      <c r="N262" s="84"/>
      <c r="O262" s="84"/>
      <c r="P262" s="84"/>
      <c r="Q262" s="84"/>
      <c r="R262" s="84"/>
      <c r="S262" s="84"/>
      <c r="T262" s="84"/>
      <c r="U262" s="84"/>
      <c r="V262" s="84"/>
      <c r="W262" s="84"/>
      <c r="X262" s="84"/>
      <c r="Y262" s="84"/>
      <c r="Z262" s="84"/>
    </row>
    <row r="263" ht="15.75" customHeight="1">
      <c r="A263" s="84"/>
      <c r="B263" s="84"/>
      <c r="C263" s="84"/>
      <c r="D263" s="84"/>
      <c r="E263" s="84"/>
      <c r="F263" s="84"/>
      <c r="G263" s="84"/>
      <c r="H263" s="84"/>
      <c r="I263" s="84"/>
      <c r="J263" s="84"/>
      <c r="K263" s="84"/>
      <c r="L263" s="84"/>
      <c r="M263" s="84"/>
      <c r="N263" s="84"/>
      <c r="O263" s="84"/>
      <c r="P263" s="84"/>
      <c r="Q263" s="84"/>
      <c r="R263" s="84"/>
      <c r="S263" s="84"/>
      <c r="T263" s="84"/>
      <c r="U263" s="84"/>
      <c r="V263" s="84"/>
      <c r="W263" s="84"/>
      <c r="X263" s="84"/>
      <c r="Y263" s="84"/>
      <c r="Z263" s="84"/>
    </row>
    <row r="264" ht="15.75" customHeight="1">
      <c r="A264" s="84"/>
      <c r="B264" s="84"/>
      <c r="C264" s="84"/>
      <c r="D264" s="84"/>
      <c r="E264" s="84"/>
      <c r="F264" s="84"/>
      <c r="G264" s="84"/>
      <c r="H264" s="84"/>
      <c r="I264" s="84"/>
      <c r="J264" s="84"/>
      <c r="K264" s="84"/>
      <c r="L264" s="84"/>
      <c r="M264" s="84"/>
      <c r="N264" s="84"/>
      <c r="O264" s="84"/>
      <c r="P264" s="84"/>
      <c r="Q264" s="84"/>
      <c r="R264" s="84"/>
      <c r="S264" s="84"/>
      <c r="T264" s="84"/>
      <c r="U264" s="84"/>
      <c r="V264" s="84"/>
      <c r="W264" s="84"/>
      <c r="X264" s="84"/>
      <c r="Y264" s="84"/>
      <c r="Z264" s="84"/>
    </row>
    <row r="265" ht="15.75" customHeight="1">
      <c r="A265" s="84"/>
      <c r="B265" s="84"/>
      <c r="C265" s="84"/>
      <c r="D265" s="84"/>
      <c r="E265" s="84"/>
      <c r="F265" s="84"/>
      <c r="G265" s="84"/>
      <c r="H265" s="84"/>
      <c r="I265" s="84"/>
      <c r="J265" s="84"/>
      <c r="K265" s="84"/>
      <c r="L265" s="84"/>
      <c r="M265" s="84"/>
      <c r="N265" s="84"/>
      <c r="O265" s="84"/>
      <c r="P265" s="84"/>
      <c r="Q265" s="84"/>
      <c r="R265" s="84"/>
      <c r="S265" s="84"/>
      <c r="T265" s="84"/>
      <c r="U265" s="84"/>
      <c r="V265" s="84"/>
      <c r="W265" s="84"/>
      <c r="X265" s="84"/>
      <c r="Y265" s="84"/>
      <c r="Z265" s="84"/>
    </row>
    <row r="266" ht="15.75" customHeight="1">
      <c r="A266" s="84"/>
      <c r="B266" s="84"/>
      <c r="C266" s="84"/>
      <c r="D266" s="84"/>
      <c r="E266" s="84"/>
      <c r="F266" s="84"/>
      <c r="G266" s="84"/>
      <c r="H266" s="84"/>
      <c r="I266" s="84"/>
      <c r="J266" s="84"/>
      <c r="K266" s="84"/>
      <c r="L266" s="84"/>
      <c r="M266" s="84"/>
      <c r="N266" s="84"/>
      <c r="O266" s="84"/>
      <c r="P266" s="84"/>
      <c r="Q266" s="84"/>
      <c r="R266" s="84"/>
      <c r="S266" s="84"/>
      <c r="T266" s="84"/>
      <c r="U266" s="84"/>
      <c r="V266" s="84"/>
      <c r="W266" s="84"/>
      <c r="X266" s="84"/>
      <c r="Y266" s="84"/>
      <c r="Z266" s="84"/>
    </row>
    <row r="267" ht="15.75" customHeight="1">
      <c r="A267" s="84"/>
      <c r="B267" s="84"/>
      <c r="C267" s="84"/>
      <c r="D267" s="84"/>
      <c r="E267" s="84"/>
      <c r="F267" s="84"/>
      <c r="G267" s="84"/>
      <c r="H267" s="84"/>
      <c r="I267" s="84"/>
      <c r="J267" s="84"/>
      <c r="K267" s="84"/>
      <c r="L267" s="84"/>
      <c r="M267" s="84"/>
      <c r="N267" s="84"/>
      <c r="O267" s="84"/>
      <c r="P267" s="84"/>
      <c r="Q267" s="84"/>
      <c r="R267" s="84"/>
      <c r="S267" s="84"/>
      <c r="T267" s="84"/>
      <c r="U267" s="84"/>
      <c r="V267" s="84"/>
      <c r="W267" s="84"/>
      <c r="X267" s="84"/>
      <c r="Y267" s="84"/>
      <c r="Z267" s="84"/>
    </row>
    <row r="268" ht="15.75" customHeight="1">
      <c r="A268" s="84"/>
      <c r="B268" s="84"/>
      <c r="C268" s="84"/>
      <c r="D268" s="84"/>
      <c r="E268" s="84"/>
      <c r="F268" s="84"/>
      <c r="G268" s="84"/>
      <c r="H268" s="84"/>
      <c r="I268" s="84"/>
      <c r="J268" s="84"/>
      <c r="K268" s="84"/>
      <c r="L268" s="84"/>
      <c r="M268" s="84"/>
      <c r="N268" s="84"/>
      <c r="O268" s="84"/>
      <c r="P268" s="84"/>
      <c r="Q268" s="84"/>
      <c r="R268" s="84"/>
      <c r="S268" s="84"/>
      <c r="T268" s="84"/>
      <c r="U268" s="84"/>
      <c r="V268" s="84"/>
      <c r="W268" s="84"/>
      <c r="X268" s="84"/>
      <c r="Y268" s="84"/>
      <c r="Z268" s="84"/>
    </row>
    <row r="269" ht="15.75" customHeight="1">
      <c r="A269" s="84"/>
      <c r="B269" s="84"/>
      <c r="C269" s="84"/>
      <c r="D269" s="84"/>
      <c r="E269" s="84"/>
      <c r="F269" s="84"/>
      <c r="G269" s="84"/>
      <c r="H269" s="84"/>
      <c r="I269" s="84"/>
      <c r="J269" s="84"/>
      <c r="K269" s="84"/>
      <c r="L269" s="84"/>
      <c r="M269" s="84"/>
      <c r="N269" s="84"/>
      <c r="O269" s="84"/>
      <c r="P269" s="84"/>
      <c r="Q269" s="84"/>
      <c r="R269" s="84"/>
      <c r="S269" s="84"/>
      <c r="T269" s="84"/>
      <c r="U269" s="84"/>
      <c r="V269" s="84"/>
      <c r="W269" s="84"/>
      <c r="X269" s="84"/>
      <c r="Y269" s="84"/>
      <c r="Z269" s="84"/>
    </row>
    <row r="270" ht="15.75" customHeight="1">
      <c r="A270" s="84"/>
      <c r="B270" s="84"/>
      <c r="C270" s="84"/>
      <c r="D270" s="84"/>
      <c r="E270" s="84"/>
      <c r="F270" s="84"/>
      <c r="G270" s="84"/>
      <c r="H270" s="84"/>
      <c r="I270" s="84"/>
      <c r="J270" s="84"/>
      <c r="K270" s="84"/>
      <c r="L270" s="84"/>
      <c r="M270" s="84"/>
      <c r="N270" s="84"/>
      <c r="O270" s="84"/>
      <c r="P270" s="84"/>
      <c r="Q270" s="84"/>
      <c r="R270" s="84"/>
      <c r="S270" s="84"/>
      <c r="T270" s="84"/>
      <c r="U270" s="84"/>
      <c r="V270" s="84"/>
      <c r="W270" s="84"/>
      <c r="X270" s="84"/>
      <c r="Y270" s="84"/>
      <c r="Z270" s="84"/>
    </row>
    <row r="271" ht="15.75" customHeight="1">
      <c r="A271" s="84"/>
      <c r="B271" s="84"/>
      <c r="C271" s="84"/>
      <c r="D271" s="84"/>
      <c r="E271" s="84"/>
      <c r="F271" s="84"/>
      <c r="G271" s="84"/>
      <c r="H271" s="84"/>
      <c r="I271" s="84"/>
      <c r="J271" s="84"/>
      <c r="K271" s="84"/>
      <c r="L271" s="84"/>
      <c r="M271" s="84"/>
      <c r="N271" s="84"/>
      <c r="O271" s="84"/>
      <c r="P271" s="84"/>
      <c r="Q271" s="84"/>
      <c r="R271" s="84"/>
      <c r="S271" s="84"/>
      <c r="T271" s="84"/>
      <c r="U271" s="84"/>
      <c r="V271" s="84"/>
      <c r="W271" s="84"/>
      <c r="X271" s="84"/>
      <c r="Y271" s="84"/>
      <c r="Z271" s="84"/>
    </row>
    <row r="272" ht="15.75" customHeight="1">
      <c r="A272" s="84"/>
      <c r="B272" s="84"/>
      <c r="C272" s="84"/>
      <c r="D272" s="84"/>
      <c r="E272" s="84"/>
      <c r="F272" s="84"/>
      <c r="G272" s="84"/>
      <c r="H272" s="84"/>
      <c r="I272" s="84"/>
      <c r="J272" s="84"/>
      <c r="K272" s="84"/>
      <c r="L272" s="84"/>
      <c r="M272" s="84"/>
      <c r="N272" s="84"/>
      <c r="O272" s="84"/>
      <c r="P272" s="84"/>
      <c r="Q272" s="84"/>
      <c r="R272" s="84"/>
      <c r="S272" s="84"/>
      <c r="T272" s="84"/>
      <c r="U272" s="84"/>
      <c r="V272" s="84"/>
      <c r="W272" s="84"/>
      <c r="X272" s="84"/>
      <c r="Y272" s="84"/>
      <c r="Z272" s="84"/>
    </row>
    <row r="273" ht="15.75" customHeight="1">
      <c r="A273" s="84"/>
      <c r="B273" s="84"/>
      <c r="C273" s="84"/>
      <c r="D273" s="84"/>
      <c r="E273" s="84"/>
      <c r="F273" s="84"/>
      <c r="G273" s="84"/>
      <c r="H273" s="84"/>
      <c r="I273" s="84"/>
      <c r="J273" s="84"/>
      <c r="K273" s="84"/>
      <c r="L273" s="84"/>
      <c r="M273" s="84"/>
      <c r="N273" s="84"/>
      <c r="O273" s="84"/>
      <c r="P273" s="84"/>
      <c r="Q273" s="84"/>
      <c r="R273" s="84"/>
      <c r="S273" s="84"/>
      <c r="T273" s="84"/>
      <c r="U273" s="84"/>
      <c r="V273" s="84"/>
      <c r="W273" s="84"/>
      <c r="X273" s="84"/>
      <c r="Y273" s="84"/>
      <c r="Z273" s="84"/>
    </row>
    <row r="274" ht="15.75" customHeight="1">
      <c r="A274" s="84"/>
      <c r="B274" s="84"/>
      <c r="C274" s="84"/>
      <c r="D274" s="84"/>
      <c r="E274" s="84"/>
      <c r="F274" s="84"/>
      <c r="G274" s="84"/>
      <c r="H274" s="84"/>
      <c r="I274" s="84"/>
      <c r="J274" s="84"/>
      <c r="K274" s="84"/>
      <c r="L274" s="84"/>
      <c r="M274" s="84"/>
      <c r="N274" s="84"/>
      <c r="O274" s="84"/>
      <c r="P274" s="84"/>
      <c r="Q274" s="84"/>
      <c r="R274" s="84"/>
      <c r="S274" s="84"/>
      <c r="T274" s="84"/>
      <c r="U274" s="84"/>
      <c r="V274" s="84"/>
      <c r="W274" s="84"/>
      <c r="X274" s="84"/>
      <c r="Y274" s="84"/>
      <c r="Z274" s="84"/>
    </row>
    <row r="275" ht="15.75" customHeight="1">
      <c r="A275" s="84"/>
      <c r="B275" s="84"/>
      <c r="C275" s="84"/>
      <c r="D275" s="84"/>
      <c r="E275" s="84"/>
      <c r="F275" s="84"/>
      <c r="G275" s="84"/>
      <c r="H275" s="84"/>
      <c r="I275" s="84"/>
      <c r="J275" s="84"/>
      <c r="K275" s="84"/>
      <c r="L275" s="84"/>
      <c r="M275" s="84"/>
      <c r="N275" s="84"/>
      <c r="O275" s="84"/>
      <c r="P275" s="84"/>
      <c r="Q275" s="84"/>
      <c r="R275" s="84"/>
      <c r="S275" s="84"/>
      <c r="T275" s="84"/>
      <c r="U275" s="84"/>
      <c r="V275" s="84"/>
      <c r="W275" s="84"/>
      <c r="X275" s="84"/>
      <c r="Y275" s="84"/>
      <c r="Z275" s="84"/>
    </row>
    <row r="276" ht="15.75" customHeight="1">
      <c r="A276" s="84"/>
      <c r="B276" s="84"/>
      <c r="C276" s="84"/>
      <c r="D276" s="84"/>
      <c r="E276" s="84"/>
      <c r="F276" s="84"/>
      <c r="G276" s="84"/>
      <c r="H276" s="84"/>
      <c r="I276" s="84"/>
      <c r="J276" s="84"/>
      <c r="K276" s="84"/>
      <c r="L276" s="84"/>
      <c r="M276" s="84"/>
      <c r="N276" s="84"/>
      <c r="O276" s="84"/>
      <c r="P276" s="84"/>
      <c r="Q276" s="84"/>
      <c r="R276" s="84"/>
      <c r="S276" s="84"/>
      <c r="T276" s="84"/>
      <c r="U276" s="84"/>
      <c r="V276" s="84"/>
      <c r="W276" s="84"/>
      <c r="X276" s="84"/>
      <c r="Y276" s="84"/>
      <c r="Z276" s="84"/>
    </row>
    <row r="277" ht="15.75" customHeight="1">
      <c r="A277" s="84"/>
      <c r="B277" s="84"/>
      <c r="C277" s="84"/>
      <c r="D277" s="84"/>
      <c r="E277" s="84"/>
      <c r="F277" s="84"/>
      <c r="G277" s="84"/>
      <c r="H277" s="84"/>
      <c r="I277" s="84"/>
      <c r="J277" s="84"/>
      <c r="K277" s="84"/>
      <c r="L277" s="84"/>
      <c r="M277" s="84"/>
      <c r="N277" s="84"/>
      <c r="O277" s="84"/>
      <c r="P277" s="84"/>
      <c r="Q277" s="84"/>
      <c r="R277" s="84"/>
      <c r="S277" s="84"/>
      <c r="T277" s="84"/>
      <c r="U277" s="84"/>
      <c r="V277" s="84"/>
      <c r="W277" s="84"/>
      <c r="X277" s="84"/>
      <c r="Y277" s="84"/>
      <c r="Z277" s="84"/>
    </row>
    <row r="278" ht="15.75" customHeight="1">
      <c r="A278" s="84"/>
      <c r="B278" s="84"/>
      <c r="C278" s="84"/>
      <c r="D278" s="84"/>
      <c r="E278" s="84"/>
      <c r="F278" s="84"/>
      <c r="G278" s="84"/>
      <c r="H278" s="84"/>
      <c r="I278" s="84"/>
      <c r="J278" s="84"/>
      <c r="K278" s="84"/>
      <c r="L278" s="84"/>
      <c r="M278" s="84"/>
      <c r="N278" s="84"/>
      <c r="O278" s="84"/>
      <c r="P278" s="84"/>
      <c r="Q278" s="84"/>
      <c r="R278" s="84"/>
      <c r="S278" s="84"/>
      <c r="T278" s="84"/>
      <c r="U278" s="84"/>
      <c r="V278" s="84"/>
      <c r="W278" s="84"/>
      <c r="X278" s="84"/>
      <c r="Y278" s="84"/>
      <c r="Z278" s="84"/>
    </row>
    <row r="279" ht="15.75" customHeight="1">
      <c r="A279" s="84"/>
      <c r="B279" s="84"/>
      <c r="C279" s="84"/>
      <c r="D279" s="84"/>
      <c r="E279" s="84"/>
      <c r="F279" s="84"/>
      <c r="G279" s="84"/>
      <c r="H279" s="84"/>
      <c r="I279" s="84"/>
      <c r="J279" s="84"/>
      <c r="K279" s="84"/>
      <c r="L279" s="84"/>
      <c r="M279" s="84"/>
      <c r="N279" s="84"/>
      <c r="O279" s="84"/>
      <c r="P279" s="84"/>
      <c r="Q279" s="84"/>
      <c r="R279" s="84"/>
      <c r="S279" s="84"/>
      <c r="T279" s="84"/>
      <c r="U279" s="84"/>
      <c r="V279" s="84"/>
      <c r="W279" s="84"/>
      <c r="X279" s="84"/>
      <c r="Y279" s="84"/>
      <c r="Z279" s="84"/>
    </row>
    <row r="280" ht="15.75" customHeight="1">
      <c r="A280" s="84"/>
      <c r="B280" s="84"/>
      <c r="C280" s="84"/>
      <c r="D280" s="84"/>
      <c r="E280" s="84"/>
      <c r="F280" s="84"/>
      <c r="G280" s="84"/>
      <c r="H280" s="84"/>
      <c r="I280" s="84"/>
      <c r="J280" s="84"/>
      <c r="K280" s="84"/>
      <c r="L280" s="84"/>
      <c r="M280" s="84"/>
      <c r="N280" s="84"/>
      <c r="O280" s="84"/>
      <c r="P280" s="84"/>
      <c r="Q280" s="84"/>
      <c r="R280" s="84"/>
      <c r="S280" s="84"/>
      <c r="T280" s="84"/>
      <c r="U280" s="84"/>
      <c r="V280" s="84"/>
      <c r="W280" s="84"/>
      <c r="X280" s="84"/>
      <c r="Y280" s="84"/>
      <c r="Z280" s="84"/>
    </row>
    <row r="281" ht="15.75" customHeight="1">
      <c r="A281" s="84"/>
      <c r="B281" s="84"/>
      <c r="C281" s="84"/>
      <c r="D281" s="84"/>
      <c r="E281" s="84"/>
      <c r="F281" s="84"/>
      <c r="G281" s="84"/>
      <c r="H281" s="84"/>
      <c r="I281" s="84"/>
      <c r="J281" s="84"/>
      <c r="K281" s="84"/>
      <c r="L281" s="84"/>
      <c r="M281" s="84"/>
      <c r="N281" s="84"/>
      <c r="O281" s="84"/>
      <c r="P281" s="84"/>
      <c r="Q281" s="84"/>
      <c r="R281" s="84"/>
      <c r="S281" s="84"/>
      <c r="T281" s="84"/>
      <c r="U281" s="84"/>
      <c r="V281" s="84"/>
      <c r="W281" s="84"/>
      <c r="X281" s="84"/>
      <c r="Y281" s="84"/>
      <c r="Z281" s="84"/>
    </row>
    <row r="282" ht="15.75" customHeight="1">
      <c r="A282" s="84"/>
      <c r="B282" s="84"/>
      <c r="C282" s="84"/>
      <c r="D282" s="84"/>
      <c r="E282" s="84"/>
      <c r="F282" s="84"/>
      <c r="G282" s="84"/>
      <c r="H282" s="84"/>
      <c r="I282" s="84"/>
      <c r="J282" s="84"/>
      <c r="K282" s="84"/>
      <c r="L282" s="84"/>
      <c r="M282" s="84"/>
      <c r="N282" s="84"/>
      <c r="O282" s="84"/>
      <c r="P282" s="84"/>
      <c r="Q282" s="84"/>
      <c r="R282" s="84"/>
      <c r="S282" s="84"/>
      <c r="T282" s="84"/>
      <c r="U282" s="84"/>
      <c r="V282" s="84"/>
      <c r="W282" s="84"/>
      <c r="X282" s="84"/>
      <c r="Y282" s="84"/>
      <c r="Z282" s="84"/>
    </row>
    <row r="283" ht="15.75" customHeight="1">
      <c r="A283" s="84"/>
      <c r="B283" s="84"/>
      <c r="C283" s="84"/>
      <c r="D283" s="84"/>
      <c r="E283" s="84"/>
      <c r="F283" s="84"/>
      <c r="G283" s="84"/>
      <c r="H283" s="84"/>
      <c r="I283" s="84"/>
      <c r="J283" s="84"/>
      <c r="K283" s="84"/>
      <c r="L283" s="84"/>
      <c r="M283" s="84"/>
      <c r="N283" s="84"/>
      <c r="O283" s="84"/>
      <c r="P283" s="84"/>
      <c r="Q283" s="84"/>
      <c r="R283" s="84"/>
      <c r="S283" s="84"/>
      <c r="T283" s="84"/>
      <c r="U283" s="84"/>
      <c r="V283" s="84"/>
      <c r="W283" s="84"/>
      <c r="X283" s="84"/>
      <c r="Y283" s="84"/>
      <c r="Z283" s="84"/>
    </row>
    <row r="284" ht="15.75" customHeight="1">
      <c r="A284" s="84"/>
      <c r="B284" s="84"/>
      <c r="C284" s="84"/>
      <c r="D284" s="84"/>
      <c r="E284" s="84"/>
      <c r="F284" s="84"/>
      <c r="G284" s="84"/>
      <c r="H284" s="84"/>
      <c r="I284" s="84"/>
      <c r="J284" s="84"/>
      <c r="K284" s="84"/>
      <c r="L284" s="84"/>
      <c r="M284" s="84"/>
      <c r="N284" s="84"/>
      <c r="O284" s="84"/>
      <c r="P284" s="84"/>
      <c r="Q284" s="84"/>
      <c r="R284" s="84"/>
      <c r="S284" s="84"/>
      <c r="T284" s="84"/>
      <c r="U284" s="84"/>
      <c r="V284" s="84"/>
      <c r="W284" s="84"/>
      <c r="X284" s="84"/>
      <c r="Y284" s="84"/>
      <c r="Z284" s="84"/>
    </row>
    <row r="285" ht="15.75" customHeight="1">
      <c r="A285" s="84"/>
      <c r="B285" s="84"/>
      <c r="C285" s="84"/>
      <c r="D285" s="84"/>
      <c r="E285" s="84"/>
      <c r="F285" s="84"/>
      <c r="G285" s="84"/>
      <c r="H285" s="84"/>
      <c r="I285" s="84"/>
      <c r="J285" s="84"/>
      <c r="K285" s="84"/>
      <c r="L285" s="84"/>
      <c r="M285" s="84"/>
      <c r="N285" s="84"/>
      <c r="O285" s="84"/>
      <c r="P285" s="84"/>
      <c r="Q285" s="84"/>
      <c r="R285" s="84"/>
      <c r="S285" s="84"/>
      <c r="T285" s="84"/>
      <c r="U285" s="84"/>
      <c r="V285" s="84"/>
      <c r="W285" s="84"/>
      <c r="X285" s="84"/>
      <c r="Y285" s="84"/>
      <c r="Z285" s="84"/>
    </row>
    <row r="286" ht="15.75" customHeight="1">
      <c r="A286" s="84"/>
      <c r="B286" s="84"/>
      <c r="C286" s="84"/>
      <c r="D286" s="84"/>
      <c r="E286" s="84"/>
      <c r="F286" s="84"/>
      <c r="G286" s="84"/>
      <c r="H286" s="84"/>
      <c r="I286" s="84"/>
      <c r="J286" s="84"/>
      <c r="K286" s="84"/>
      <c r="L286" s="84"/>
      <c r="M286" s="84"/>
      <c r="N286" s="84"/>
      <c r="O286" s="84"/>
      <c r="P286" s="84"/>
      <c r="Q286" s="84"/>
      <c r="R286" s="84"/>
      <c r="S286" s="84"/>
      <c r="T286" s="84"/>
      <c r="U286" s="84"/>
      <c r="V286" s="84"/>
      <c r="W286" s="84"/>
      <c r="X286" s="84"/>
      <c r="Y286" s="84"/>
      <c r="Z286" s="84"/>
    </row>
    <row r="287" ht="15.75" customHeight="1">
      <c r="A287" s="84"/>
      <c r="B287" s="84"/>
      <c r="C287" s="84"/>
      <c r="D287" s="84"/>
      <c r="E287" s="84"/>
      <c r="F287" s="84"/>
      <c r="G287" s="84"/>
      <c r="H287" s="84"/>
      <c r="I287" s="84"/>
      <c r="J287" s="84"/>
      <c r="K287" s="84"/>
      <c r="L287" s="84"/>
      <c r="M287" s="84"/>
      <c r="N287" s="84"/>
      <c r="O287" s="84"/>
      <c r="P287" s="84"/>
      <c r="Q287" s="84"/>
      <c r="R287" s="84"/>
      <c r="S287" s="84"/>
      <c r="T287" s="84"/>
      <c r="U287" s="84"/>
      <c r="V287" s="84"/>
      <c r="W287" s="84"/>
      <c r="X287" s="84"/>
      <c r="Y287" s="84"/>
      <c r="Z287" s="84"/>
    </row>
    <row r="288" ht="15.75" customHeight="1">
      <c r="A288" s="84"/>
      <c r="B288" s="84"/>
      <c r="C288" s="84"/>
      <c r="D288" s="84"/>
      <c r="E288" s="84"/>
      <c r="F288" s="84"/>
      <c r="G288" s="84"/>
      <c r="H288" s="84"/>
      <c r="I288" s="84"/>
      <c r="J288" s="84"/>
      <c r="K288" s="84"/>
      <c r="L288" s="84"/>
      <c r="M288" s="84"/>
      <c r="N288" s="84"/>
      <c r="O288" s="84"/>
      <c r="P288" s="84"/>
      <c r="Q288" s="84"/>
      <c r="R288" s="84"/>
      <c r="S288" s="84"/>
      <c r="T288" s="84"/>
      <c r="U288" s="84"/>
      <c r="V288" s="84"/>
      <c r="W288" s="84"/>
      <c r="X288" s="84"/>
      <c r="Y288" s="84"/>
      <c r="Z288" s="84"/>
    </row>
    <row r="289" ht="15.75" customHeight="1">
      <c r="A289" s="84"/>
      <c r="B289" s="84"/>
      <c r="C289" s="84"/>
      <c r="D289" s="84"/>
      <c r="E289" s="84"/>
      <c r="F289" s="84"/>
      <c r="G289" s="84"/>
      <c r="H289" s="84"/>
      <c r="I289" s="84"/>
      <c r="J289" s="84"/>
      <c r="K289" s="84"/>
      <c r="L289" s="84"/>
      <c r="M289" s="84"/>
      <c r="N289" s="84"/>
      <c r="O289" s="84"/>
      <c r="P289" s="84"/>
      <c r="Q289" s="84"/>
      <c r="R289" s="84"/>
      <c r="S289" s="84"/>
      <c r="T289" s="84"/>
      <c r="U289" s="84"/>
      <c r="V289" s="84"/>
      <c r="W289" s="84"/>
      <c r="X289" s="84"/>
      <c r="Y289" s="84"/>
      <c r="Z289" s="84"/>
    </row>
    <row r="290" ht="15.75" customHeight="1">
      <c r="A290" s="84"/>
      <c r="B290" s="84"/>
      <c r="C290" s="84"/>
      <c r="D290" s="84"/>
      <c r="E290" s="84"/>
      <c r="F290" s="84"/>
      <c r="G290" s="84"/>
      <c r="H290" s="84"/>
      <c r="I290" s="84"/>
      <c r="J290" s="84"/>
      <c r="K290" s="84"/>
      <c r="L290" s="84"/>
      <c r="M290" s="84"/>
      <c r="N290" s="84"/>
      <c r="O290" s="84"/>
      <c r="P290" s="84"/>
      <c r="Q290" s="84"/>
      <c r="R290" s="84"/>
      <c r="S290" s="84"/>
      <c r="T290" s="84"/>
      <c r="U290" s="84"/>
      <c r="V290" s="84"/>
      <c r="W290" s="84"/>
      <c r="X290" s="84"/>
      <c r="Y290" s="84"/>
      <c r="Z290" s="84"/>
    </row>
    <row r="291" ht="15.75" customHeight="1">
      <c r="A291" s="84"/>
      <c r="B291" s="84"/>
      <c r="C291" s="84"/>
      <c r="D291" s="84"/>
      <c r="E291" s="84"/>
      <c r="F291" s="84"/>
      <c r="G291" s="84"/>
      <c r="H291" s="84"/>
      <c r="I291" s="84"/>
      <c r="J291" s="84"/>
      <c r="K291" s="84"/>
      <c r="L291" s="84"/>
      <c r="M291" s="84"/>
      <c r="N291" s="84"/>
      <c r="O291" s="84"/>
      <c r="P291" s="84"/>
      <c r="Q291" s="84"/>
      <c r="R291" s="84"/>
      <c r="S291" s="84"/>
      <c r="T291" s="84"/>
      <c r="U291" s="84"/>
      <c r="V291" s="84"/>
      <c r="W291" s="84"/>
      <c r="X291" s="84"/>
      <c r="Y291" s="84"/>
      <c r="Z291" s="84"/>
    </row>
    <row r="292" ht="15.75" customHeight="1">
      <c r="A292" s="84"/>
      <c r="B292" s="84"/>
      <c r="C292" s="84"/>
      <c r="D292" s="84"/>
      <c r="E292" s="84"/>
      <c r="F292" s="84"/>
      <c r="G292" s="84"/>
      <c r="H292" s="84"/>
      <c r="I292" s="84"/>
      <c r="J292" s="84"/>
      <c r="K292" s="84"/>
      <c r="L292" s="84"/>
      <c r="M292" s="84"/>
      <c r="N292" s="84"/>
      <c r="O292" s="84"/>
      <c r="P292" s="84"/>
      <c r="Q292" s="84"/>
      <c r="R292" s="84"/>
      <c r="S292" s="84"/>
      <c r="T292" s="84"/>
      <c r="U292" s="84"/>
      <c r="V292" s="84"/>
      <c r="W292" s="84"/>
      <c r="X292" s="84"/>
      <c r="Y292" s="84"/>
      <c r="Z292" s="84"/>
    </row>
    <row r="293" ht="15.75" customHeight="1">
      <c r="A293" s="84"/>
      <c r="B293" s="84"/>
      <c r="C293" s="84"/>
      <c r="D293" s="84"/>
      <c r="E293" s="84"/>
      <c r="F293" s="84"/>
      <c r="G293" s="84"/>
      <c r="H293" s="84"/>
      <c r="I293" s="84"/>
      <c r="J293" s="84"/>
      <c r="K293" s="84"/>
      <c r="L293" s="84"/>
      <c r="M293" s="84"/>
      <c r="N293" s="84"/>
      <c r="O293" s="84"/>
      <c r="P293" s="84"/>
      <c r="Q293" s="84"/>
      <c r="R293" s="84"/>
      <c r="S293" s="84"/>
      <c r="T293" s="84"/>
      <c r="U293" s="84"/>
      <c r="V293" s="84"/>
      <c r="W293" s="84"/>
      <c r="X293" s="84"/>
      <c r="Y293" s="84"/>
      <c r="Z293" s="84"/>
    </row>
    <row r="294" ht="15.75" customHeight="1">
      <c r="A294" s="84"/>
      <c r="B294" s="84"/>
      <c r="C294" s="84"/>
      <c r="D294" s="84"/>
      <c r="E294" s="84"/>
      <c r="F294" s="84"/>
      <c r="G294" s="84"/>
      <c r="H294" s="84"/>
      <c r="I294" s="84"/>
      <c r="J294" s="84"/>
      <c r="K294" s="84"/>
      <c r="L294" s="84"/>
      <c r="M294" s="84"/>
      <c r="N294" s="84"/>
      <c r="O294" s="84"/>
      <c r="P294" s="84"/>
      <c r="Q294" s="84"/>
      <c r="R294" s="84"/>
      <c r="S294" s="84"/>
      <c r="T294" s="84"/>
      <c r="U294" s="84"/>
      <c r="V294" s="84"/>
      <c r="W294" s="84"/>
      <c r="X294" s="84"/>
      <c r="Y294" s="84"/>
      <c r="Z294" s="84"/>
    </row>
    <row r="295" ht="15.75" customHeight="1">
      <c r="A295" s="84"/>
      <c r="B295" s="84"/>
      <c r="C295" s="84"/>
      <c r="D295" s="84"/>
      <c r="E295" s="84"/>
      <c r="F295" s="84"/>
      <c r="G295" s="84"/>
      <c r="H295" s="84"/>
      <c r="I295" s="84"/>
      <c r="J295" s="84"/>
      <c r="K295" s="84"/>
      <c r="L295" s="84"/>
      <c r="M295" s="84"/>
      <c r="N295" s="84"/>
      <c r="O295" s="84"/>
      <c r="P295" s="84"/>
      <c r="Q295" s="84"/>
      <c r="R295" s="84"/>
      <c r="S295" s="84"/>
      <c r="T295" s="84"/>
      <c r="U295" s="84"/>
      <c r="V295" s="84"/>
      <c r="W295" s="84"/>
      <c r="X295" s="84"/>
      <c r="Y295" s="84"/>
      <c r="Z295" s="84"/>
    </row>
    <row r="296" ht="15.75" customHeight="1">
      <c r="A296" s="84"/>
      <c r="B296" s="84"/>
      <c r="C296" s="84"/>
      <c r="D296" s="84"/>
      <c r="E296" s="84"/>
      <c r="F296" s="84"/>
      <c r="G296" s="84"/>
      <c r="H296" s="84"/>
      <c r="I296" s="84"/>
      <c r="J296" s="84"/>
      <c r="K296" s="84"/>
      <c r="L296" s="84"/>
      <c r="M296" s="84"/>
      <c r="N296" s="84"/>
      <c r="O296" s="84"/>
      <c r="P296" s="84"/>
      <c r="Q296" s="84"/>
      <c r="R296" s="84"/>
      <c r="S296" s="84"/>
      <c r="T296" s="84"/>
      <c r="U296" s="84"/>
      <c r="V296" s="84"/>
      <c r="W296" s="84"/>
      <c r="X296" s="84"/>
      <c r="Y296" s="84"/>
      <c r="Z296" s="84"/>
    </row>
    <row r="297" ht="15.75" customHeight="1">
      <c r="A297" s="84"/>
      <c r="B297" s="84"/>
      <c r="C297" s="84"/>
      <c r="D297" s="84"/>
      <c r="E297" s="84"/>
      <c r="F297" s="84"/>
      <c r="G297" s="84"/>
      <c r="H297" s="84"/>
      <c r="I297" s="84"/>
      <c r="J297" s="84"/>
      <c r="K297" s="84"/>
      <c r="L297" s="84"/>
      <c r="M297" s="84"/>
      <c r="N297" s="84"/>
      <c r="O297" s="84"/>
      <c r="P297" s="84"/>
      <c r="Q297" s="84"/>
      <c r="R297" s="84"/>
      <c r="S297" s="84"/>
      <c r="T297" s="84"/>
      <c r="U297" s="84"/>
      <c r="V297" s="84"/>
      <c r="W297" s="84"/>
      <c r="X297" s="84"/>
      <c r="Y297" s="84"/>
      <c r="Z297" s="84"/>
    </row>
    <row r="298" ht="15.75" customHeight="1">
      <c r="A298" s="84"/>
      <c r="B298" s="84"/>
      <c r="C298" s="84"/>
      <c r="D298" s="84"/>
      <c r="E298" s="84"/>
      <c r="F298" s="84"/>
      <c r="G298" s="84"/>
      <c r="H298" s="84"/>
      <c r="I298" s="84"/>
      <c r="J298" s="84"/>
      <c r="K298" s="84"/>
      <c r="L298" s="84"/>
      <c r="M298" s="84"/>
      <c r="N298" s="84"/>
      <c r="O298" s="84"/>
      <c r="P298" s="84"/>
      <c r="Q298" s="84"/>
      <c r="R298" s="84"/>
      <c r="S298" s="84"/>
      <c r="T298" s="84"/>
      <c r="U298" s="84"/>
      <c r="V298" s="84"/>
      <c r="W298" s="84"/>
      <c r="X298" s="84"/>
      <c r="Y298" s="84"/>
      <c r="Z298" s="84"/>
    </row>
    <row r="299" ht="15.75" customHeight="1">
      <c r="A299" s="84"/>
      <c r="B299" s="84"/>
      <c r="C299" s="84"/>
      <c r="D299" s="84"/>
      <c r="E299" s="84"/>
      <c r="F299" s="84"/>
      <c r="G299" s="84"/>
      <c r="H299" s="84"/>
      <c r="I299" s="84"/>
      <c r="J299" s="84"/>
      <c r="K299" s="84"/>
      <c r="L299" s="84"/>
      <c r="M299" s="84"/>
      <c r="N299" s="84"/>
      <c r="O299" s="84"/>
      <c r="P299" s="84"/>
      <c r="Q299" s="84"/>
      <c r="R299" s="84"/>
      <c r="S299" s="84"/>
      <c r="T299" s="84"/>
      <c r="U299" s="84"/>
      <c r="V299" s="84"/>
      <c r="W299" s="84"/>
      <c r="X299" s="84"/>
      <c r="Y299" s="84"/>
      <c r="Z299" s="84"/>
    </row>
    <row r="300" ht="15.75" customHeight="1">
      <c r="A300" s="84"/>
      <c r="B300" s="84"/>
      <c r="C300" s="84"/>
      <c r="D300" s="84"/>
      <c r="E300" s="84"/>
      <c r="F300" s="84"/>
      <c r="G300" s="84"/>
      <c r="H300" s="84"/>
      <c r="I300" s="84"/>
      <c r="J300" s="84"/>
      <c r="K300" s="84"/>
      <c r="L300" s="84"/>
      <c r="M300" s="84"/>
      <c r="N300" s="84"/>
      <c r="O300" s="84"/>
      <c r="P300" s="84"/>
      <c r="Q300" s="84"/>
      <c r="R300" s="84"/>
      <c r="S300" s="84"/>
      <c r="T300" s="84"/>
      <c r="U300" s="84"/>
      <c r="V300" s="84"/>
      <c r="W300" s="84"/>
      <c r="X300" s="84"/>
      <c r="Y300" s="84"/>
      <c r="Z300" s="84"/>
    </row>
    <row r="301" ht="15.75" customHeight="1">
      <c r="A301" s="84"/>
      <c r="B301" s="84"/>
      <c r="C301" s="84"/>
      <c r="D301" s="84"/>
      <c r="E301" s="84"/>
      <c r="F301" s="84"/>
      <c r="G301" s="84"/>
      <c r="H301" s="84"/>
      <c r="I301" s="84"/>
      <c r="J301" s="84"/>
      <c r="K301" s="84"/>
      <c r="L301" s="84"/>
      <c r="M301" s="84"/>
      <c r="N301" s="84"/>
      <c r="O301" s="84"/>
      <c r="P301" s="84"/>
      <c r="Q301" s="84"/>
      <c r="R301" s="84"/>
      <c r="S301" s="84"/>
      <c r="T301" s="84"/>
      <c r="U301" s="84"/>
      <c r="V301" s="84"/>
      <c r="W301" s="84"/>
      <c r="X301" s="84"/>
      <c r="Y301" s="84"/>
      <c r="Z301" s="84"/>
    </row>
    <row r="302" ht="15.75" customHeight="1">
      <c r="A302" s="84"/>
      <c r="B302" s="84"/>
      <c r="C302" s="84"/>
      <c r="D302" s="84"/>
      <c r="E302" s="84"/>
      <c r="F302" s="84"/>
      <c r="G302" s="84"/>
      <c r="H302" s="84"/>
      <c r="I302" s="84"/>
      <c r="J302" s="84"/>
      <c r="K302" s="84"/>
      <c r="L302" s="84"/>
      <c r="M302" s="84"/>
      <c r="N302" s="84"/>
      <c r="O302" s="84"/>
      <c r="P302" s="84"/>
      <c r="Q302" s="84"/>
      <c r="R302" s="84"/>
      <c r="S302" s="84"/>
      <c r="T302" s="84"/>
      <c r="U302" s="84"/>
      <c r="V302" s="84"/>
      <c r="W302" s="84"/>
      <c r="X302" s="84"/>
      <c r="Y302" s="84"/>
      <c r="Z302" s="84"/>
    </row>
    <row r="303" ht="15.75" customHeight="1">
      <c r="A303" s="84"/>
      <c r="B303" s="84"/>
      <c r="C303" s="84"/>
      <c r="D303" s="84"/>
      <c r="E303" s="84"/>
      <c r="F303" s="84"/>
      <c r="G303" s="84"/>
      <c r="H303" s="84"/>
      <c r="I303" s="84"/>
      <c r="J303" s="84"/>
      <c r="K303" s="84"/>
      <c r="L303" s="84"/>
      <c r="M303" s="84"/>
      <c r="N303" s="84"/>
      <c r="O303" s="84"/>
      <c r="P303" s="84"/>
      <c r="Q303" s="84"/>
      <c r="R303" s="84"/>
      <c r="S303" s="84"/>
      <c r="T303" s="84"/>
      <c r="U303" s="84"/>
      <c r="V303" s="84"/>
      <c r="W303" s="84"/>
      <c r="X303" s="84"/>
      <c r="Y303" s="84"/>
      <c r="Z303" s="84"/>
    </row>
    <row r="304" ht="15.75" customHeight="1">
      <c r="A304" s="84"/>
      <c r="B304" s="84"/>
      <c r="C304" s="84"/>
      <c r="D304" s="84"/>
      <c r="E304" s="84"/>
      <c r="F304" s="84"/>
      <c r="G304" s="84"/>
      <c r="H304" s="84"/>
      <c r="I304" s="84"/>
      <c r="J304" s="84"/>
      <c r="K304" s="84"/>
      <c r="L304" s="84"/>
      <c r="M304" s="84"/>
      <c r="N304" s="84"/>
      <c r="O304" s="84"/>
      <c r="P304" s="84"/>
      <c r="Q304" s="84"/>
      <c r="R304" s="84"/>
      <c r="S304" s="84"/>
      <c r="T304" s="84"/>
      <c r="U304" s="84"/>
      <c r="V304" s="84"/>
      <c r="W304" s="84"/>
      <c r="X304" s="84"/>
      <c r="Y304" s="84"/>
      <c r="Z304" s="84"/>
    </row>
    <row r="305" ht="15.75" customHeight="1">
      <c r="A305" s="84"/>
      <c r="B305" s="84"/>
      <c r="C305" s="84"/>
      <c r="D305" s="84"/>
      <c r="E305" s="84"/>
      <c r="F305" s="84"/>
      <c r="G305" s="84"/>
      <c r="H305" s="84"/>
      <c r="I305" s="84"/>
      <c r="J305" s="84"/>
      <c r="K305" s="84"/>
      <c r="L305" s="84"/>
      <c r="M305" s="84"/>
      <c r="N305" s="84"/>
      <c r="O305" s="84"/>
      <c r="P305" s="84"/>
      <c r="Q305" s="84"/>
      <c r="R305" s="84"/>
      <c r="S305" s="84"/>
      <c r="T305" s="84"/>
      <c r="U305" s="84"/>
      <c r="V305" s="84"/>
      <c r="W305" s="84"/>
      <c r="X305" s="84"/>
      <c r="Y305" s="84"/>
      <c r="Z305" s="84"/>
    </row>
    <row r="306" ht="15.75" customHeight="1">
      <c r="A306" s="84"/>
      <c r="B306" s="84"/>
      <c r="C306" s="84"/>
      <c r="D306" s="84"/>
      <c r="E306" s="84"/>
      <c r="F306" s="84"/>
      <c r="G306" s="84"/>
      <c r="H306" s="84"/>
      <c r="I306" s="84"/>
      <c r="J306" s="84"/>
      <c r="K306" s="84"/>
      <c r="L306" s="84"/>
      <c r="M306" s="84"/>
      <c r="N306" s="84"/>
      <c r="O306" s="84"/>
      <c r="P306" s="84"/>
      <c r="Q306" s="84"/>
      <c r="R306" s="84"/>
      <c r="S306" s="84"/>
      <c r="T306" s="84"/>
      <c r="U306" s="84"/>
      <c r="V306" s="84"/>
      <c r="W306" s="84"/>
      <c r="X306" s="84"/>
      <c r="Y306" s="84"/>
      <c r="Z306" s="84"/>
    </row>
    <row r="307" ht="15.75" customHeight="1">
      <c r="A307" s="84"/>
      <c r="B307" s="84"/>
      <c r="C307" s="84"/>
      <c r="D307" s="84"/>
      <c r="E307" s="84"/>
      <c r="F307" s="84"/>
      <c r="G307" s="84"/>
      <c r="H307" s="84"/>
      <c r="I307" s="84"/>
      <c r="J307" s="84"/>
      <c r="K307" s="84"/>
      <c r="L307" s="84"/>
      <c r="M307" s="84"/>
      <c r="N307" s="84"/>
      <c r="O307" s="84"/>
      <c r="P307" s="84"/>
      <c r="Q307" s="84"/>
      <c r="R307" s="84"/>
      <c r="S307" s="84"/>
      <c r="T307" s="84"/>
      <c r="U307" s="84"/>
      <c r="V307" s="84"/>
      <c r="W307" s="84"/>
      <c r="X307" s="84"/>
      <c r="Y307" s="84"/>
      <c r="Z307" s="84"/>
    </row>
    <row r="308" ht="15.75" customHeight="1">
      <c r="A308" s="84"/>
      <c r="B308" s="84"/>
      <c r="C308" s="84"/>
      <c r="D308" s="84"/>
      <c r="E308" s="84"/>
      <c r="F308" s="84"/>
      <c r="G308" s="84"/>
      <c r="H308" s="84"/>
      <c r="I308" s="84"/>
      <c r="J308" s="84"/>
      <c r="K308" s="84"/>
      <c r="L308" s="84"/>
      <c r="M308" s="84"/>
      <c r="N308" s="84"/>
      <c r="O308" s="84"/>
      <c r="P308" s="84"/>
      <c r="Q308" s="84"/>
      <c r="R308" s="84"/>
      <c r="S308" s="84"/>
      <c r="T308" s="84"/>
      <c r="U308" s="84"/>
      <c r="V308" s="84"/>
      <c r="W308" s="84"/>
      <c r="X308" s="84"/>
      <c r="Y308" s="84"/>
      <c r="Z308" s="84"/>
    </row>
    <row r="309" ht="15.75" customHeight="1">
      <c r="A309" s="84"/>
      <c r="B309" s="84"/>
      <c r="C309" s="84"/>
      <c r="D309" s="84"/>
      <c r="E309" s="84"/>
      <c r="F309" s="84"/>
      <c r="G309" s="84"/>
      <c r="H309" s="84"/>
      <c r="I309" s="84"/>
      <c r="J309" s="84"/>
      <c r="K309" s="84"/>
      <c r="L309" s="84"/>
      <c r="M309" s="84"/>
      <c r="N309" s="84"/>
      <c r="O309" s="84"/>
      <c r="P309" s="84"/>
      <c r="Q309" s="84"/>
      <c r="R309" s="84"/>
      <c r="S309" s="84"/>
      <c r="T309" s="84"/>
      <c r="U309" s="84"/>
      <c r="V309" s="84"/>
      <c r="W309" s="84"/>
      <c r="X309" s="84"/>
      <c r="Y309" s="84"/>
      <c r="Z309" s="84"/>
    </row>
    <row r="310" ht="15.75" customHeight="1">
      <c r="A310" s="84"/>
      <c r="B310" s="84"/>
      <c r="C310" s="84"/>
      <c r="D310" s="84"/>
      <c r="E310" s="84"/>
      <c r="F310" s="84"/>
      <c r="G310" s="84"/>
      <c r="H310" s="84"/>
      <c r="I310" s="84"/>
      <c r="J310" s="84"/>
      <c r="K310" s="84"/>
      <c r="L310" s="84"/>
      <c r="M310" s="84"/>
      <c r="N310" s="84"/>
      <c r="O310" s="84"/>
      <c r="P310" s="84"/>
      <c r="Q310" s="84"/>
      <c r="R310" s="84"/>
      <c r="S310" s="84"/>
      <c r="T310" s="84"/>
      <c r="U310" s="84"/>
      <c r="V310" s="84"/>
      <c r="W310" s="84"/>
      <c r="X310" s="84"/>
      <c r="Y310" s="84"/>
      <c r="Z310" s="84"/>
    </row>
    <row r="311" ht="15.75" customHeight="1">
      <c r="A311" s="84"/>
      <c r="B311" s="84"/>
      <c r="C311" s="84"/>
      <c r="D311" s="84"/>
      <c r="E311" s="84"/>
      <c r="F311" s="84"/>
      <c r="G311" s="84"/>
      <c r="H311" s="84"/>
      <c r="I311" s="84"/>
      <c r="J311" s="84"/>
      <c r="K311" s="84"/>
      <c r="L311" s="84"/>
      <c r="M311" s="84"/>
      <c r="N311" s="84"/>
      <c r="O311" s="84"/>
      <c r="P311" s="84"/>
      <c r="Q311" s="84"/>
      <c r="R311" s="84"/>
      <c r="S311" s="84"/>
      <c r="T311" s="84"/>
      <c r="U311" s="84"/>
      <c r="V311" s="84"/>
      <c r="W311" s="84"/>
      <c r="X311" s="84"/>
      <c r="Y311" s="84"/>
      <c r="Z311" s="84"/>
    </row>
    <row r="312" ht="15.75" customHeight="1">
      <c r="A312" s="84"/>
      <c r="B312" s="84"/>
      <c r="C312" s="84"/>
      <c r="D312" s="84"/>
      <c r="E312" s="84"/>
      <c r="F312" s="84"/>
      <c r="G312" s="84"/>
      <c r="H312" s="84"/>
      <c r="I312" s="84"/>
      <c r="J312" s="84"/>
      <c r="K312" s="84"/>
      <c r="L312" s="84"/>
      <c r="M312" s="84"/>
      <c r="N312" s="84"/>
      <c r="O312" s="84"/>
      <c r="P312" s="84"/>
      <c r="Q312" s="84"/>
      <c r="R312" s="84"/>
      <c r="S312" s="84"/>
      <c r="T312" s="84"/>
      <c r="U312" s="84"/>
      <c r="V312" s="84"/>
      <c r="W312" s="84"/>
      <c r="X312" s="84"/>
      <c r="Y312" s="84"/>
      <c r="Z312" s="84"/>
    </row>
    <row r="313" ht="15.75" customHeight="1">
      <c r="A313" s="84"/>
      <c r="B313" s="84"/>
      <c r="C313" s="84"/>
      <c r="D313" s="84"/>
      <c r="E313" s="84"/>
      <c r="F313" s="84"/>
      <c r="G313" s="84"/>
      <c r="H313" s="84"/>
      <c r="I313" s="84"/>
      <c r="J313" s="84"/>
      <c r="K313" s="84"/>
      <c r="L313" s="84"/>
      <c r="M313" s="84"/>
      <c r="N313" s="84"/>
      <c r="O313" s="84"/>
      <c r="P313" s="84"/>
      <c r="Q313" s="84"/>
      <c r="R313" s="84"/>
      <c r="S313" s="84"/>
      <c r="T313" s="84"/>
      <c r="U313" s="84"/>
      <c r="V313" s="84"/>
      <c r="W313" s="84"/>
      <c r="X313" s="84"/>
      <c r="Y313" s="84"/>
      <c r="Z313" s="84"/>
    </row>
    <row r="314" ht="15.75" customHeight="1">
      <c r="A314" s="84"/>
      <c r="B314" s="84"/>
      <c r="C314" s="84"/>
      <c r="D314" s="84"/>
      <c r="E314" s="84"/>
      <c r="F314" s="84"/>
      <c r="G314" s="84"/>
      <c r="H314" s="84"/>
      <c r="I314" s="84"/>
      <c r="J314" s="84"/>
      <c r="K314" s="84"/>
      <c r="L314" s="84"/>
      <c r="M314" s="84"/>
      <c r="N314" s="84"/>
      <c r="O314" s="84"/>
      <c r="P314" s="84"/>
      <c r="Q314" s="84"/>
      <c r="R314" s="84"/>
      <c r="S314" s="84"/>
      <c r="T314" s="84"/>
      <c r="U314" s="84"/>
      <c r="V314" s="84"/>
      <c r="W314" s="84"/>
      <c r="X314" s="84"/>
      <c r="Y314" s="84"/>
      <c r="Z314" s="84"/>
    </row>
    <row r="315" ht="15.75" customHeight="1">
      <c r="A315" s="84"/>
      <c r="B315" s="84"/>
      <c r="C315" s="84"/>
      <c r="D315" s="84"/>
      <c r="E315" s="84"/>
      <c r="F315" s="84"/>
      <c r="G315" s="84"/>
      <c r="H315" s="84"/>
      <c r="I315" s="84"/>
      <c r="J315" s="84"/>
      <c r="K315" s="84"/>
      <c r="L315" s="84"/>
      <c r="M315" s="84"/>
      <c r="N315" s="84"/>
      <c r="O315" s="84"/>
      <c r="P315" s="84"/>
      <c r="Q315" s="84"/>
      <c r="R315" s="84"/>
      <c r="S315" s="84"/>
      <c r="T315" s="84"/>
      <c r="U315" s="84"/>
      <c r="V315" s="84"/>
      <c r="W315" s="84"/>
      <c r="X315" s="84"/>
      <c r="Y315" s="84"/>
      <c r="Z315" s="84"/>
    </row>
    <row r="316" ht="15.75" customHeight="1">
      <c r="A316" s="84"/>
      <c r="B316" s="84"/>
      <c r="C316" s="84"/>
      <c r="D316" s="84"/>
      <c r="E316" s="84"/>
      <c r="F316" s="84"/>
      <c r="G316" s="84"/>
      <c r="H316" s="84"/>
      <c r="I316" s="84"/>
      <c r="J316" s="84"/>
      <c r="K316" s="84"/>
      <c r="L316" s="84"/>
      <c r="M316" s="84"/>
      <c r="N316" s="84"/>
      <c r="O316" s="84"/>
      <c r="P316" s="84"/>
      <c r="Q316" s="84"/>
      <c r="R316" s="84"/>
      <c r="S316" s="84"/>
      <c r="T316" s="84"/>
      <c r="U316" s="84"/>
      <c r="V316" s="84"/>
      <c r="W316" s="84"/>
      <c r="X316" s="84"/>
      <c r="Y316" s="84"/>
      <c r="Z316" s="84"/>
    </row>
    <row r="317" ht="15.75" customHeight="1">
      <c r="A317" s="84"/>
      <c r="B317" s="84"/>
      <c r="C317" s="84"/>
      <c r="D317" s="84"/>
      <c r="E317" s="84"/>
      <c r="F317" s="84"/>
      <c r="G317" s="84"/>
      <c r="H317" s="84"/>
      <c r="I317" s="84"/>
      <c r="J317" s="84"/>
      <c r="K317" s="84"/>
      <c r="L317" s="84"/>
      <c r="M317" s="84"/>
      <c r="N317" s="84"/>
      <c r="O317" s="84"/>
      <c r="P317" s="84"/>
      <c r="Q317" s="84"/>
      <c r="R317" s="84"/>
      <c r="S317" s="84"/>
      <c r="T317" s="84"/>
      <c r="U317" s="84"/>
      <c r="V317" s="84"/>
      <c r="W317" s="84"/>
      <c r="X317" s="84"/>
      <c r="Y317" s="84"/>
      <c r="Z317" s="84"/>
    </row>
    <row r="318" ht="15.75" customHeight="1">
      <c r="A318" s="84"/>
      <c r="B318" s="84"/>
      <c r="C318" s="84"/>
      <c r="D318" s="84"/>
      <c r="E318" s="84"/>
      <c r="F318" s="84"/>
      <c r="G318" s="84"/>
      <c r="H318" s="84"/>
      <c r="I318" s="84"/>
      <c r="J318" s="84"/>
      <c r="K318" s="84"/>
      <c r="L318" s="84"/>
      <c r="M318" s="84"/>
      <c r="N318" s="84"/>
      <c r="O318" s="84"/>
      <c r="P318" s="84"/>
      <c r="Q318" s="84"/>
      <c r="R318" s="84"/>
      <c r="S318" s="84"/>
      <c r="T318" s="84"/>
      <c r="U318" s="84"/>
      <c r="V318" s="84"/>
      <c r="W318" s="84"/>
      <c r="X318" s="84"/>
      <c r="Y318" s="84"/>
      <c r="Z318" s="84"/>
    </row>
    <row r="319" ht="15.75" customHeight="1">
      <c r="A319" s="84"/>
      <c r="B319" s="84"/>
      <c r="C319" s="84"/>
      <c r="D319" s="84"/>
      <c r="E319" s="84"/>
      <c r="F319" s="84"/>
      <c r="G319" s="84"/>
      <c r="H319" s="84"/>
      <c r="I319" s="84"/>
      <c r="J319" s="84"/>
      <c r="K319" s="84"/>
      <c r="L319" s="84"/>
      <c r="M319" s="84"/>
      <c r="N319" s="84"/>
      <c r="O319" s="84"/>
      <c r="P319" s="84"/>
      <c r="Q319" s="84"/>
      <c r="R319" s="84"/>
      <c r="S319" s="84"/>
      <c r="T319" s="84"/>
      <c r="U319" s="84"/>
      <c r="V319" s="84"/>
      <c r="W319" s="84"/>
      <c r="X319" s="84"/>
      <c r="Y319" s="84"/>
      <c r="Z319" s="84"/>
    </row>
    <row r="320" ht="15.75" customHeight="1">
      <c r="A320" s="84"/>
      <c r="B320" s="84"/>
      <c r="C320" s="84"/>
      <c r="D320" s="84"/>
      <c r="E320" s="84"/>
      <c r="F320" s="84"/>
      <c r="G320" s="84"/>
      <c r="H320" s="84"/>
      <c r="I320" s="84"/>
      <c r="J320" s="84"/>
      <c r="K320" s="84"/>
      <c r="L320" s="84"/>
      <c r="M320" s="84"/>
      <c r="N320" s="84"/>
      <c r="O320" s="84"/>
      <c r="P320" s="84"/>
      <c r="Q320" s="84"/>
      <c r="R320" s="84"/>
      <c r="S320" s="84"/>
      <c r="T320" s="84"/>
      <c r="U320" s="84"/>
      <c r="V320" s="84"/>
      <c r="W320" s="84"/>
      <c r="X320" s="84"/>
      <c r="Y320" s="84"/>
      <c r="Z320" s="84"/>
    </row>
    <row r="321" ht="15.75" customHeight="1">
      <c r="A321" s="84"/>
      <c r="B321" s="84"/>
      <c r="C321" s="84"/>
      <c r="D321" s="84"/>
      <c r="E321" s="84"/>
      <c r="F321" s="84"/>
      <c r="G321" s="84"/>
      <c r="H321" s="84"/>
      <c r="I321" s="84"/>
      <c r="J321" s="84"/>
      <c r="K321" s="84"/>
      <c r="L321" s="84"/>
      <c r="M321" s="84"/>
      <c r="N321" s="84"/>
      <c r="O321" s="84"/>
      <c r="P321" s="84"/>
      <c r="Q321" s="84"/>
      <c r="R321" s="84"/>
      <c r="S321" s="84"/>
      <c r="T321" s="84"/>
      <c r="U321" s="84"/>
      <c r="V321" s="84"/>
      <c r="W321" s="84"/>
      <c r="X321" s="84"/>
      <c r="Y321" s="84"/>
      <c r="Z321" s="84"/>
    </row>
    <row r="322" ht="15.75" customHeight="1">
      <c r="A322" s="84"/>
      <c r="B322" s="84"/>
      <c r="C322" s="84"/>
      <c r="D322" s="84"/>
      <c r="E322" s="84"/>
      <c r="F322" s="84"/>
      <c r="G322" s="84"/>
      <c r="H322" s="84"/>
      <c r="I322" s="84"/>
      <c r="J322" s="84"/>
      <c r="K322" s="84"/>
      <c r="L322" s="84"/>
      <c r="M322" s="84"/>
      <c r="N322" s="84"/>
      <c r="O322" s="84"/>
      <c r="P322" s="84"/>
      <c r="Q322" s="84"/>
      <c r="R322" s="84"/>
      <c r="S322" s="84"/>
      <c r="T322" s="84"/>
      <c r="U322" s="84"/>
      <c r="V322" s="84"/>
      <c r="W322" s="84"/>
      <c r="X322" s="84"/>
      <c r="Y322" s="84"/>
      <c r="Z322" s="84"/>
    </row>
    <row r="323" ht="15.75" customHeight="1">
      <c r="A323" s="84"/>
      <c r="B323" s="84"/>
      <c r="C323" s="84"/>
      <c r="D323" s="84"/>
      <c r="E323" s="84"/>
      <c r="F323" s="84"/>
      <c r="G323" s="84"/>
      <c r="H323" s="84"/>
      <c r="I323" s="84"/>
      <c r="J323" s="84"/>
      <c r="K323" s="84"/>
      <c r="L323" s="84"/>
      <c r="M323" s="84"/>
      <c r="N323" s="84"/>
      <c r="O323" s="84"/>
      <c r="P323" s="84"/>
      <c r="Q323" s="84"/>
      <c r="R323" s="84"/>
      <c r="S323" s="84"/>
      <c r="T323" s="84"/>
      <c r="U323" s="84"/>
      <c r="V323" s="84"/>
      <c r="W323" s="84"/>
      <c r="X323" s="84"/>
      <c r="Y323" s="84"/>
      <c r="Z323" s="84"/>
    </row>
    <row r="324" ht="15.75" customHeight="1">
      <c r="A324" s="84"/>
      <c r="B324" s="84"/>
      <c r="C324" s="84"/>
      <c r="D324" s="84"/>
      <c r="E324" s="84"/>
      <c r="F324" s="84"/>
      <c r="G324" s="84"/>
      <c r="H324" s="84"/>
      <c r="I324" s="84"/>
      <c r="J324" s="84"/>
      <c r="K324" s="84"/>
      <c r="L324" s="84"/>
      <c r="M324" s="84"/>
      <c r="N324" s="84"/>
      <c r="O324" s="84"/>
      <c r="P324" s="84"/>
      <c r="Q324" s="84"/>
      <c r="R324" s="84"/>
      <c r="S324" s="84"/>
      <c r="T324" s="84"/>
      <c r="U324" s="84"/>
      <c r="V324" s="84"/>
      <c r="W324" s="84"/>
      <c r="X324" s="84"/>
      <c r="Y324" s="84"/>
      <c r="Z324" s="84"/>
    </row>
    <row r="325" ht="15.75" customHeight="1">
      <c r="A325" s="84"/>
      <c r="B325" s="84"/>
      <c r="C325" s="84"/>
      <c r="D325" s="84"/>
      <c r="E325" s="84"/>
      <c r="F325" s="84"/>
      <c r="G325" s="84"/>
      <c r="H325" s="84"/>
      <c r="I325" s="84"/>
      <c r="J325" s="84"/>
      <c r="K325" s="84"/>
      <c r="L325" s="84"/>
      <c r="M325" s="84"/>
      <c r="N325" s="84"/>
      <c r="O325" s="84"/>
      <c r="P325" s="84"/>
      <c r="Q325" s="84"/>
      <c r="R325" s="84"/>
      <c r="S325" s="84"/>
      <c r="T325" s="84"/>
      <c r="U325" s="84"/>
      <c r="V325" s="84"/>
      <c r="W325" s="84"/>
      <c r="X325" s="84"/>
      <c r="Y325" s="84"/>
      <c r="Z325" s="84"/>
    </row>
    <row r="326" ht="15.75" customHeight="1">
      <c r="A326" s="84"/>
      <c r="B326" s="84"/>
      <c r="C326" s="84"/>
      <c r="D326" s="84"/>
      <c r="E326" s="84"/>
      <c r="F326" s="84"/>
      <c r="G326" s="84"/>
      <c r="H326" s="84"/>
      <c r="I326" s="84"/>
      <c r="J326" s="84"/>
      <c r="K326" s="84"/>
      <c r="L326" s="84"/>
      <c r="M326" s="84"/>
      <c r="N326" s="84"/>
      <c r="O326" s="84"/>
      <c r="P326" s="84"/>
      <c r="Q326" s="84"/>
      <c r="R326" s="84"/>
      <c r="S326" s="84"/>
      <c r="T326" s="84"/>
      <c r="U326" s="84"/>
      <c r="V326" s="84"/>
      <c r="W326" s="84"/>
      <c r="X326" s="84"/>
      <c r="Y326" s="84"/>
      <c r="Z326" s="84"/>
    </row>
    <row r="327" ht="15.75" customHeight="1">
      <c r="A327" s="84"/>
      <c r="B327" s="84"/>
      <c r="C327" s="84"/>
      <c r="D327" s="84"/>
      <c r="E327" s="84"/>
      <c r="F327" s="84"/>
      <c r="G327" s="84"/>
      <c r="H327" s="84"/>
      <c r="I327" s="84"/>
      <c r="J327" s="84"/>
      <c r="K327" s="84"/>
      <c r="L327" s="84"/>
      <c r="M327" s="84"/>
      <c r="N327" s="84"/>
      <c r="O327" s="84"/>
      <c r="P327" s="84"/>
      <c r="Q327" s="84"/>
      <c r="R327" s="84"/>
      <c r="S327" s="84"/>
      <c r="T327" s="84"/>
      <c r="U327" s="84"/>
      <c r="V327" s="84"/>
      <c r="W327" s="84"/>
      <c r="X327" s="84"/>
      <c r="Y327" s="84"/>
      <c r="Z327" s="84"/>
    </row>
    <row r="328" ht="15.75" customHeight="1">
      <c r="A328" s="84"/>
      <c r="B328" s="84"/>
      <c r="C328" s="84"/>
      <c r="D328" s="84"/>
      <c r="E328" s="84"/>
      <c r="F328" s="84"/>
      <c r="G328" s="84"/>
      <c r="H328" s="84"/>
      <c r="I328" s="84"/>
      <c r="J328" s="84"/>
      <c r="K328" s="84"/>
      <c r="L328" s="84"/>
      <c r="M328" s="84"/>
      <c r="N328" s="84"/>
      <c r="O328" s="84"/>
      <c r="P328" s="84"/>
      <c r="Q328" s="84"/>
      <c r="R328" s="84"/>
      <c r="S328" s="84"/>
      <c r="T328" s="84"/>
      <c r="U328" s="84"/>
      <c r="V328" s="84"/>
      <c r="W328" s="84"/>
      <c r="X328" s="84"/>
      <c r="Y328" s="84"/>
      <c r="Z328" s="84"/>
    </row>
    <row r="329" ht="15.75" customHeight="1">
      <c r="A329" s="84"/>
      <c r="B329" s="84"/>
      <c r="C329" s="84"/>
      <c r="D329" s="84"/>
      <c r="E329" s="84"/>
      <c r="F329" s="84"/>
      <c r="G329" s="84"/>
      <c r="H329" s="84"/>
      <c r="I329" s="84"/>
      <c r="J329" s="84"/>
      <c r="K329" s="84"/>
      <c r="L329" s="84"/>
      <c r="M329" s="84"/>
      <c r="N329" s="84"/>
      <c r="O329" s="84"/>
      <c r="P329" s="84"/>
      <c r="Q329" s="84"/>
      <c r="R329" s="84"/>
      <c r="S329" s="84"/>
      <c r="T329" s="84"/>
      <c r="U329" s="84"/>
      <c r="V329" s="84"/>
      <c r="W329" s="84"/>
      <c r="X329" s="84"/>
      <c r="Y329" s="84"/>
      <c r="Z329" s="84"/>
    </row>
    <row r="330" ht="15.75" customHeight="1">
      <c r="A330" s="84"/>
      <c r="B330" s="84"/>
      <c r="C330" s="84"/>
      <c r="D330" s="84"/>
      <c r="E330" s="84"/>
      <c r="F330" s="84"/>
      <c r="G330" s="84"/>
      <c r="H330" s="84"/>
      <c r="I330" s="84"/>
      <c r="J330" s="84"/>
      <c r="K330" s="84"/>
      <c r="L330" s="84"/>
      <c r="M330" s="84"/>
      <c r="N330" s="84"/>
      <c r="O330" s="84"/>
      <c r="P330" s="84"/>
      <c r="Q330" s="84"/>
      <c r="R330" s="84"/>
      <c r="S330" s="84"/>
      <c r="T330" s="84"/>
      <c r="U330" s="84"/>
      <c r="V330" s="84"/>
      <c r="W330" s="84"/>
      <c r="X330" s="84"/>
      <c r="Y330" s="84"/>
      <c r="Z330" s="84"/>
    </row>
    <row r="331" ht="15.75" customHeight="1">
      <c r="A331" s="84"/>
      <c r="B331" s="84"/>
      <c r="C331" s="84"/>
      <c r="D331" s="84"/>
      <c r="E331" s="84"/>
      <c r="F331" s="84"/>
      <c r="G331" s="84"/>
      <c r="H331" s="84"/>
      <c r="I331" s="84"/>
      <c r="J331" s="84"/>
      <c r="K331" s="84"/>
      <c r="L331" s="84"/>
      <c r="M331" s="84"/>
      <c r="N331" s="84"/>
      <c r="O331" s="84"/>
      <c r="P331" s="84"/>
      <c r="Q331" s="84"/>
      <c r="R331" s="84"/>
      <c r="S331" s="84"/>
      <c r="T331" s="84"/>
      <c r="U331" s="84"/>
      <c r="V331" s="84"/>
      <c r="W331" s="84"/>
      <c r="X331" s="84"/>
      <c r="Y331" s="84"/>
      <c r="Z331" s="84"/>
    </row>
    <row r="332" ht="15.75" customHeight="1">
      <c r="A332" s="84"/>
      <c r="B332" s="84"/>
      <c r="C332" s="84"/>
      <c r="D332" s="84"/>
      <c r="E332" s="84"/>
      <c r="F332" s="84"/>
      <c r="G332" s="84"/>
      <c r="H332" s="84"/>
      <c r="I332" s="84"/>
      <c r="J332" s="84"/>
      <c r="K332" s="84"/>
      <c r="L332" s="84"/>
      <c r="M332" s="84"/>
      <c r="N332" s="84"/>
      <c r="O332" s="84"/>
      <c r="P332" s="84"/>
      <c r="Q332" s="84"/>
      <c r="R332" s="84"/>
      <c r="S332" s="84"/>
      <c r="T332" s="84"/>
      <c r="U332" s="84"/>
      <c r="V332" s="84"/>
      <c r="W332" s="84"/>
      <c r="X332" s="84"/>
      <c r="Y332" s="84"/>
      <c r="Z332" s="84"/>
    </row>
    <row r="333" ht="15.75" customHeight="1">
      <c r="A333" s="84"/>
      <c r="B333" s="84"/>
      <c r="C333" s="84"/>
      <c r="D333" s="84"/>
      <c r="E333" s="84"/>
      <c r="F333" s="84"/>
      <c r="G333" s="84"/>
      <c r="H333" s="84"/>
      <c r="I333" s="84"/>
      <c r="J333" s="84"/>
      <c r="K333" s="84"/>
      <c r="L333" s="84"/>
      <c r="M333" s="84"/>
      <c r="N333" s="84"/>
      <c r="O333" s="84"/>
      <c r="P333" s="84"/>
      <c r="Q333" s="84"/>
      <c r="R333" s="84"/>
      <c r="S333" s="84"/>
      <c r="T333" s="84"/>
      <c r="U333" s="84"/>
      <c r="V333" s="84"/>
      <c r="W333" s="84"/>
      <c r="X333" s="84"/>
      <c r="Y333" s="84"/>
      <c r="Z333" s="84"/>
    </row>
    <row r="334" ht="15.75" customHeight="1">
      <c r="A334" s="84"/>
      <c r="B334" s="84"/>
      <c r="C334" s="84"/>
      <c r="D334" s="84"/>
      <c r="E334" s="84"/>
      <c r="F334" s="84"/>
      <c r="G334" s="84"/>
      <c r="H334" s="84"/>
      <c r="I334" s="84"/>
      <c r="J334" s="84"/>
      <c r="K334" s="84"/>
      <c r="L334" s="84"/>
      <c r="M334" s="84"/>
      <c r="N334" s="84"/>
      <c r="O334" s="84"/>
      <c r="P334" s="84"/>
      <c r="Q334" s="84"/>
      <c r="R334" s="84"/>
      <c r="S334" s="84"/>
      <c r="T334" s="84"/>
      <c r="U334" s="84"/>
      <c r="V334" s="84"/>
      <c r="W334" s="84"/>
      <c r="X334" s="84"/>
      <c r="Y334" s="84"/>
      <c r="Z334" s="84"/>
    </row>
    <row r="335" ht="15.75" customHeight="1">
      <c r="A335" s="84"/>
      <c r="B335" s="84"/>
      <c r="C335" s="84"/>
      <c r="D335" s="84"/>
      <c r="E335" s="84"/>
      <c r="F335" s="84"/>
    </row>
    <row r="336" ht="15.75" customHeight="1">
      <c r="A336" s="84"/>
      <c r="B336" s="84"/>
      <c r="C336" s="84"/>
      <c r="D336" s="84"/>
      <c r="E336" s="84"/>
      <c r="F336" s="84"/>
    </row>
    <row r="337" ht="15.75" customHeight="1">
      <c r="A337" s="84"/>
      <c r="B337" s="84"/>
      <c r="C337" s="84"/>
      <c r="D337" s="84"/>
      <c r="E337" s="84"/>
      <c r="F337" s="84"/>
    </row>
    <row r="338" ht="15.75" customHeight="1">
      <c r="A338" s="84"/>
      <c r="B338" s="84"/>
      <c r="C338" s="84"/>
      <c r="D338" s="84"/>
      <c r="E338" s="84"/>
      <c r="F338" s="84"/>
    </row>
    <row r="339" ht="15.75" customHeight="1">
      <c r="A339" s="84"/>
      <c r="B339" s="84"/>
      <c r="C339" s="84"/>
      <c r="D339" s="84"/>
      <c r="E339" s="84"/>
      <c r="F339" s="84"/>
    </row>
    <row r="340" ht="15.75" customHeight="1">
      <c r="A340" s="84"/>
      <c r="B340" s="84"/>
      <c r="C340" s="84"/>
      <c r="D340" s="84"/>
      <c r="E340" s="84"/>
      <c r="F340" s="84"/>
    </row>
    <row r="341" ht="15.75" customHeight="1">
      <c r="A341" s="84"/>
      <c r="B341" s="84"/>
      <c r="C341" s="84"/>
      <c r="D341" s="84"/>
      <c r="E341" s="84"/>
      <c r="F341" s="84"/>
    </row>
    <row r="342" ht="15.75" customHeight="1">
      <c r="A342" s="84"/>
      <c r="B342" s="84"/>
      <c r="C342" s="84"/>
      <c r="D342" s="84"/>
      <c r="E342" s="84"/>
      <c r="F342" s="84"/>
    </row>
    <row r="343" ht="15.75" customHeight="1">
      <c r="A343" s="84"/>
      <c r="B343" s="84"/>
      <c r="C343" s="84"/>
      <c r="D343" s="84"/>
      <c r="E343" s="84"/>
      <c r="F343" s="84"/>
    </row>
    <row r="344" ht="15.75" customHeight="1">
      <c r="A344" s="84"/>
      <c r="B344" s="84"/>
      <c r="C344" s="84"/>
      <c r="D344" s="84"/>
      <c r="E344" s="84"/>
      <c r="F344" s="84"/>
    </row>
    <row r="345" ht="15.75" customHeight="1">
      <c r="A345" s="84"/>
      <c r="B345" s="84"/>
      <c r="C345" s="84"/>
      <c r="D345" s="84"/>
      <c r="E345" s="84"/>
      <c r="F345" s="84"/>
    </row>
    <row r="346" ht="15.75" customHeight="1">
      <c r="A346" s="84"/>
      <c r="B346" s="84"/>
      <c r="C346" s="84"/>
      <c r="D346" s="84"/>
      <c r="E346" s="84"/>
      <c r="F346" s="84"/>
    </row>
    <row r="347" ht="15.75" customHeight="1">
      <c r="A347" s="84"/>
      <c r="B347" s="84"/>
      <c r="C347" s="84"/>
      <c r="D347" s="84"/>
      <c r="E347" s="84"/>
      <c r="F347" s="84"/>
    </row>
    <row r="348" ht="15.75" customHeight="1">
      <c r="A348" s="84"/>
      <c r="B348" s="84"/>
      <c r="C348" s="84"/>
      <c r="D348" s="84"/>
      <c r="E348" s="84"/>
      <c r="F348" s="84"/>
    </row>
    <row r="349" ht="15.75" customHeight="1">
      <c r="A349" s="84"/>
      <c r="B349" s="84"/>
      <c r="C349" s="84"/>
      <c r="D349" s="84"/>
      <c r="E349" s="84"/>
      <c r="F349" s="84"/>
    </row>
    <row r="350" ht="15.75" customHeight="1">
      <c r="A350" s="84"/>
      <c r="B350" s="84"/>
      <c r="C350" s="84"/>
      <c r="D350" s="84"/>
      <c r="E350" s="84"/>
      <c r="F350" s="84"/>
    </row>
    <row r="351" ht="15.75" customHeight="1">
      <c r="A351" s="84"/>
      <c r="B351" s="84"/>
      <c r="C351" s="84"/>
      <c r="D351" s="84"/>
      <c r="E351" s="84"/>
      <c r="F351" s="84"/>
    </row>
    <row r="352" ht="15.75" customHeight="1">
      <c r="A352" s="84"/>
      <c r="B352" s="84"/>
      <c r="C352" s="84"/>
      <c r="D352" s="84"/>
      <c r="E352" s="84"/>
      <c r="F352" s="84"/>
    </row>
    <row r="353" ht="15.75" customHeight="1">
      <c r="A353" s="84"/>
      <c r="B353" s="84"/>
      <c r="C353" s="84"/>
      <c r="D353" s="84"/>
      <c r="E353" s="84"/>
      <c r="F353" s="84"/>
    </row>
    <row r="354" ht="15.75" customHeight="1">
      <c r="A354" s="84"/>
      <c r="B354" s="84"/>
      <c r="C354" s="84"/>
      <c r="D354" s="84"/>
      <c r="E354" s="84"/>
      <c r="F354" s="84"/>
    </row>
    <row r="355" ht="15.75" customHeight="1">
      <c r="A355" s="84"/>
      <c r="B355" s="84"/>
      <c r="C355" s="84"/>
      <c r="D355" s="84"/>
      <c r="E355" s="84"/>
      <c r="F355" s="84"/>
    </row>
    <row r="356" ht="15.75" customHeight="1">
      <c r="A356" s="84"/>
      <c r="B356" s="84"/>
      <c r="C356" s="84"/>
      <c r="D356" s="84"/>
      <c r="E356" s="84"/>
      <c r="F356" s="84"/>
    </row>
    <row r="357" ht="15.75" customHeight="1">
      <c r="A357" s="84"/>
      <c r="B357" s="84"/>
      <c r="C357" s="84"/>
      <c r="D357" s="84"/>
      <c r="E357" s="84"/>
      <c r="F357" s="84"/>
    </row>
    <row r="358" ht="15.75" customHeight="1">
      <c r="A358" s="84"/>
      <c r="B358" s="84"/>
      <c r="C358" s="84"/>
      <c r="D358" s="84"/>
      <c r="E358" s="84"/>
      <c r="F358" s="84"/>
    </row>
    <row r="359" ht="15.75" customHeight="1">
      <c r="A359" s="84"/>
      <c r="B359" s="84"/>
      <c r="C359" s="84"/>
      <c r="D359" s="84"/>
      <c r="E359" s="84"/>
      <c r="F359" s="84"/>
    </row>
    <row r="360" ht="15.75" customHeight="1">
      <c r="A360" s="84"/>
      <c r="B360" s="84"/>
      <c r="C360" s="84"/>
      <c r="D360" s="84"/>
      <c r="E360" s="84"/>
      <c r="F360" s="84"/>
    </row>
    <row r="361" ht="15.75" customHeight="1">
      <c r="A361" s="84"/>
      <c r="B361" s="84"/>
      <c r="C361" s="84"/>
      <c r="D361" s="84"/>
      <c r="E361" s="84"/>
      <c r="F361" s="84"/>
    </row>
    <row r="362" ht="15.75" customHeight="1">
      <c r="A362" s="84"/>
      <c r="B362" s="84"/>
      <c r="C362" s="84"/>
      <c r="D362" s="84"/>
      <c r="E362" s="84"/>
      <c r="F362" s="84"/>
    </row>
    <row r="363" ht="15.75" customHeight="1">
      <c r="A363" s="84"/>
      <c r="B363" s="84"/>
      <c r="C363" s="84"/>
      <c r="D363" s="84"/>
      <c r="E363" s="84"/>
      <c r="F363" s="84"/>
    </row>
    <row r="364" ht="15.75" customHeight="1">
      <c r="A364" s="84"/>
      <c r="B364" s="84"/>
      <c r="C364" s="84"/>
      <c r="D364" s="84"/>
      <c r="E364" s="84"/>
      <c r="F364" s="84"/>
    </row>
    <row r="365" ht="15.75" customHeight="1">
      <c r="A365" s="84"/>
      <c r="B365" s="84"/>
      <c r="C365" s="84"/>
      <c r="D365" s="84"/>
      <c r="E365" s="84"/>
      <c r="F365" s="84"/>
    </row>
    <row r="366" ht="15.75" customHeight="1">
      <c r="A366" s="84"/>
      <c r="B366" s="84"/>
      <c r="C366" s="84"/>
      <c r="D366" s="84"/>
      <c r="E366" s="84"/>
      <c r="F366" s="84"/>
    </row>
    <row r="367" ht="15.75" customHeight="1">
      <c r="A367" s="84"/>
      <c r="B367" s="84"/>
      <c r="C367" s="84"/>
      <c r="D367" s="84"/>
      <c r="E367" s="84"/>
      <c r="F367" s="84"/>
    </row>
    <row r="368" ht="15.75" customHeight="1">
      <c r="A368" s="84"/>
      <c r="B368" s="84"/>
      <c r="C368" s="84"/>
      <c r="D368" s="84"/>
      <c r="E368" s="84"/>
      <c r="F368" s="84"/>
    </row>
    <row r="369" ht="15.75" customHeight="1">
      <c r="A369" s="84"/>
      <c r="B369" s="84"/>
      <c r="C369" s="84"/>
      <c r="D369" s="84"/>
      <c r="E369" s="84"/>
      <c r="F369" s="84"/>
    </row>
    <row r="370" ht="15.75" customHeight="1">
      <c r="A370" s="84"/>
      <c r="B370" s="84"/>
      <c r="C370" s="84"/>
      <c r="D370" s="84"/>
      <c r="E370" s="84"/>
      <c r="F370" s="84"/>
    </row>
    <row r="371" ht="15.75" customHeight="1">
      <c r="A371" s="84"/>
      <c r="B371" s="84"/>
      <c r="C371" s="84"/>
      <c r="D371" s="84"/>
      <c r="E371" s="84"/>
      <c r="F371" s="84"/>
    </row>
    <row r="372" ht="15.75" customHeight="1">
      <c r="A372" s="84"/>
      <c r="B372" s="84"/>
      <c r="C372" s="84"/>
      <c r="D372" s="84"/>
      <c r="E372" s="84"/>
      <c r="F372" s="84"/>
    </row>
    <row r="373" ht="15.75" customHeight="1">
      <c r="A373" s="84"/>
      <c r="B373" s="84"/>
      <c r="C373" s="84"/>
      <c r="D373" s="84"/>
      <c r="E373" s="84"/>
      <c r="F373" s="84"/>
    </row>
    <row r="374" ht="15.75" customHeight="1">
      <c r="A374" s="84"/>
      <c r="B374" s="84"/>
      <c r="C374" s="84"/>
      <c r="D374" s="84"/>
      <c r="E374" s="84"/>
      <c r="F374" s="84"/>
    </row>
    <row r="375" ht="15.75" customHeight="1">
      <c r="A375" s="84"/>
      <c r="B375" s="84"/>
      <c r="C375" s="84"/>
      <c r="D375" s="84"/>
      <c r="E375" s="84"/>
      <c r="F375" s="84"/>
    </row>
    <row r="376" ht="15.75" customHeight="1">
      <c r="A376" s="84"/>
      <c r="B376" s="84"/>
      <c r="C376" s="84"/>
      <c r="D376" s="84"/>
      <c r="E376" s="84"/>
      <c r="F376" s="84"/>
    </row>
    <row r="377" ht="15.75" customHeight="1">
      <c r="A377" s="84"/>
      <c r="B377" s="84"/>
      <c r="C377" s="84"/>
      <c r="D377" s="84"/>
      <c r="E377" s="84"/>
      <c r="F377" s="84"/>
    </row>
    <row r="378" ht="15.75" customHeight="1">
      <c r="A378" s="84"/>
      <c r="B378" s="84"/>
      <c r="C378" s="84"/>
      <c r="D378" s="84"/>
      <c r="E378" s="84"/>
      <c r="F378" s="84"/>
    </row>
    <row r="379" ht="15.75" customHeight="1">
      <c r="A379" s="84"/>
      <c r="B379" s="84"/>
      <c r="C379" s="84"/>
      <c r="D379" s="84"/>
      <c r="E379" s="84"/>
      <c r="F379" s="84"/>
    </row>
    <row r="380" ht="15.75" customHeight="1">
      <c r="A380" s="84"/>
      <c r="B380" s="84"/>
      <c r="C380" s="84"/>
      <c r="D380" s="84"/>
      <c r="E380" s="84"/>
      <c r="F380" s="84"/>
    </row>
    <row r="381" ht="15.75" customHeight="1">
      <c r="A381" s="84"/>
      <c r="B381" s="84"/>
      <c r="C381" s="84"/>
      <c r="D381" s="84"/>
      <c r="E381" s="84"/>
      <c r="F381" s="84"/>
    </row>
    <row r="382" ht="15.75" customHeight="1">
      <c r="A382" s="84"/>
      <c r="B382" s="84"/>
      <c r="C382" s="84"/>
      <c r="D382" s="84"/>
      <c r="E382" s="84"/>
      <c r="F382" s="84"/>
    </row>
    <row r="383" ht="15.75" customHeight="1">
      <c r="A383" s="84"/>
      <c r="B383" s="84"/>
      <c r="C383" s="84"/>
      <c r="D383" s="84"/>
      <c r="E383" s="84"/>
      <c r="F383" s="84"/>
    </row>
    <row r="384" ht="15.75" customHeight="1">
      <c r="A384" s="84"/>
      <c r="B384" s="84"/>
      <c r="C384" s="84"/>
      <c r="D384" s="84"/>
      <c r="E384" s="84"/>
      <c r="F384" s="84"/>
    </row>
    <row r="385" ht="15.75" customHeight="1">
      <c r="A385" s="84"/>
      <c r="B385" s="84"/>
      <c r="C385" s="84"/>
      <c r="D385" s="84"/>
      <c r="E385" s="84"/>
      <c r="F385" s="84"/>
    </row>
    <row r="386" ht="15.75" customHeight="1">
      <c r="A386" s="84"/>
      <c r="B386" s="84"/>
      <c r="C386" s="84"/>
      <c r="D386" s="84"/>
      <c r="E386" s="84"/>
      <c r="F386" s="84"/>
    </row>
    <row r="387" ht="15.75" customHeight="1">
      <c r="A387" s="84"/>
      <c r="B387" s="84"/>
      <c r="C387" s="84"/>
      <c r="D387" s="84"/>
      <c r="E387" s="84"/>
      <c r="F387" s="84"/>
    </row>
    <row r="388" ht="15.75" customHeight="1">
      <c r="A388" s="84"/>
      <c r="B388" s="84"/>
      <c r="C388" s="84"/>
      <c r="D388" s="84"/>
      <c r="E388" s="84"/>
      <c r="F388" s="84"/>
    </row>
    <row r="389" ht="15.75" customHeight="1">
      <c r="A389" s="84"/>
      <c r="B389" s="84"/>
      <c r="C389" s="84"/>
      <c r="D389" s="84"/>
      <c r="E389" s="84"/>
      <c r="F389" s="84"/>
    </row>
    <row r="390" ht="15.75" customHeight="1">
      <c r="A390" s="84"/>
      <c r="B390" s="84"/>
      <c r="C390" s="84"/>
      <c r="D390" s="84"/>
      <c r="E390" s="84"/>
      <c r="F390" s="84"/>
    </row>
    <row r="391" ht="15.75" customHeight="1">
      <c r="A391" s="84"/>
      <c r="B391" s="84"/>
      <c r="C391" s="84"/>
      <c r="D391" s="84"/>
      <c r="E391" s="84"/>
      <c r="F391" s="84"/>
    </row>
    <row r="392" ht="15.75" customHeight="1">
      <c r="A392" s="84"/>
      <c r="B392" s="84"/>
      <c r="C392" s="84"/>
      <c r="D392" s="84"/>
      <c r="E392" s="84"/>
      <c r="F392" s="84"/>
    </row>
    <row r="393" ht="15.75" customHeight="1">
      <c r="A393" s="84"/>
      <c r="B393" s="84"/>
      <c r="C393" s="84"/>
      <c r="D393" s="84"/>
      <c r="E393" s="84"/>
      <c r="F393" s="84"/>
    </row>
    <row r="394" ht="15.75" customHeight="1">
      <c r="A394" s="84"/>
      <c r="B394" s="84"/>
      <c r="C394" s="84"/>
      <c r="D394" s="84"/>
      <c r="E394" s="84"/>
      <c r="F394" s="84"/>
    </row>
    <row r="395" ht="15.75" customHeight="1">
      <c r="A395" s="84"/>
      <c r="B395" s="84"/>
      <c r="C395" s="84"/>
      <c r="D395" s="84"/>
      <c r="E395" s="84"/>
      <c r="F395" s="84"/>
    </row>
    <row r="396" ht="15.75" customHeight="1">
      <c r="A396" s="84"/>
      <c r="B396" s="84"/>
      <c r="C396" s="84"/>
      <c r="D396" s="84"/>
      <c r="E396" s="84"/>
      <c r="F396" s="84"/>
    </row>
    <row r="397" ht="15.75" customHeight="1">
      <c r="A397" s="84"/>
      <c r="B397" s="84"/>
      <c r="C397" s="84"/>
      <c r="D397" s="84"/>
      <c r="E397" s="84"/>
      <c r="F397" s="84"/>
    </row>
    <row r="398" ht="15.75" customHeight="1">
      <c r="A398" s="84"/>
      <c r="B398" s="84"/>
      <c r="C398" s="84"/>
      <c r="D398" s="84"/>
      <c r="E398" s="84"/>
      <c r="F398" s="84"/>
    </row>
    <row r="399" ht="15.75" customHeight="1">
      <c r="A399" s="84"/>
      <c r="B399" s="84"/>
      <c r="C399" s="84"/>
      <c r="D399" s="84"/>
      <c r="E399" s="84"/>
      <c r="F399" s="84"/>
    </row>
    <row r="400" ht="15.75" customHeight="1">
      <c r="A400" s="84"/>
      <c r="B400" s="84"/>
      <c r="C400" s="84"/>
      <c r="D400" s="84"/>
      <c r="E400" s="84"/>
      <c r="F400" s="84"/>
    </row>
    <row r="401" ht="15.75" customHeight="1">
      <c r="A401" s="84"/>
      <c r="B401" s="84"/>
      <c r="C401" s="84"/>
      <c r="D401" s="84"/>
      <c r="E401" s="84"/>
      <c r="F401" s="84"/>
    </row>
    <row r="402" ht="15.75" customHeight="1">
      <c r="A402" s="84"/>
      <c r="B402" s="84"/>
      <c r="C402" s="84"/>
      <c r="D402" s="84"/>
      <c r="E402" s="84"/>
      <c r="F402" s="84"/>
    </row>
    <row r="403" ht="15.75" customHeight="1">
      <c r="A403" s="84"/>
      <c r="B403" s="84"/>
      <c r="C403" s="84"/>
      <c r="D403" s="84"/>
      <c r="E403" s="84"/>
      <c r="F403" s="84"/>
    </row>
    <row r="404" ht="15.75" customHeight="1">
      <c r="A404" s="84"/>
      <c r="B404" s="84"/>
      <c r="C404" s="84"/>
      <c r="D404" s="84"/>
      <c r="E404" s="84"/>
      <c r="F404" s="84"/>
    </row>
    <row r="405" ht="15.75" customHeight="1">
      <c r="A405" s="84"/>
      <c r="B405" s="84"/>
      <c r="C405" s="84"/>
      <c r="D405" s="84"/>
      <c r="E405" s="84"/>
      <c r="F405" s="84"/>
    </row>
    <row r="406" ht="15.75" customHeight="1">
      <c r="A406" s="84"/>
      <c r="B406" s="84"/>
      <c r="C406" s="84"/>
      <c r="D406" s="84"/>
      <c r="E406" s="84"/>
      <c r="F406" s="84"/>
    </row>
    <row r="407" ht="15.75" customHeight="1">
      <c r="A407" s="84"/>
      <c r="B407" s="84"/>
      <c r="C407" s="84"/>
      <c r="D407" s="84"/>
      <c r="E407" s="84"/>
      <c r="F407" s="84"/>
    </row>
    <row r="408" ht="15.75" customHeight="1">
      <c r="A408" s="84"/>
      <c r="B408" s="84"/>
      <c r="C408" s="84"/>
      <c r="D408" s="84"/>
      <c r="E408" s="84"/>
      <c r="F408" s="84"/>
    </row>
    <row r="409" ht="15.75" customHeight="1">
      <c r="A409" s="84"/>
      <c r="B409" s="84"/>
      <c r="C409" s="84"/>
      <c r="D409" s="84"/>
      <c r="E409" s="84"/>
      <c r="F409" s="84"/>
    </row>
    <row r="410" ht="15.75" customHeight="1">
      <c r="A410" s="84"/>
      <c r="B410" s="84"/>
      <c r="C410" s="84"/>
      <c r="D410" s="84"/>
      <c r="E410" s="84"/>
      <c r="F410" s="84"/>
    </row>
    <row r="411" ht="15.75" customHeight="1">
      <c r="A411" s="84"/>
      <c r="B411" s="84"/>
      <c r="C411" s="84"/>
      <c r="D411" s="84"/>
      <c r="E411" s="84"/>
      <c r="F411" s="84"/>
    </row>
    <row r="412" ht="15.75" customHeight="1">
      <c r="A412" s="84"/>
      <c r="B412" s="84"/>
      <c r="C412" s="84"/>
      <c r="D412" s="84"/>
      <c r="E412" s="84"/>
      <c r="F412" s="84"/>
    </row>
    <row r="413" ht="15.75" customHeight="1">
      <c r="A413" s="84"/>
      <c r="B413" s="84"/>
      <c r="C413" s="84"/>
      <c r="D413" s="84"/>
      <c r="E413" s="84"/>
      <c r="F413" s="84"/>
    </row>
    <row r="414" ht="15.75" customHeight="1">
      <c r="A414" s="84"/>
      <c r="B414" s="84"/>
      <c r="C414" s="84"/>
      <c r="D414" s="84"/>
      <c r="E414" s="84"/>
      <c r="F414" s="84"/>
    </row>
    <row r="415" ht="15.75" customHeight="1">
      <c r="A415" s="84"/>
      <c r="B415" s="84"/>
      <c r="C415" s="84"/>
      <c r="D415" s="84"/>
      <c r="E415" s="84"/>
      <c r="F415" s="84"/>
    </row>
    <row r="416" ht="15.75" customHeight="1">
      <c r="A416" s="84"/>
      <c r="B416" s="84"/>
      <c r="C416" s="84"/>
      <c r="D416" s="84"/>
      <c r="E416" s="84"/>
      <c r="F416" s="84"/>
    </row>
    <row r="417" ht="15.75" customHeight="1">
      <c r="A417" s="84"/>
      <c r="B417" s="84"/>
      <c r="C417" s="84"/>
      <c r="D417" s="84"/>
      <c r="E417" s="84"/>
      <c r="F417" s="84"/>
    </row>
    <row r="418" ht="15.75" customHeight="1">
      <c r="A418" s="84"/>
      <c r="B418" s="84"/>
      <c r="C418" s="84"/>
      <c r="D418" s="84"/>
      <c r="E418" s="84"/>
      <c r="F418" s="84"/>
    </row>
    <row r="419" ht="15.75" customHeight="1">
      <c r="A419" s="84"/>
      <c r="B419" s="84"/>
      <c r="C419" s="84"/>
      <c r="D419" s="84"/>
      <c r="E419" s="84"/>
      <c r="F419" s="84"/>
    </row>
    <row r="420" ht="15.75" customHeight="1">
      <c r="A420" s="84"/>
      <c r="B420" s="84"/>
      <c r="C420" s="84"/>
      <c r="D420" s="84"/>
      <c r="E420" s="84"/>
      <c r="F420" s="84"/>
    </row>
    <row r="421" ht="15.75" customHeight="1">
      <c r="A421" s="84"/>
      <c r="B421" s="84"/>
      <c r="C421" s="84"/>
      <c r="D421" s="84"/>
      <c r="E421" s="84"/>
      <c r="F421" s="84"/>
    </row>
    <row r="422" ht="15.75" customHeight="1">
      <c r="A422" s="84"/>
      <c r="B422" s="84"/>
      <c r="C422" s="84"/>
      <c r="D422" s="84"/>
      <c r="E422" s="84"/>
      <c r="F422" s="84"/>
    </row>
    <row r="423" ht="15.75" customHeight="1">
      <c r="A423" s="84"/>
      <c r="B423" s="84"/>
      <c r="C423" s="84"/>
      <c r="D423" s="84"/>
      <c r="E423" s="84"/>
      <c r="F423" s="84"/>
    </row>
    <row r="424" ht="15.75" customHeight="1">
      <c r="A424" s="84"/>
      <c r="B424" s="84"/>
      <c r="C424" s="84"/>
      <c r="D424" s="84"/>
      <c r="E424" s="84"/>
      <c r="F424" s="84"/>
    </row>
    <row r="425" ht="15.75" customHeight="1">
      <c r="A425" s="84"/>
      <c r="B425" s="84"/>
      <c r="C425" s="84"/>
      <c r="D425" s="84"/>
      <c r="E425" s="84"/>
      <c r="F425" s="84"/>
    </row>
    <row r="426" ht="15.75" customHeight="1">
      <c r="A426" s="84"/>
      <c r="B426" s="84"/>
      <c r="C426" s="84"/>
      <c r="D426" s="84"/>
      <c r="E426" s="84"/>
      <c r="F426" s="84"/>
    </row>
    <row r="427" ht="15.75" customHeight="1">
      <c r="A427" s="84"/>
      <c r="B427" s="84"/>
      <c r="C427" s="84"/>
      <c r="D427" s="84"/>
      <c r="E427" s="84"/>
      <c r="F427" s="84"/>
    </row>
    <row r="428" ht="15.75" customHeight="1">
      <c r="A428" s="84"/>
      <c r="B428" s="84"/>
      <c r="C428" s="84"/>
      <c r="D428" s="84"/>
      <c r="E428" s="84"/>
      <c r="F428" s="84"/>
    </row>
    <row r="429" ht="15.75" customHeight="1">
      <c r="A429" s="84"/>
      <c r="B429" s="84"/>
      <c r="C429" s="84"/>
      <c r="D429" s="84"/>
      <c r="E429" s="84"/>
      <c r="F429" s="84"/>
    </row>
    <row r="430" ht="15.75" customHeight="1">
      <c r="A430" s="84"/>
      <c r="B430" s="84"/>
      <c r="C430" s="84"/>
      <c r="D430" s="84"/>
      <c r="E430" s="84"/>
      <c r="F430" s="84"/>
    </row>
    <row r="431" ht="15.75" customHeight="1">
      <c r="A431" s="84"/>
      <c r="B431" s="84"/>
      <c r="C431" s="84"/>
      <c r="D431" s="84"/>
      <c r="E431" s="84"/>
      <c r="F431" s="84"/>
    </row>
    <row r="432" ht="15.75" customHeight="1">
      <c r="A432" s="84"/>
      <c r="B432" s="84"/>
      <c r="C432" s="84"/>
      <c r="D432" s="84"/>
      <c r="E432" s="84"/>
      <c r="F432" s="84"/>
    </row>
    <row r="433" ht="15.75" customHeight="1">
      <c r="A433" s="84"/>
      <c r="B433" s="84"/>
      <c r="C433" s="84"/>
      <c r="D433" s="84"/>
      <c r="E433" s="84"/>
      <c r="F433" s="84"/>
    </row>
    <row r="434" ht="15.75" customHeight="1">
      <c r="A434" s="84"/>
      <c r="B434" s="84"/>
      <c r="C434" s="84"/>
      <c r="D434" s="84"/>
      <c r="E434" s="84"/>
      <c r="F434" s="84"/>
    </row>
    <row r="435" ht="15.75" customHeight="1">
      <c r="A435" s="84"/>
      <c r="B435" s="84"/>
      <c r="C435" s="84"/>
      <c r="D435" s="84"/>
      <c r="E435" s="84"/>
      <c r="F435" s="84"/>
    </row>
    <row r="436" ht="15.75" customHeight="1">
      <c r="A436" s="84"/>
      <c r="B436" s="84"/>
      <c r="C436" s="84"/>
      <c r="D436" s="84"/>
      <c r="E436" s="84"/>
      <c r="F436" s="84"/>
    </row>
    <row r="437" ht="15.75" customHeight="1">
      <c r="A437" s="84"/>
      <c r="B437" s="84"/>
      <c r="C437" s="84"/>
      <c r="D437" s="84"/>
      <c r="E437" s="84"/>
      <c r="F437" s="84"/>
    </row>
    <row r="438" ht="15.75" customHeight="1">
      <c r="A438" s="84"/>
      <c r="B438" s="84"/>
      <c r="C438" s="84"/>
      <c r="D438" s="84"/>
      <c r="E438" s="84"/>
      <c r="F438" s="84"/>
    </row>
    <row r="439" ht="15.75" customHeight="1">
      <c r="A439" s="84"/>
      <c r="B439" s="84"/>
      <c r="C439" s="84"/>
      <c r="D439" s="84"/>
      <c r="E439" s="84"/>
      <c r="F439" s="84"/>
    </row>
    <row r="440" ht="15.75" customHeight="1">
      <c r="A440" s="84"/>
      <c r="B440" s="84"/>
      <c r="C440" s="84"/>
      <c r="D440" s="84"/>
      <c r="E440" s="84"/>
      <c r="F440" s="84"/>
    </row>
    <row r="441" ht="15.75" customHeight="1">
      <c r="A441" s="84"/>
      <c r="B441" s="84"/>
      <c r="C441" s="84"/>
      <c r="D441" s="84"/>
      <c r="E441" s="84"/>
      <c r="F441" s="84"/>
    </row>
    <row r="442" ht="15.75" customHeight="1">
      <c r="A442" s="84"/>
      <c r="B442" s="84"/>
      <c r="C442" s="84"/>
      <c r="D442" s="84"/>
      <c r="E442" s="84"/>
      <c r="F442" s="84"/>
    </row>
    <row r="443" ht="15.75" customHeight="1">
      <c r="A443" s="84"/>
      <c r="B443" s="84"/>
      <c r="C443" s="84"/>
      <c r="D443" s="84"/>
      <c r="E443" s="84"/>
      <c r="F443" s="84"/>
    </row>
    <row r="444" ht="15.75" customHeight="1">
      <c r="A444" s="84"/>
      <c r="B444" s="84"/>
      <c r="C444" s="84"/>
      <c r="D444" s="84"/>
      <c r="E444" s="84"/>
      <c r="F444" s="84"/>
    </row>
    <row r="445" ht="15.75" customHeight="1">
      <c r="A445" s="84"/>
      <c r="B445" s="84"/>
      <c r="C445" s="84"/>
      <c r="D445" s="84"/>
      <c r="E445" s="84"/>
      <c r="F445" s="84"/>
    </row>
    <row r="446" ht="15.75" customHeight="1">
      <c r="A446" s="84"/>
      <c r="B446" s="84"/>
      <c r="C446" s="84"/>
      <c r="D446" s="84"/>
      <c r="E446" s="84"/>
      <c r="F446" s="84"/>
    </row>
    <row r="447" ht="15.75" customHeight="1">
      <c r="A447" s="84"/>
      <c r="B447" s="84"/>
      <c r="C447" s="84"/>
      <c r="D447" s="84"/>
      <c r="E447" s="84"/>
      <c r="F447" s="84"/>
    </row>
    <row r="448" ht="15.75" customHeight="1">
      <c r="A448" s="84"/>
      <c r="B448" s="84"/>
      <c r="C448" s="84"/>
      <c r="D448" s="84"/>
      <c r="E448" s="84"/>
      <c r="F448" s="84"/>
    </row>
    <row r="449" ht="15.75" customHeight="1">
      <c r="A449" s="84"/>
      <c r="B449" s="84"/>
      <c r="C449" s="84"/>
      <c r="D449" s="84"/>
      <c r="E449" s="84"/>
      <c r="F449" s="84"/>
    </row>
    <row r="450" ht="15.75" customHeight="1">
      <c r="A450" s="84"/>
      <c r="B450" s="84"/>
      <c r="C450" s="84"/>
      <c r="D450" s="84"/>
      <c r="E450" s="84"/>
      <c r="F450" s="84"/>
    </row>
    <row r="451" ht="15.75" customHeight="1">
      <c r="A451" s="84"/>
      <c r="B451" s="84"/>
      <c r="C451" s="84"/>
      <c r="D451" s="84"/>
      <c r="E451" s="84"/>
      <c r="F451" s="84"/>
    </row>
    <row r="452" ht="15.75" customHeight="1">
      <c r="A452" s="84"/>
      <c r="B452" s="84"/>
      <c r="C452" s="84"/>
      <c r="D452" s="84"/>
      <c r="E452" s="84"/>
      <c r="F452" s="84"/>
    </row>
    <row r="453" ht="15.75" customHeight="1">
      <c r="A453" s="84"/>
      <c r="B453" s="84"/>
      <c r="C453" s="84"/>
      <c r="D453" s="84"/>
      <c r="E453" s="84"/>
      <c r="F453" s="84"/>
    </row>
    <row r="454" ht="15.75" customHeight="1">
      <c r="A454" s="84"/>
      <c r="B454" s="84"/>
      <c r="C454" s="84"/>
      <c r="D454" s="84"/>
      <c r="E454" s="84"/>
      <c r="F454" s="84"/>
    </row>
    <row r="455" ht="15.75" customHeight="1">
      <c r="A455" s="84"/>
      <c r="B455" s="84"/>
      <c r="C455" s="84"/>
      <c r="D455" s="84"/>
      <c r="E455" s="84"/>
      <c r="F455" s="84"/>
    </row>
    <row r="456" ht="15.75" customHeight="1">
      <c r="A456" s="84"/>
      <c r="B456" s="84"/>
      <c r="C456" s="84"/>
      <c r="D456" s="84"/>
      <c r="E456" s="84"/>
      <c r="F456" s="84"/>
    </row>
    <row r="457" ht="15.75" customHeight="1">
      <c r="A457" s="84"/>
      <c r="B457" s="84"/>
      <c r="C457" s="84"/>
      <c r="D457" s="84"/>
      <c r="E457" s="84"/>
      <c r="F457" s="84"/>
    </row>
    <row r="458" ht="15.75" customHeight="1">
      <c r="A458" s="84"/>
      <c r="B458" s="84"/>
      <c r="C458" s="84"/>
      <c r="D458" s="84"/>
      <c r="E458" s="84"/>
      <c r="F458" s="84"/>
    </row>
    <row r="459" ht="15.75" customHeight="1">
      <c r="A459" s="84"/>
      <c r="B459" s="84"/>
      <c r="C459" s="84"/>
      <c r="D459" s="84"/>
      <c r="E459" s="84"/>
      <c r="F459" s="84"/>
    </row>
    <row r="460" ht="15.75" customHeight="1">
      <c r="A460" s="84"/>
      <c r="B460" s="84"/>
      <c r="C460" s="84"/>
      <c r="D460" s="84"/>
      <c r="E460" s="84"/>
      <c r="F460" s="84"/>
    </row>
    <row r="461" ht="15.75" customHeight="1">
      <c r="A461" s="84"/>
      <c r="B461" s="84"/>
      <c r="C461" s="84"/>
      <c r="D461" s="84"/>
      <c r="E461" s="84"/>
      <c r="F461" s="84"/>
    </row>
    <row r="462" ht="15.75" customHeight="1">
      <c r="A462" s="84"/>
      <c r="B462" s="84"/>
      <c r="C462" s="84"/>
      <c r="D462" s="84"/>
      <c r="E462" s="84"/>
      <c r="F462" s="84"/>
    </row>
    <row r="463" ht="15.75" customHeight="1">
      <c r="A463" s="84"/>
      <c r="B463" s="84"/>
      <c r="C463" s="84"/>
      <c r="D463" s="84"/>
      <c r="E463" s="84"/>
      <c r="F463" s="84"/>
    </row>
    <row r="464" ht="15.75" customHeight="1">
      <c r="A464" s="84"/>
      <c r="B464" s="84"/>
      <c r="C464" s="84"/>
      <c r="D464" s="84"/>
      <c r="E464" s="84"/>
      <c r="F464" s="84"/>
    </row>
    <row r="465" ht="15.75" customHeight="1">
      <c r="A465" s="84"/>
      <c r="B465" s="84"/>
      <c r="C465" s="84"/>
      <c r="D465" s="84"/>
      <c r="E465" s="84"/>
      <c r="F465" s="84"/>
    </row>
    <row r="466" ht="15.75" customHeight="1">
      <c r="A466" s="84"/>
      <c r="B466" s="84"/>
      <c r="C466" s="84"/>
      <c r="D466" s="84"/>
      <c r="E466" s="84"/>
      <c r="F466" s="84"/>
    </row>
    <row r="467" ht="15.75" customHeight="1">
      <c r="A467" s="84"/>
      <c r="B467" s="84"/>
      <c r="C467" s="84"/>
      <c r="D467" s="84"/>
      <c r="E467" s="84"/>
      <c r="F467" s="84"/>
    </row>
    <row r="468" ht="15.75" customHeight="1">
      <c r="A468" s="84"/>
      <c r="B468" s="84"/>
      <c r="C468" s="84"/>
      <c r="D468" s="84"/>
      <c r="E468" s="84"/>
      <c r="F468" s="84"/>
    </row>
    <row r="469" ht="15.75" customHeight="1">
      <c r="A469" s="84"/>
      <c r="B469" s="84"/>
      <c r="C469" s="84"/>
      <c r="D469" s="84"/>
      <c r="E469" s="84"/>
      <c r="F469" s="84"/>
    </row>
    <row r="470" ht="15.75" customHeight="1">
      <c r="A470" s="84"/>
      <c r="B470" s="84"/>
      <c r="C470" s="84"/>
      <c r="D470" s="84"/>
      <c r="E470" s="84"/>
      <c r="F470" s="84"/>
    </row>
    <row r="471" ht="15.75" customHeight="1">
      <c r="A471" s="84"/>
      <c r="B471" s="84"/>
      <c r="C471" s="84"/>
      <c r="D471" s="84"/>
      <c r="E471" s="84"/>
      <c r="F471" s="84"/>
    </row>
    <row r="472" ht="15.75" customHeight="1">
      <c r="A472" s="84"/>
      <c r="B472" s="84"/>
      <c r="C472" s="84"/>
      <c r="D472" s="84"/>
      <c r="E472" s="84"/>
      <c r="F472" s="84"/>
    </row>
    <row r="473" ht="15.75" customHeight="1">
      <c r="A473" s="84"/>
      <c r="B473" s="84"/>
      <c r="C473" s="84"/>
      <c r="D473" s="84"/>
      <c r="E473" s="84"/>
      <c r="F473" s="84"/>
    </row>
    <row r="474" ht="15.75" customHeight="1">
      <c r="A474" s="84"/>
      <c r="B474" s="84"/>
      <c r="C474" s="84"/>
      <c r="D474" s="84"/>
      <c r="E474" s="84"/>
      <c r="F474" s="84"/>
    </row>
    <row r="475" ht="15.75" customHeight="1">
      <c r="A475" s="84"/>
      <c r="B475" s="84"/>
      <c r="C475" s="84"/>
      <c r="D475" s="84"/>
      <c r="E475" s="84"/>
      <c r="F475" s="84"/>
    </row>
    <row r="476" ht="15.75" customHeight="1">
      <c r="A476" s="84"/>
      <c r="B476" s="84"/>
      <c r="C476" s="84"/>
      <c r="D476" s="84"/>
      <c r="E476" s="84"/>
      <c r="F476" s="84"/>
    </row>
    <row r="477" ht="15.75" customHeight="1">
      <c r="A477" s="84"/>
      <c r="B477" s="84"/>
      <c r="C477" s="84"/>
      <c r="D477" s="84"/>
      <c r="E477" s="84"/>
      <c r="F477" s="84"/>
    </row>
    <row r="478" ht="15.75" customHeight="1">
      <c r="A478" s="84"/>
      <c r="B478" s="84"/>
      <c r="C478" s="84"/>
      <c r="D478" s="84"/>
      <c r="E478" s="84"/>
      <c r="F478" s="84"/>
    </row>
    <row r="479" ht="15.75" customHeight="1">
      <c r="A479" s="84"/>
      <c r="B479" s="84"/>
      <c r="C479" s="84"/>
      <c r="D479" s="84"/>
      <c r="E479" s="84"/>
      <c r="F479" s="84"/>
    </row>
    <row r="480" ht="15.75" customHeight="1">
      <c r="A480" s="84"/>
      <c r="B480" s="84"/>
      <c r="C480" s="84"/>
      <c r="D480" s="84"/>
      <c r="E480" s="84"/>
      <c r="F480" s="84"/>
    </row>
    <row r="481" ht="15.75" customHeight="1">
      <c r="A481" s="84"/>
      <c r="B481" s="84"/>
      <c r="C481" s="84"/>
      <c r="D481" s="84"/>
      <c r="E481" s="84"/>
      <c r="F481" s="84"/>
    </row>
    <row r="482" ht="15.75" customHeight="1">
      <c r="A482" s="84"/>
      <c r="B482" s="84"/>
      <c r="C482" s="84"/>
      <c r="D482" s="84"/>
      <c r="E482" s="84"/>
      <c r="F482" s="84"/>
    </row>
    <row r="483" ht="15.75" customHeight="1">
      <c r="A483" s="84"/>
      <c r="B483" s="84"/>
      <c r="C483" s="84"/>
      <c r="D483" s="84"/>
      <c r="E483" s="84"/>
      <c r="F483" s="84"/>
    </row>
    <row r="484" ht="15.75" customHeight="1">
      <c r="A484" s="84"/>
      <c r="B484" s="84"/>
      <c r="C484" s="84"/>
      <c r="D484" s="84"/>
      <c r="E484" s="84"/>
      <c r="F484" s="84"/>
    </row>
    <row r="485" ht="15.75" customHeight="1">
      <c r="A485" s="84"/>
      <c r="B485" s="84"/>
      <c r="C485" s="84"/>
      <c r="D485" s="84"/>
      <c r="E485" s="84"/>
      <c r="F485" s="84"/>
    </row>
    <row r="486" ht="15.75" customHeight="1">
      <c r="A486" s="84"/>
      <c r="B486" s="84"/>
      <c r="C486" s="84"/>
      <c r="D486" s="84"/>
      <c r="E486" s="84"/>
      <c r="F486" s="84"/>
    </row>
    <row r="487" ht="15.75" customHeight="1">
      <c r="A487" s="84"/>
      <c r="B487" s="84"/>
      <c r="C487" s="84"/>
      <c r="D487" s="84"/>
      <c r="E487" s="84"/>
      <c r="F487" s="84"/>
    </row>
    <row r="488" ht="15.75" customHeight="1">
      <c r="A488" s="84"/>
      <c r="B488" s="84"/>
      <c r="C488" s="84"/>
      <c r="D488" s="84"/>
      <c r="E488" s="84"/>
      <c r="F488" s="84"/>
    </row>
    <row r="489" ht="15.75" customHeight="1">
      <c r="A489" s="84"/>
      <c r="B489" s="84"/>
      <c r="C489" s="84"/>
      <c r="D489" s="84"/>
      <c r="E489" s="84"/>
      <c r="F489" s="84"/>
    </row>
    <row r="490" ht="15.75" customHeight="1">
      <c r="A490" s="84"/>
      <c r="B490" s="84"/>
      <c r="C490" s="84"/>
      <c r="D490" s="84"/>
      <c r="E490" s="84"/>
      <c r="F490" s="84"/>
    </row>
    <row r="491" ht="15.75" customHeight="1">
      <c r="A491" s="84"/>
      <c r="B491" s="84"/>
      <c r="C491" s="84"/>
      <c r="D491" s="84"/>
      <c r="E491" s="84"/>
      <c r="F491" s="84"/>
    </row>
    <row r="492" ht="15.75" customHeight="1">
      <c r="A492" s="84"/>
      <c r="B492" s="84"/>
      <c r="C492" s="84"/>
      <c r="D492" s="84"/>
      <c r="E492" s="84"/>
      <c r="F492" s="84"/>
    </row>
    <row r="493" ht="15.75" customHeight="1">
      <c r="A493" s="84"/>
      <c r="B493" s="84"/>
      <c r="C493" s="84"/>
      <c r="D493" s="84"/>
      <c r="E493" s="84"/>
      <c r="F493" s="84"/>
    </row>
    <row r="494" ht="15.75" customHeight="1">
      <c r="A494" s="84"/>
      <c r="B494" s="84"/>
      <c r="C494" s="84"/>
      <c r="D494" s="84"/>
      <c r="E494" s="84"/>
      <c r="F494" s="84"/>
    </row>
    <row r="495" ht="15.75" customHeight="1">
      <c r="A495" s="84"/>
      <c r="B495" s="84"/>
      <c r="C495" s="84"/>
      <c r="D495" s="84"/>
      <c r="E495" s="84"/>
      <c r="F495" s="84"/>
    </row>
    <row r="496" ht="15.75" customHeight="1">
      <c r="A496" s="84"/>
      <c r="B496" s="84"/>
      <c r="C496" s="84"/>
      <c r="D496" s="84"/>
      <c r="E496" s="84"/>
      <c r="F496" s="84"/>
    </row>
    <row r="497" ht="15.75" customHeight="1">
      <c r="A497" s="84"/>
      <c r="B497" s="84"/>
      <c r="C497" s="84"/>
      <c r="D497" s="84"/>
      <c r="E497" s="84"/>
      <c r="F497" s="84"/>
    </row>
    <row r="498" ht="15.75" customHeight="1">
      <c r="A498" s="84"/>
      <c r="B498" s="84"/>
      <c r="C498" s="84"/>
      <c r="D498" s="84"/>
      <c r="E498" s="84"/>
      <c r="F498" s="84"/>
    </row>
    <row r="499" ht="15.75" customHeight="1">
      <c r="A499" s="84"/>
      <c r="B499" s="84"/>
      <c r="C499" s="84"/>
      <c r="D499" s="84"/>
      <c r="E499" s="84"/>
      <c r="F499" s="84"/>
    </row>
    <row r="500" ht="15.75" customHeight="1">
      <c r="A500" s="84"/>
      <c r="B500" s="84"/>
      <c r="C500" s="84"/>
      <c r="D500" s="84"/>
      <c r="E500" s="84"/>
      <c r="F500" s="84"/>
    </row>
    <row r="501" ht="15.75" customHeight="1">
      <c r="A501" s="84"/>
      <c r="B501" s="84"/>
      <c r="C501" s="84"/>
      <c r="D501" s="84"/>
      <c r="E501" s="84"/>
      <c r="F501" s="84"/>
    </row>
    <row r="502" ht="15.75" customHeight="1">
      <c r="A502" s="84"/>
      <c r="B502" s="84"/>
      <c r="C502" s="84"/>
      <c r="D502" s="84"/>
      <c r="E502" s="84"/>
      <c r="F502" s="84"/>
    </row>
    <row r="503" ht="15.75" customHeight="1">
      <c r="A503" s="84"/>
      <c r="B503" s="84"/>
      <c r="C503" s="84"/>
      <c r="D503" s="84"/>
      <c r="E503" s="84"/>
      <c r="F503" s="84"/>
    </row>
    <row r="504" ht="15.75" customHeight="1">
      <c r="A504" s="84"/>
      <c r="B504" s="84"/>
      <c r="C504" s="84"/>
      <c r="D504" s="84"/>
      <c r="E504" s="84"/>
      <c r="F504" s="84"/>
    </row>
    <row r="505" ht="15.75" customHeight="1">
      <c r="A505" s="84"/>
      <c r="B505" s="84"/>
      <c r="C505" s="84"/>
      <c r="D505" s="84"/>
      <c r="E505" s="84"/>
      <c r="F505" s="84"/>
    </row>
    <row r="506" ht="15.75" customHeight="1">
      <c r="A506" s="84"/>
      <c r="B506" s="84"/>
      <c r="C506" s="84"/>
      <c r="D506" s="84"/>
      <c r="E506" s="84"/>
      <c r="F506" s="84"/>
    </row>
    <row r="507" ht="15.75" customHeight="1">
      <c r="A507" s="84"/>
      <c r="B507" s="84"/>
      <c r="C507" s="84"/>
      <c r="D507" s="84"/>
      <c r="E507" s="84"/>
      <c r="F507" s="84"/>
    </row>
    <row r="508" ht="15.75" customHeight="1">
      <c r="A508" s="84"/>
      <c r="B508" s="84"/>
      <c r="C508" s="84"/>
      <c r="D508" s="84"/>
      <c r="E508" s="84"/>
      <c r="F508" s="84"/>
    </row>
    <row r="509" ht="15.75" customHeight="1">
      <c r="A509" s="84"/>
      <c r="B509" s="84"/>
      <c r="C509" s="84"/>
      <c r="D509" s="84"/>
      <c r="E509" s="84"/>
      <c r="F509" s="84"/>
    </row>
    <row r="510" ht="15.75" customHeight="1">
      <c r="A510" s="84"/>
      <c r="B510" s="84"/>
      <c r="C510" s="84"/>
      <c r="D510" s="84"/>
      <c r="E510" s="84"/>
      <c r="F510" s="84"/>
    </row>
    <row r="511" ht="15.75" customHeight="1">
      <c r="A511" s="84"/>
      <c r="B511" s="84"/>
      <c r="C511" s="84"/>
      <c r="D511" s="84"/>
      <c r="E511" s="84"/>
      <c r="F511" s="84"/>
    </row>
    <row r="512" ht="15.75" customHeight="1">
      <c r="A512" s="84"/>
      <c r="B512" s="84"/>
      <c r="C512" s="84"/>
      <c r="D512" s="84"/>
      <c r="E512" s="84"/>
      <c r="F512" s="84"/>
    </row>
    <row r="513" ht="15.75" customHeight="1">
      <c r="A513" s="84"/>
      <c r="B513" s="84"/>
      <c r="C513" s="84"/>
      <c r="D513" s="84"/>
      <c r="E513" s="84"/>
      <c r="F513" s="84"/>
    </row>
    <row r="514" ht="15.75" customHeight="1">
      <c r="A514" s="84"/>
      <c r="B514" s="84"/>
      <c r="C514" s="84"/>
      <c r="D514" s="84"/>
      <c r="E514" s="84"/>
      <c r="F514" s="84"/>
    </row>
    <row r="515" ht="15.75" customHeight="1">
      <c r="A515" s="84"/>
      <c r="B515" s="84"/>
      <c r="C515" s="84"/>
      <c r="D515" s="84"/>
      <c r="E515" s="84"/>
      <c r="F515" s="84"/>
    </row>
    <row r="516" ht="15.75" customHeight="1">
      <c r="A516" s="84"/>
      <c r="B516" s="84"/>
      <c r="C516" s="84"/>
      <c r="D516" s="84"/>
      <c r="E516" s="84"/>
      <c r="F516" s="84"/>
    </row>
    <row r="517" ht="15.75" customHeight="1">
      <c r="A517" s="84"/>
      <c r="B517" s="84"/>
      <c r="C517" s="84"/>
      <c r="D517" s="84"/>
      <c r="E517" s="84"/>
      <c r="F517" s="84"/>
    </row>
    <row r="518" ht="15.75" customHeight="1">
      <c r="A518" s="84"/>
      <c r="B518" s="84"/>
      <c r="C518" s="84"/>
      <c r="D518" s="84"/>
      <c r="E518" s="84"/>
      <c r="F518" s="84"/>
    </row>
    <row r="519" ht="15.75" customHeight="1">
      <c r="A519" s="84"/>
      <c r="B519" s="84"/>
      <c r="C519" s="84"/>
      <c r="D519" s="84"/>
      <c r="E519" s="84"/>
      <c r="F519" s="84"/>
    </row>
    <row r="520" ht="15.75" customHeight="1">
      <c r="A520" s="84"/>
      <c r="B520" s="84"/>
      <c r="C520" s="84"/>
      <c r="D520" s="84"/>
      <c r="E520" s="84"/>
      <c r="F520" s="84"/>
    </row>
    <row r="521" ht="15.75" customHeight="1">
      <c r="A521" s="84"/>
      <c r="B521" s="84"/>
      <c r="C521" s="84"/>
      <c r="D521" s="84"/>
      <c r="E521" s="84"/>
      <c r="F521" s="84"/>
    </row>
    <row r="522" ht="15.75" customHeight="1">
      <c r="A522" s="84"/>
      <c r="B522" s="84"/>
      <c r="C522" s="84"/>
      <c r="D522" s="84"/>
      <c r="E522" s="84"/>
      <c r="F522" s="84"/>
    </row>
    <row r="523" ht="15.75" customHeight="1">
      <c r="A523" s="84"/>
      <c r="B523" s="84"/>
      <c r="C523" s="84"/>
      <c r="D523" s="84"/>
      <c r="E523" s="84"/>
      <c r="F523" s="84"/>
    </row>
    <row r="524" ht="15.75" customHeight="1">
      <c r="A524" s="84"/>
      <c r="B524" s="84"/>
      <c r="C524" s="84"/>
      <c r="D524" s="84"/>
      <c r="E524" s="84"/>
      <c r="F524" s="84"/>
    </row>
    <row r="525" ht="15.75" customHeight="1">
      <c r="A525" s="84"/>
      <c r="B525" s="84"/>
      <c r="C525" s="84"/>
      <c r="D525" s="84"/>
      <c r="E525" s="84"/>
      <c r="F525" s="84"/>
    </row>
    <row r="526" ht="15.75" customHeight="1">
      <c r="A526" s="84"/>
      <c r="B526" s="84"/>
      <c r="C526" s="84"/>
      <c r="D526" s="84"/>
      <c r="E526" s="84"/>
      <c r="F526" s="84"/>
    </row>
    <row r="527" ht="15.75" customHeight="1">
      <c r="A527" s="84"/>
      <c r="B527" s="84"/>
      <c r="C527" s="84"/>
      <c r="D527" s="84"/>
      <c r="E527" s="84"/>
      <c r="F527" s="84"/>
    </row>
    <row r="528" ht="15.75" customHeight="1">
      <c r="A528" s="84"/>
      <c r="B528" s="84"/>
      <c r="C528" s="84"/>
      <c r="D528" s="84"/>
      <c r="E528" s="84"/>
      <c r="F528" s="84"/>
    </row>
    <row r="529" ht="15.75" customHeight="1">
      <c r="A529" s="84"/>
      <c r="B529" s="84"/>
      <c r="C529" s="84"/>
      <c r="D529" s="84"/>
      <c r="E529" s="84"/>
      <c r="F529" s="84"/>
    </row>
    <row r="530" ht="15.75" customHeight="1">
      <c r="A530" s="84"/>
      <c r="B530" s="84"/>
      <c r="C530" s="84"/>
      <c r="D530" s="84"/>
      <c r="E530" s="84"/>
      <c r="F530" s="84"/>
    </row>
    <row r="531" ht="15.75" customHeight="1">
      <c r="A531" s="84"/>
      <c r="B531" s="84"/>
      <c r="C531" s="84"/>
      <c r="D531" s="84"/>
      <c r="E531" s="84"/>
      <c r="F531" s="84"/>
    </row>
    <row r="532" ht="15.75" customHeight="1">
      <c r="A532" s="84"/>
      <c r="B532" s="84"/>
      <c r="C532" s="84"/>
      <c r="D532" s="84"/>
      <c r="E532" s="84"/>
      <c r="F532" s="84"/>
    </row>
    <row r="533" ht="15.75" customHeight="1">
      <c r="A533" s="84"/>
      <c r="B533" s="84"/>
      <c r="C533" s="84"/>
      <c r="D533" s="84"/>
      <c r="E533" s="84"/>
      <c r="F533" s="84"/>
    </row>
    <row r="534" ht="15.75" customHeight="1">
      <c r="A534" s="84"/>
      <c r="B534" s="84"/>
      <c r="C534" s="84"/>
      <c r="D534" s="84"/>
      <c r="E534" s="84"/>
      <c r="F534" s="84"/>
    </row>
    <row r="535" ht="15.75" customHeight="1">
      <c r="A535" s="84"/>
      <c r="B535" s="84"/>
      <c r="C535" s="84"/>
      <c r="D535" s="84"/>
      <c r="E535" s="84"/>
      <c r="F535" s="84"/>
    </row>
    <row r="536" ht="15.75" customHeight="1">
      <c r="A536" s="84"/>
      <c r="B536" s="84"/>
      <c r="C536" s="84"/>
      <c r="D536" s="84"/>
      <c r="E536" s="84"/>
      <c r="F536" s="84"/>
    </row>
    <row r="537" ht="15.75" customHeight="1">
      <c r="A537" s="84"/>
      <c r="B537" s="84"/>
      <c r="C537" s="84"/>
      <c r="D537" s="84"/>
      <c r="E537" s="84"/>
      <c r="F537" s="84"/>
    </row>
    <row r="538" ht="15.75" customHeight="1">
      <c r="A538" s="84"/>
      <c r="B538" s="84"/>
      <c r="C538" s="84"/>
      <c r="D538" s="84"/>
      <c r="E538" s="84"/>
      <c r="F538" s="84"/>
    </row>
    <row r="539" ht="15.75" customHeight="1">
      <c r="A539" s="84"/>
      <c r="B539" s="84"/>
      <c r="C539" s="84"/>
      <c r="D539" s="84"/>
      <c r="E539" s="84"/>
      <c r="F539" s="84"/>
    </row>
    <row r="540" ht="15.75" customHeight="1">
      <c r="A540" s="84"/>
      <c r="B540" s="84"/>
      <c r="C540" s="84"/>
      <c r="D540" s="84"/>
      <c r="E540" s="84"/>
      <c r="F540" s="84"/>
    </row>
    <row r="541" ht="15.75" customHeight="1">
      <c r="A541" s="84"/>
      <c r="B541" s="84"/>
      <c r="C541" s="84"/>
      <c r="D541" s="84"/>
      <c r="E541" s="84"/>
      <c r="F541" s="84"/>
    </row>
    <row r="542" ht="15.75" customHeight="1">
      <c r="A542" s="84"/>
      <c r="B542" s="84"/>
      <c r="C542" s="84"/>
      <c r="D542" s="84"/>
      <c r="E542" s="84"/>
      <c r="F542" s="84"/>
    </row>
    <row r="543" ht="15.75" customHeight="1">
      <c r="A543" s="84"/>
      <c r="B543" s="84"/>
      <c r="C543" s="84"/>
      <c r="D543" s="84"/>
      <c r="E543" s="84"/>
      <c r="F543" s="84"/>
    </row>
    <row r="544" ht="15.75" customHeight="1">
      <c r="A544" s="84"/>
      <c r="B544" s="84"/>
      <c r="C544" s="84"/>
      <c r="D544" s="84"/>
      <c r="E544" s="84"/>
      <c r="F544" s="84"/>
    </row>
    <row r="545" ht="15.75" customHeight="1">
      <c r="A545" s="84"/>
      <c r="B545" s="84"/>
      <c r="C545" s="84"/>
      <c r="D545" s="84"/>
      <c r="E545" s="84"/>
      <c r="F545" s="84"/>
    </row>
    <row r="546" ht="15.75" customHeight="1">
      <c r="A546" s="84"/>
      <c r="B546" s="84"/>
      <c r="C546" s="84"/>
      <c r="D546" s="84"/>
      <c r="E546" s="84"/>
      <c r="F546" s="84"/>
    </row>
    <row r="547" ht="15.75" customHeight="1">
      <c r="A547" s="84"/>
      <c r="B547" s="84"/>
      <c r="C547" s="84"/>
      <c r="D547" s="84"/>
      <c r="E547" s="84"/>
      <c r="F547" s="84"/>
    </row>
    <row r="548" ht="15.75" customHeight="1">
      <c r="A548" s="84"/>
      <c r="B548" s="84"/>
      <c r="C548" s="84"/>
      <c r="D548" s="84"/>
      <c r="E548" s="84"/>
      <c r="F548" s="84"/>
    </row>
    <row r="549" ht="15.75" customHeight="1">
      <c r="A549" s="84"/>
      <c r="B549" s="84"/>
      <c r="C549" s="84"/>
      <c r="D549" s="84"/>
      <c r="E549" s="84"/>
      <c r="F549" s="84"/>
    </row>
    <row r="550" ht="15.75" customHeight="1">
      <c r="A550" s="84"/>
      <c r="B550" s="84"/>
      <c r="C550" s="84"/>
      <c r="D550" s="84"/>
      <c r="E550" s="84"/>
      <c r="F550" s="84"/>
    </row>
    <row r="551" ht="15.75" customHeight="1">
      <c r="A551" s="84"/>
      <c r="B551" s="84"/>
      <c r="C551" s="84"/>
      <c r="D551" s="84"/>
      <c r="E551" s="84"/>
      <c r="F551" s="84"/>
    </row>
    <row r="552" ht="15.75" customHeight="1">
      <c r="A552" s="84"/>
      <c r="B552" s="84"/>
      <c r="C552" s="84"/>
      <c r="D552" s="84"/>
      <c r="E552" s="84"/>
      <c r="F552" s="84"/>
    </row>
    <row r="553" ht="15.75" customHeight="1">
      <c r="A553" s="84"/>
      <c r="B553" s="84"/>
      <c r="C553" s="84"/>
      <c r="D553" s="84"/>
      <c r="E553" s="84"/>
      <c r="F553" s="84"/>
    </row>
    <row r="554" ht="15.75" customHeight="1">
      <c r="A554" s="84"/>
      <c r="B554" s="84"/>
      <c r="C554" s="84"/>
      <c r="D554" s="84"/>
      <c r="E554" s="84"/>
      <c r="F554" s="84"/>
    </row>
    <row r="555" ht="15.75" customHeight="1">
      <c r="A555" s="84"/>
      <c r="B555" s="84"/>
      <c r="C555" s="84"/>
      <c r="D555" s="84"/>
      <c r="E555" s="84"/>
      <c r="F555" s="84"/>
    </row>
    <row r="556" ht="15.75" customHeight="1">
      <c r="A556" s="84"/>
      <c r="B556" s="84"/>
      <c r="C556" s="84"/>
      <c r="D556" s="84"/>
      <c r="E556" s="84"/>
      <c r="F556" s="84"/>
    </row>
    <row r="557" ht="15.75" customHeight="1">
      <c r="A557" s="84"/>
      <c r="B557" s="84"/>
      <c r="C557" s="84"/>
      <c r="D557" s="84"/>
      <c r="E557" s="84"/>
      <c r="F557" s="84"/>
    </row>
    <row r="558" ht="15.75" customHeight="1">
      <c r="A558" s="84"/>
      <c r="B558" s="84"/>
      <c r="C558" s="84"/>
      <c r="D558" s="84"/>
      <c r="E558" s="84"/>
      <c r="F558" s="84"/>
    </row>
    <row r="559" ht="15.75" customHeight="1">
      <c r="A559" s="84"/>
      <c r="B559" s="84"/>
      <c r="C559" s="84"/>
      <c r="D559" s="84"/>
      <c r="E559" s="84"/>
      <c r="F559" s="84"/>
    </row>
    <row r="560" ht="15.75" customHeight="1">
      <c r="A560" s="84"/>
      <c r="B560" s="84"/>
      <c r="C560" s="84"/>
      <c r="D560" s="84"/>
      <c r="E560" s="84"/>
      <c r="F560" s="84"/>
    </row>
    <row r="561" ht="15.75" customHeight="1">
      <c r="A561" s="84"/>
      <c r="B561" s="84"/>
      <c r="C561" s="84"/>
      <c r="D561" s="84"/>
      <c r="E561" s="84"/>
      <c r="F561" s="84"/>
    </row>
    <row r="562" ht="15.75" customHeight="1">
      <c r="A562" s="84"/>
      <c r="B562" s="84"/>
      <c r="C562" s="84"/>
      <c r="D562" s="84"/>
      <c r="E562" s="84"/>
      <c r="F562" s="84"/>
    </row>
    <row r="563" ht="15.75" customHeight="1">
      <c r="A563" s="84"/>
      <c r="B563" s="84"/>
      <c r="C563" s="84"/>
      <c r="D563" s="84"/>
      <c r="E563" s="84"/>
      <c r="F563" s="84"/>
    </row>
    <row r="564" ht="15.75" customHeight="1">
      <c r="A564" s="84"/>
      <c r="B564" s="84"/>
      <c r="C564" s="84"/>
      <c r="D564" s="84"/>
      <c r="E564" s="84"/>
      <c r="F564" s="84"/>
    </row>
    <row r="565" ht="15.75" customHeight="1">
      <c r="A565" s="84"/>
      <c r="B565" s="84"/>
      <c r="C565" s="84"/>
      <c r="D565" s="84"/>
      <c r="E565" s="84"/>
      <c r="F565" s="84"/>
    </row>
    <row r="566" ht="15.75" customHeight="1">
      <c r="A566" s="84"/>
      <c r="B566" s="84"/>
      <c r="C566" s="84"/>
      <c r="D566" s="84"/>
      <c r="E566" s="84"/>
      <c r="F566" s="84"/>
    </row>
    <row r="567" ht="15.75" customHeight="1">
      <c r="A567" s="84"/>
      <c r="B567" s="84"/>
      <c r="C567" s="84"/>
      <c r="D567" s="84"/>
      <c r="E567" s="84"/>
      <c r="F567" s="84"/>
    </row>
    <row r="568" ht="15.75" customHeight="1">
      <c r="A568" s="84"/>
      <c r="B568" s="84"/>
      <c r="C568" s="84"/>
      <c r="D568" s="84"/>
      <c r="E568" s="84"/>
      <c r="F568" s="84"/>
    </row>
    <row r="569" ht="15.75" customHeight="1">
      <c r="A569" s="84"/>
      <c r="B569" s="84"/>
      <c r="C569" s="84"/>
      <c r="D569" s="84"/>
      <c r="E569" s="84"/>
      <c r="F569" s="84"/>
    </row>
    <row r="570" ht="15.75" customHeight="1">
      <c r="A570" s="84"/>
      <c r="B570" s="84"/>
      <c r="C570" s="84"/>
      <c r="D570" s="84"/>
      <c r="E570" s="84"/>
      <c r="F570" s="84"/>
    </row>
    <row r="571" ht="15.75" customHeight="1">
      <c r="A571" s="84"/>
      <c r="B571" s="84"/>
      <c r="C571" s="84"/>
      <c r="D571" s="84"/>
      <c r="E571" s="84"/>
      <c r="F571" s="84"/>
    </row>
    <row r="572" ht="15.75" customHeight="1">
      <c r="A572" s="84"/>
      <c r="B572" s="84"/>
      <c r="C572" s="84"/>
      <c r="D572" s="84"/>
      <c r="E572" s="84"/>
      <c r="F572" s="84"/>
    </row>
    <row r="573" ht="15.75" customHeight="1">
      <c r="A573" s="84"/>
      <c r="B573" s="84"/>
      <c r="C573" s="84"/>
      <c r="D573" s="84"/>
      <c r="E573" s="84"/>
      <c r="F573" s="84"/>
    </row>
    <row r="574" ht="15.75" customHeight="1">
      <c r="A574" s="84"/>
      <c r="B574" s="84"/>
      <c r="C574" s="84"/>
      <c r="D574" s="84"/>
      <c r="E574" s="84"/>
      <c r="F574" s="84"/>
    </row>
    <row r="575" ht="15.75" customHeight="1">
      <c r="A575" s="84"/>
      <c r="B575" s="84"/>
      <c r="C575" s="84"/>
      <c r="D575" s="84"/>
      <c r="E575" s="84"/>
      <c r="F575" s="84"/>
    </row>
    <row r="576" ht="15.75" customHeight="1">
      <c r="A576" s="84"/>
      <c r="B576" s="84"/>
      <c r="C576" s="84"/>
      <c r="D576" s="84"/>
      <c r="E576" s="84"/>
      <c r="F576" s="84"/>
    </row>
    <row r="577" ht="15.75" customHeight="1">
      <c r="A577" s="84"/>
      <c r="B577" s="84"/>
      <c r="C577" s="84"/>
      <c r="D577" s="84"/>
      <c r="E577" s="84"/>
      <c r="F577" s="84"/>
    </row>
    <row r="578" ht="15.75" customHeight="1">
      <c r="A578" s="84"/>
      <c r="B578" s="84"/>
      <c r="C578" s="84"/>
      <c r="D578" s="84"/>
      <c r="E578" s="84"/>
      <c r="F578" s="84"/>
    </row>
    <row r="579" ht="15.75" customHeight="1">
      <c r="A579" s="84"/>
      <c r="B579" s="84"/>
      <c r="C579" s="84"/>
      <c r="D579" s="84"/>
      <c r="E579" s="84"/>
      <c r="F579" s="84"/>
    </row>
    <row r="580" ht="15.75" customHeight="1">
      <c r="A580" s="84"/>
      <c r="B580" s="84"/>
      <c r="C580" s="84"/>
      <c r="D580" s="84"/>
      <c r="E580" s="84"/>
      <c r="F580" s="84"/>
    </row>
    <row r="581" ht="15.75" customHeight="1">
      <c r="A581" s="84"/>
      <c r="B581" s="84"/>
      <c r="C581" s="84"/>
      <c r="D581" s="84"/>
      <c r="E581" s="84"/>
      <c r="F581" s="84"/>
    </row>
    <row r="582" ht="15.75" customHeight="1">
      <c r="A582" s="84"/>
      <c r="B582" s="84"/>
      <c r="C582" s="84"/>
      <c r="D582" s="84"/>
      <c r="E582" s="84"/>
      <c r="F582" s="84"/>
    </row>
    <row r="583" ht="15.75" customHeight="1">
      <c r="A583" s="84"/>
      <c r="B583" s="84"/>
      <c r="C583" s="84"/>
      <c r="D583" s="84"/>
      <c r="E583" s="84"/>
      <c r="F583" s="84"/>
    </row>
    <row r="584" ht="15.75" customHeight="1">
      <c r="A584" s="84"/>
      <c r="B584" s="84"/>
      <c r="C584" s="84"/>
      <c r="D584" s="84"/>
      <c r="E584" s="84"/>
      <c r="F584" s="84"/>
    </row>
    <row r="585" ht="15.75" customHeight="1">
      <c r="A585" s="84"/>
      <c r="B585" s="84"/>
      <c r="C585" s="84"/>
      <c r="D585" s="84"/>
      <c r="E585" s="84"/>
      <c r="F585" s="84"/>
    </row>
    <row r="586" ht="15.75" customHeight="1">
      <c r="A586" s="84"/>
      <c r="B586" s="84"/>
      <c r="C586" s="84"/>
      <c r="D586" s="84"/>
      <c r="E586" s="84"/>
      <c r="F586" s="84"/>
    </row>
    <row r="587" ht="15.75" customHeight="1">
      <c r="A587" s="84"/>
      <c r="B587" s="84"/>
      <c r="C587" s="84"/>
      <c r="D587" s="84"/>
      <c r="E587" s="84"/>
      <c r="F587" s="84"/>
    </row>
    <row r="588" ht="15.75" customHeight="1">
      <c r="A588" s="84"/>
      <c r="B588" s="84"/>
      <c r="C588" s="84"/>
      <c r="D588" s="84"/>
      <c r="E588" s="84"/>
      <c r="F588" s="84"/>
    </row>
    <row r="589" ht="15.75" customHeight="1">
      <c r="A589" s="84"/>
      <c r="B589" s="84"/>
      <c r="C589" s="84"/>
      <c r="D589" s="84"/>
      <c r="E589" s="84"/>
      <c r="F589" s="84"/>
    </row>
    <row r="590" ht="15.75" customHeight="1">
      <c r="A590" s="84"/>
      <c r="B590" s="84"/>
      <c r="C590" s="84"/>
      <c r="D590" s="84"/>
      <c r="E590" s="84"/>
      <c r="F590" s="84"/>
    </row>
    <row r="591" ht="15.75" customHeight="1">
      <c r="A591" s="84"/>
      <c r="B591" s="84"/>
      <c r="C591" s="84"/>
      <c r="D591" s="84"/>
      <c r="E591" s="84"/>
      <c r="F591" s="84"/>
    </row>
    <row r="592" ht="15.75" customHeight="1">
      <c r="A592" s="84"/>
      <c r="B592" s="84"/>
      <c r="C592" s="84"/>
      <c r="D592" s="84"/>
      <c r="E592" s="84"/>
      <c r="F592" s="84"/>
    </row>
    <row r="593" ht="15.75" customHeight="1">
      <c r="A593" s="84"/>
      <c r="B593" s="84"/>
      <c r="C593" s="84"/>
      <c r="D593" s="84"/>
      <c r="E593" s="84"/>
      <c r="F593" s="84"/>
    </row>
    <row r="594" ht="15.75" customHeight="1">
      <c r="A594" s="84"/>
      <c r="B594" s="84"/>
      <c r="C594" s="84"/>
      <c r="D594" s="84"/>
      <c r="E594" s="84"/>
      <c r="F594" s="84"/>
    </row>
    <row r="595" ht="15.75" customHeight="1">
      <c r="A595" s="84"/>
      <c r="B595" s="84"/>
      <c r="C595" s="84"/>
      <c r="D595" s="84"/>
      <c r="E595" s="84"/>
      <c r="F595" s="84"/>
    </row>
    <row r="596" ht="15.75" customHeight="1">
      <c r="A596" s="84"/>
      <c r="B596" s="84"/>
      <c r="C596" s="84"/>
      <c r="D596" s="84"/>
      <c r="E596" s="84"/>
      <c r="F596" s="84"/>
    </row>
    <row r="597" ht="15.75" customHeight="1">
      <c r="A597" s="84"/>
      <c r="B597" s="84"/>
      <c r="C597" s="84"/>
      <c r="D597" s="84"/>
      <c r="E597" s="84"/>
      <c r="F597" s="84"/>
    </row>
    <row r="598" ht="15.75" customHeight="1">
      <c r="A598" s="84"/>
      <c r="B598" s="84"/>
      <c r="C598" s="84"/>
      <c r="D598" s="84"/>
      <c r="E598" s="84"/>
      <c r="F598" s="84"/>
    </row>
    <row r="599" ht="15.75" customHeight="1">
      <c r="A599" s="84"/>
      <c r="B599" s="84"/>
      <c r="C599" s="84"/>
      <c r="D599" s="84"/>
      <c r="E599" s="84"/>
      <c r="F599" s="84"/>
    </row>
    <row r="600" ht="15.75" customHeight="1">
      <c r="A600" s="84"/>
      <c r="B600" s="84"/>
      <c r="C600" s="84"/>
      <c r="D600" s="84"/>
      <c r="E600" s="84"/>
      <c r="F600" s="84"/>
    </row>
    <row r="601" ht="15.75" customHeight="1">
      <c r="A601" s="84"/>
      <c r="B601" s="84"/>
      <c r="C601" s="84"/>
      <c r="D601" s="84"/>
      <c r="E601" s="84"/>
      <c r="F601" s="84"/>
    </row>
    <row r="602" ht="15.75" customHeight="1">
      <c r="A602" s="84"/>
      <c r="B602" s="84"/>
      <c r="C602" s="84"/>
      <c r="D602" s="84"/>
      <c r="E602" s="84"/>
      <c r="F602" s="84"/>
    </row>
    <row r="603" ht="15.75" customHeight="1">
      <c r="A603" s="84"/>
      <c r="B603" s="84"/>
      <c r="C603" s="84"/>
      <c r="D603" s="84"/>
      <c r="E603" s="84"/>
      <c r="F603" s="84"/>
    </row>
    <row r="604" ht="15.75" customHeight="1">
      <c r="A604" s="84"/>
      <c r="B604" s="84"/>
      <c r="C604" s="84"/>
      <c r="D604" s="84"/>
      <c r="E604" s="84"/>
      <c r="F604" s="84"/>
    </row>
    <row r="605" ht="15.75" customHeight="1">
      <c r="A605" s="84"/>
      <c r="B605" s="84"/>
      <c r="C605" s="84"/>
      <c r="D605" s="84"/>
      <c r="E605" s="84"/>
      <c r="F605" s="84"/>
    </row>
    <row r="606" ht="15.75" customHeight="1">
      <c r="A606" s="84"/>
      <c r="B606" s="84"/>
      <c r="C606" s="84"/>
      <c r="D606" s="84"/>
      <c r="E606" s="84"/>
      <c r="F606" s="84"/>
    </row>
    <row r="607" ht="15.75" customHeight="1">
      <c r="A607" s="84"/>
      <c r="B607" s="84"/>
      <c r="C607" s="84"/>
      <c r="D607" s="84"/>
      <c r="E607" s="84"/>
      <c r="F607" s="84"/>
    </row>
    <row r="608" ht="15.75" customHeight="1">
      <c r="A608" s="84"/>
      <c r="B608" s="84"/>
      <c r="C608" s="84"/>
      <c r="D608" s="84"/>
      <c r="E608" s="84"/>
      <c r="F608" s="84"/>
    </row>
    <row r="609" ht="15.75" customHeight="1">
      <c r="A609" s="84"/>
      <c r="B609" s="84"/>
      <c r="C609" s="84"/>
      <c r="D609" s="84"/>
      <c r="E609" s="84"/>
      <c r="F609" s="84"/>
    </row>
    <row r="610" ht="15.75" customHeight="1">
      <c r="A610" s="84"/>
      <c r="B610" s="84"/>
      <c r="C610" s="84"/>
      <c r="D610" s="84"/>
      <c r="E610" s="84"/>
      <c r="F610" s="84"/>
    </row>
    <row r="611" ht="15.75" customHeight="1">
      <c r="A611" s="84"/>
      <c r="B611" s="84"/>
      <c r="C611" s="84"/>
      <c r="D611" s="84"/>
      <c r="E611" s="84"/>
      <c r="F611" s="84"/>
    </row>
    <row r="612" ht="15.75" customHeight="1">
      <c r="A612" s="84"/>
      <c r="B612" s="84"/>
      <c r="C612" s="84"/>
      <c r="D612" s="84"/>
      <c r="E612" s="84"/>
      <c r="F612" s="84"/>
    </row>
    <row r="613" ht="15.75" customHeight="1">
      <c r="A613" s="84"/>
      <c r="B613" s="84"/>
      <c r="C613" s="84"/>
      <c r="D613" s="84"/>
      <c r="E613" s="84"/>
      <c r="F613" s="84"/>
    </row>
    <row r="614" ht="15.75" customHeight="1">
      <c r="A614" s="84"/>
      <c r="B614" s="84"/>
      <c r="C614" s="84"/>
      <c r="D614" s="84"/>
      <c r="E614" s="84"/>
      <c r="F614" s="84"/>
    </row>
    <row r="615" ht="15.75" customHeight="1">
      <c r="A615" s="84"/>
      <c r="B615" s="84"/>
      <c r="C615" s="84"/>
      <c r="D615" s="84"/>
      <c r="E615" s="84"/>
      <c r="F615" s="84"/>
    </row>
    <row r="616" ht="15.75" customHeight="1">
      <c r="A616" s="84"/>
      <c r="B616" s="84"/>
      <c r="C616" s="84"/>
      <c r="D616" s="84"/>
      <c r="E616" s="84"/>
      <c r="F616" s="84"/>
    </row>
    <row r="617" ht="15.75" customHeight="1">
      <c r="A617" s="84"/>
      <c r="B617" s="84"/>
      <c r="C617" s="84"/>
      <c r="D617" s="84"/>
      <c r="E617" s="84"/>
      <c r="F617" s="84"/>
    </row>
    <row r="618" ht="15.75" customHeight="1">
      <c r="A618" s="84"/>
      <c r="B618" s="84"/>
      <c r="C618" s="84"/>
      <c r="D618" s="84"/>
      <c r="E618" s="84"/>
      <c r="F618" s="84"/>
    </row>
    <row r="619" ht="15.75" customHeight="1">
      <c r="A619" s="84"/>
      <c r="B619" s="84"/>
      <c r="C619" s="84"/>
      <c r="D619" s="84"/>
      <c r="E619" s="84"/>
      <c r="F619" s="84"/>
    </row>
    <row r="620" ht="15.75" customHeight="1">
      <c r="A620" s="84"/>
      <c r="B620" s="84"/>
      <c r="C620" s="84"/>
      <c r="D620" s="84"/>
      <c r="E620" s="84"/>
      <c r="F620" s="84"/>
    </row>
    <row r="621" ht="15.75" customHeight="1">
      <c r="A621" s="84"/>
      <c r="B621" s="84"/>
      <c r="C621" s="84"/>
      <c r="D621" s="84"/>
      <c r="E621" s="84"/>
      <c r="F621" s="84"/>
    </row>
    <row r="622" ht="15.75" customHeight="1">
      <c r="A622" s="84"/>
      <c r="B622" s="84"/>
      <c r="C622" s="84"/>
      <c r="D622" s="84"/>
      <c r="E622" s="84"/>
      <c r="F622" s="84"/>
    </row>
    <row r="623" ht="15.75" customHeight="1">
      <c r="A623" s="84"/>
      <c r="B623" s="84"/>
      <c r="C623" s="84"/>
      <c r="D623" s="84"/>
      <c r="E623" s="84"/>
      <c r="F623" s="84"/>
    </row>
    <row r="624" ht="15.75" customHeight="1">
      <c r="A624" s="84"/>
      <c r="B624" s="84"/>
      <c r="C624" s="84"/>
      <c r="D624" s="84"/>
      <c r="E624" s="84"/>
      <c r="F624" s="84"/>
    </row>
    <row r="625" ht="15.75" customHeight="1">
      <c r="A625" s="84"/>
      <c r="B625" s="84"/>
      <c r="C625" s="84"/>
      <c r="D625" s="84"/>
      <c r="E625" s="84"/>
      <c r="F625" s="84"/>
    </row>
    <row r="626" ht="15.75" customHeight="1">
      <c r="A626" s="84"/>
      <c r="B626" s="84"/>
      <c r="C626" s="84"/>
      <c r="D626" s="84"/>
      <c r="E626" s="84"/>
      <c r="F626" s="84"/>
    </row>
    <row r="627" ht="15.75" customHeight="1">
      <c r="A627" s="84"/>
      <c r="B627" s="84"/>
      <c r="C627" s="84"/>
      <c r="D627" s="84"/>
      <c r="E627" s="84"/>
      <c r="F627" s="84"/>
    </row>
    <row r="628" ht="15.75" customHeight="1">
      <c r="A628" s="84"/>
      <c r="B628" s="84"/>
      <c r="C628" s="84"/>
      <c r="D628" s="84"/>
      <c r="E628" s="84"/>
      <c r="F628" s="84"/>
    </row>
    <row r="629" ht="15.75" customHeight="1">
      <c r="A629" s="84"/>
      <c r="B629" s="84"/>
      <c r="C629" s="84"/>
      <c r="D629" s="84"/>
      <c r="E629" s="84"/>
      <c r="F629" s="84"/>
    </row>
    <row r="630" ht="15.75" customHeight="1">
      <c r="A630" s="84"/>
      <c r="B630" s="84"/>
      <c r="C630" s="84"/>
      <c r="D630" s="84"/>
      <c r="E630" s="84"/>
      <c r="F630" s="84"/>
    </row>
    <row r="631" ht="15.75" customHeight="1">
      <c r="A631" s="84"/>
      <c r="B631" s="84"/>
      <c r="C631" s="84"/>
      <c r="D631" s="84"/>
      <c r="E631" s="84"/>
      <c r="F631" s="84"/>
    </row>
    <row r="632" ht="15.75" customHeight="1">
      <c r="A632" s="84"/>
      <c r="B632" s="84"/>
      <c r="C632" s="84"/>
      <c r="D632" s="84"/>
      <c r="E632" s="84"/>
      <c r="F632" s="84"/>
    </row>
    <row r="633" ht="15.75" customHeight="1">
      <c r="A633" s="84"/>
      <c r="B633" s="84"/>
      <c r="C633" s="84"/>
      <c r="D633" s="84"/>
      <c r="E633" s="84"/>
      <c r="F633" s="84"/>
    </row>
    <row r="634" ht="15.75" customHeight="1">
      <c r="A634" s="84"/>
      <c r="B634" s="84"/>
      <c r="C634" s="84"/>
      <c r="D634" s="84"/>
      <c r="E634" s="84"/>
      <c r="F634" s="84"/>
    </row>
    <row r="635" ht="15.75" customHeight="1">
      <c r="A635" s="84"/>
      <c r="B635" s="84"/>
      <c r="C635" s="84"/>
      <c r="D635" s="84"/>
      <c r="E635" s="84"/>
      <c r="F635" s="84"/>
    </row>
    <row r="636" ht="15.75" customHeight="1">
      <c r="A636" s="84"/>
      <c r="B636" s="84"/>
      <c r="C636" s="84"/>
      <c r="D636" s="84"/>
      <c r="E636" s="84"/>
      <c r="F636" s="84"/>
    </row>
    <row r="637" ht="15.75" customHeight="1">
      <c r="A637" s="84"/>
      <c r="B637" s="84"/>
      <c r="C637" s="84"/>
      <c r="D637" s="84"/>
      <c r="E637" s="84"/>
      <c r="F637" s="84"/>
    </row>
    <row r="638" ht="15.75" customHeight="1">
      <c r="A638" s="84"/>
      <c r="B638" s="84"/>
      <c r="C638" s="84"/>
      <c r="D638" s="84"/>
      <c r="E638" s="84"/>
      <c r="F638" s="84"/>
    </row>
    <row r="639" ht="15.75" customHeight="1">
      <c r="A639" s="84"/>
      <c r="B639" s="84"/>
      <c r="C639" s="84"/>
      <c r="D639" s="84"/>
      <c r="E639" s="84"/>
      <c r="F639" s="84"/>
    </row>
    <row r="640" ht="15.75" customHeight="1">
      <c r="A640" s="84"/>
      <c r="B640" s="84"/>
      <c r="C640" s="84"/>
      <c r="D640" s="84"/>
      <c r="E640" s="84"/>
      <c r="F640" s="84"/>
    </row>
    <row r="641" ht="15.75" customHeight="1">
      <c r="A641" s="84"/>
      <c r="B641" s="84"/>
      <c r="C641" s="84"/>
      <c r="D641" s="84"/>
      <c r="E641" s="84"/>
      <c r="F641" s="84"/>
    </row>
    <row r="642" ht="15.75" customHeight="1">
      <c r="A642" s="84"/>
      <c r="B642" s="84"/>
      <c r="C642" s="84"/>
      <c r="D642" s="84"/>
      <c r="E642" s="84"/>
      <c r="F642" s="84"/>
    </row>
    <row r="643" ht="15.75" customHeight="1">
      <c r="A643" s="84"/>
      <c r="B643" s="84"/>
      <c r="C643" s="84"/>
      <c r="D643" s="84"/>
      <c r="E643" s="84"/>
      <c r="F643" s="84"/>
    </row>
    <row r="644" ht="15.75" customHeight="1">
      <c r="A644" s="84"/>
      <c r="B644" s="84"/>
      <c r="C644" s="84"/>
      <c r="D644" s="84"/>
      <c r="E644" s="84"/>
      <c r="F644" s="84"/>
    </row>
    <row r="645" ht="15.75" customHeight="1">
      <c r="A645" s="84"/>
      <c r="B645" s="84"/>
      <c r="C645" s="84"/>
      <c r="D645" s="84"/>
      <c r="E645" s="84"/>
      <c r="F645" s="84"/>
    </row>
    <row r="646" ht="15.75" customHeight="1">
      <c r="A646" s="84"/>
      <c r="B646" s="84"/>
      <c r="C646" s="84"/>
      <c r="D646" s="84"/>
      <c r="E646" s="84"/>
      <c r="F646" s="84"/>
    </row>
    <row r="647" ht="15.75" customHeight="1">
      <c r="A647" s="84"/>
      <c r="B647" s="84"/>
      <c r="C647" s="84"/>
      <c r="D647" s="84"/>
      <c r="E647" s="84"/>
      <c r="F647" s="84"/>
    </row>
    <row r="648" ht="15.75" customHeight="1">
      <c r="A648" s="84"/>
      <c r="B648" s="84"/>
      <c r="C648" s="84"/>
      <c r="D648" s="84"/>
      <c r="E648" s="84"/>
      <c r="F648" s="84"/>
    </row>
    <row r="649" ht="15.75" customHeight="1">
      <c r="A649" s="84"/>
      <c r="B649" s="84"/>
      <c r="C649" s="84"/>
      <c r="D649" s="84"/>
      <c r="E649" s="84"/>
      <c r="F649" s="84"/>
    </row>
    <row r="650" ht="15.75" customHeight="1">
      <c r="A650" s="84"/>
      <c r="B650" s="84"/>
      <c r="C650" s="84"/>
      <c r="D650" s="84"/>
      <c r="E650" s="84"/>
      <c r="F650" s="84"/>
    </row>
    <row r="651" ht="15.75" customHeight="1">
      <c r="A651" s="84"/>
      <c r="B651" s="84"/>
      <c r="C651" s="84"/>
      <c r="D651" s="84"/>
      <c r="E651" s="84"/>
      <c r="F651" s="84"/>
    </row>
    <row r="652" ht="15.75" customHeight="1">
      <c r="A652" s="84"/>
      <c r="B652" s="84"/>
      <c r="C652" s="84"/>
      <c r="D652" s="84"/>
      <c r="E652" s="84"/>
      <c r="F652" s="84"/>
    </row>
    <row r="653" ht="15.75" customHeight="1">
      <c r="A653" s="84"/>
      <c r="B653" s="84"/>
      <c r="C653" s="84"/>
      <c r="D653" s="84"/>
      <c r="E653" s="84"/>
      <c r="F653" s="84"/>
    </row>
    <row r="654" ht="15.75" customHeight="1">
      <c r="A654" s="84"/>
      <c r="B654" s="84"/>
      <c r="C654" s="84"/>
      <c r="D654" s="84"/>
      <c r="E654" s="84"/>
      <c r="F654" s="84"/>
    </row>
    <row r="655" ht="15.75" customHeight="1">
      <c r="A655" s="84"/>
      <c r="B655" s="84"/>
      <c r="C655" s="84"/>
      <c r="D655" s="84"/>
      <c r="E655" s="84"/>
      <c r="F655" s="84"/>
    </row>
    <row r="656" ht="15.75" customHeight="1">
      <c r="A656" s="84"/>
      <c r="B656" s="84"/>
      <c r="C656" s="84"/>
      <c r="D656" s="84"/>
      <c r="E656" s="84"/>
      <c r="F656" s="84"/>
    </row>
    <row r="657" ht="15.75" customHeight="1">
      <c r="A657" s="84"/>
      <c r="B657" s="84"/>
      <c r="C657" s="84"/>
      <c r="D657" s="84"/>
      <c r="E657" s="84"/>
      <c r="F657" s="84"/>
    </row>
    <row r="658" ht="15.75" customHeight="1">
      <c r="A658" s="84"/>
      <c r="B658" s="84"/>
      <c r="C658" s="84"/>
      <c r="D658" s="84"/>
      <c r="E658" s="84"/>
      <c r="F658" s="84"/>
    </row>
    <row r="659" ht="15.75" customHeight="1">
      <c r="A659" s="84"/>
      <c r="B659" s="84"/>
      <c r="C659" s="84"/>
      <c r="D659" s="84"/>
      <c r="E659" s="84"/>
      <c r="F659" s="84"/>
    </row>
    <row r="660" ht="15.75" customHeight="1">
      <c r="A660" s="84"/>
      <c r="B660" s="84"/>
      <c r="C660" s="84"/>
      <c r="D660" s="84"/>
      <c r="E660" s="84"/>
      <c r="F660" s="84"/>
    </row>
    <row r="661" ht="15.75" customHeight="1">
      <c r="A661" s="84"/>
      <c r="B661" s="84"/>
      <c r="C661" s="84"/>
      <c r="D661" s="84"/>
      <c r="E661" s="84"/>
      <c r="F661" s="84"/>
    </row>
    <row r="662" ht="15.75" customHeight="1">
      <c r="A662" s="84"/>
      <c r="B662" s="84"/>
      <c r="C662" s="84"/>
      <c r="D662" s="84"/>
      <c r="E662" s="84"/>
      <c r="F662" s="84"/>
    </row>
    <row r="663" ht="15.75" customHeight="1">
      <c r="A663" s="84"/>
      <c r="B663" s="84"/>
      <c r="C663" s="84"/>
      <c r="D663" s="84"/>
      <c r="E663" s="84"/>
      <c r="F663" s="84"/>
    </row>
    <row r="664" ht="15.75" customHeight="1">
      <c r="A664" s="84"/>
      <c r="B664" s="84"/>
      <c r="C664" s="84"/>
      <c r="D664" s="84"/>
      <c r="E664" s="84"/>
      <c r="F664" s="84"/>
    </row>
    <row r="665" ht="15.75" customHeight="1">
      <c r="A665" s="84"/>
      <c r="B665" s="84"/>
      <c r="C665" s="84"/>
      <c r="D665" s="84"/>
      <c r="E665" s="84"/>
      <c r="F665" s="84"/>
    </row>
    <row r="666" ht="15.75" customHeight="1">
      <c r="A666" s="84"/>
      <c r="B666" s="84"/>
      <c r="C666" s="84"/>
      <c r="D666" s="84"/>
      <c r="E666" s="84"/>
      <c r="F666" s="84"/>
    </row>
    <row r="667" ht="15.75" customHeight="1">
      <c r="A667" s="84"/>
      <c r="B667" s="84"/>
      <c r="C667" s="84"/>
      <c r="D667" s="84"/>
      <c r="E667" s="84"/>
      <c r="F667" s="84"/>
    </row>
    <row r="668" ht="15.75" customHeight="1">
      <c r="A668" s="84"/>
      <c r="B668" s="84"/>
      <c r="C668" s="84"/>
      <c r="D668" s="84"/>
      <c r="E668" s="84"/>
      <c r="F668" s="84"/>
    </row>
    <row r="669" ht="15.75" customHeight="1">
      <c r="A669" s="84"/>
      <c r="B669" s="84"/>
      <c r="C669" s="84"/>
      <c r="D669" s="84"/>
      <c r="E669" s="84"/>
      <c r="F669" s="84"/>
    </row>
    <row r="670" ht="15.75" customHeight="1">
      <c r="A670" s="84"/>
      <c r="B670" s="84"/>
      <c r="C670" s="84"/>
      <c r="D670" s="84"/>
      <c r="E670" s="84"/>
      <c r="F670" s="84"/>
    </row>
    <row r="671" ht="15.75" customHeight="1">
      <c r="A671" s="84"/>
      <c r="B671" s="84"/>
      <c r="C671" s="84"/>
      <c r="D671" s="84"/>
      <c r="E671" s="84"/>
      <c r="F671" s="84"/>
    </row>
    <row r="672" ht="15.75" customHeight="1">
      <c r="A672" s="84"/>
      <c r="B672" s="84"/>
      <c r="C672" s="84"/>
      <c r="D672" s="84"/>
      <c r="E672" s="84"/>
      <c r="F672" s="84"/>
    </row>
    <row r="673" ht="15.75" customHeight="1">
      <c r="A673" s="84"/>
      <c r="B673" s="84"/>
      <c r="C673" s="84"/>
      <c r="D673" s="84"/>
      <c r="E673" s="84"/>
      <c r="F673" s="84"/>
    </row>
    <row r="674" ht="15.75" customHeight="1">
      <c r="A674" s="84"/>
      <c r="B674" s="84"/>
      <c r="C674" s="84"/>
      <c r="D674" s="84"/>
      <c r="E674" s="84"/>
      <c r="F674" s="84"/>
    </row>
    <row r="675" ht="15.75" customHeight="1">
      <c r="A675" s="84"/>
      <c r="B675" s="84"/>
      <c r="C675" s="84"/>
      <c r="D675" s="84"/>
      <c r="E675" s="84"/>
      <c r="F675" s="84"/>
    </row>
    <row r="676" ht="15.75" customHeight="1">
      <c r="A676" s="84"/>
      <c r="B676" s="84"/>
      <c r="C676" s="84"/>
      <c r="D676" s="84"/>
      <c r="E676" s="84"/>
      <c r="F676" s="84"/>
    </row>
    <row r="677" ht="15.75" customHeight="1">
      <c r="A677" s="84"/>
      <c r="B677" s="84"/>
      <c r="C677" s="84"/>
      <c r="D677" s="84"/>
      <c r="E677" s="84"/>
      <c r="F677" s="84"/>
    </row>
    <row r="678" ht="15.75" customHeight="1">
      <c r="A678" s="84"/>
      <c r="B678" s="84"/>
      <c r="C678" s="84"/>
      <c r="D678" s="84"/>
      <c r="E678" s="84"/>
      <c r="F678" s="84"/>
    </row>
    <row r="679" ht="15.75" customHeight="1">
      <c r="A679" s="84"/>
      <c r="B679" s="84"/>
      <c r="C679" s="84"/>
      <c r="D679" s="84"/>
      <c r="E679" s="84"/>
      <c r="F679" s="84"/>
    </row>
    <row r="680" ht="15.75" customHeight="1">
      <c r="A680" s="84"/>
      <c r="B680" s="84"/>
      <c r="C680" s="84"/>
      <c r="D680" s="84"/>
      <c r="E680" s="84"/>
      <c r="F680" s="84"/>
    </row>
    <row r="681" ht="15.75" customHeight="1">
      <c r="A681" s="84"/>
      <c r="B681" s="84"/>
      <c r="C681" s="84"/>
      <c r="D681" s="84"/>
      <c r="E681" s="84"/>
      <c r="F681" s="84"/>
    </row>
    <row r="682" ht="15.75" customHeight="1">
      <c r="A682" s="84"/>
      <c r="B682" s="84"/>
      <c r="C682" s="84"/>
      <c r="D682" s="84"/>
      <c r="E682" s="84"/>
      <c r="F682" s="84"/>
    </row>
    <row r="683" ht="15.75" customHeight="1">
      <c r="A683" s="84"/>
      <c r="B683" s="84"/>
      <c r="C683" s="84"/>
      <c r="D683" s="84"/>
      <c r="E683" s="84"/>
      <c r="F683" s="84"/>
    </row>
    <row r="684" ht="15.75" customHeight="1">
      <c r="A684" s="84"/>
      <c r="B684" s="84"/>
      <c r="C684" s="84"/>
      <c r="D684" s="84"/>
      <c r="E684" s="84"/>
      <c r="F684" s="84"/>
    </row>
    <row r="685" ht="15.75" customHeight="1">
      <c r="A685" s="84"/>
      <c r="B685" s="84"/>
      <c r="C685" s="84"/>
      <c r="D685" s="84"/>
      <c r="E685" s="84"/>
      <c r="F685" s="84"/>
    </row>
    <row r="686" ht="15.75" customHeight="1">
      <c r="A686" s="84"/>
      <c r="B686" s="84"/>
      <c r="C686" s="84"/>
      <c r="D686" s="84"/>
      <c r="E686" s="84"/>
      <c r="F686" s="84"/>
    </row>
    <row r="687" ht="15.75" customHeight="1">
      <c r="A687" s="84"/>
      <c r="B687" s="84"/>
      <c r="C687" s="84"/>
      <c r="D687" s="84"/>
      <c r="E687" s="84"/>
      <c r="F687" s="84"/>
    </row>
    <row r="688" ht="15.75" customHeight="1">
      <c r="A688" s="84"/>
      <c r="B688" s="84"/>
      <c r="C688" s="84"/>
      <c r="D688" s="84"/>
      <c r="E688" s="84"/>
      <c r="F688" s="84"/>
    </row>
    <row r="689" ht="15.75" customHeight="1">
      <c r="A689" s="84"/>
      <c r="B689" s="84"/>
      <c r="C689" s="84"/>
      <c r="D689" s="84"/>
      <c r="E689" s="84"/>
      <c r="F689" s="84"/>
    </row>
    <row r="690" ht="15.75" customHeight="1">
      <c r="A690" s="84"/>
      <c r="B690" s="84"/>
      <c r="C690" s="84"/>
      <c r="D690" s="84"/>
      <c r="E690" s="84"/>
      <c r="F690" s="84"/>
    </row>
    <row r="691" ht="15.75" customHeight="1">
      <c r="A691" s="84"/>
      <c r="B691" s="84"/>
      <c r="C691" s="84"/>
      <c r="D691" s="84"/>
      <c r="E691" s="84"/>
      <c r="F691" s="84"/>
    </row>
    <row r="692" ht="15.75" customHeight="1">
      <c r="A692" s="84"/>
      <c r="B692" s="84"/>
      <c r="C692" s="84"/>
      <c r="D692" s="84"/>
      <c r="E692" s="84"/>
      <c r="F692" s="84"/>
    </row>
    <row r="693" ht="15.75" customHeight="1">
      <c r="A693" s="84"/>
      <c r="B693" s="84"/>
      <c r="C693" s="84"/>
      <c r="D693" s="84"/>
      <c r="E693" s="84"/>
      <c r="F693" s="84"/>
    </row>
    <row r="694" ht="15.75" customHeight="1">
      <c r="A694" s="84"/>
      <c r="B694" s="84"/>
      <c r="C694" s="84"/>
      <c r="D694" s="84"/>
      <c r="E694" s="84"/>
      <c r="F694" s="84"/>
    </row>
    <row r="695" ht="15.75" customHeight="1">
      <c r="A695" s="84"/>
      <c r="B695" s="84"/>
      <c r="C695" s="84"/>
      <c r="D695" s="84"/>
      <c r="E695" s="84"/>
      <c r="F695" s="84"/>
    </row>
    <row r="696" ht="15.75" customHeight="1">
      <c r="A696" s="84"/>
      <c r="B696" s="84"/>
      <c r="C696" s="84"/>
      <c r="D696" s="84"/>
      <c r="E696" s="84"/>
      <c r="F696" s="84"/>
    </row>
    <row r="697" ht="15.75" customHeight="1">
      <c r="A697" s="84"/>
      <c r="B697" s="84"/>
      <c r="C697" s="84"/>
      <c r="D697" s="84"/>
      <c r="E697" s="84"/>
      <c r="F697" s="84"/>
    </row>
    <row r="698" ht="15.75" customHeight="1">
      <c r="A698" s="84"/>
      <c r="B698" s="84"/>
      <c r="C698" s="84"/>
      <c r="D698" s="84"/>
      <c r="E698" s="84"/>
      <c r="F698" s="84"/>
    </row>
    <row r="699" ht="15.75" customHeight="1">
      <c r="A699" s="84"/>
      <c r="B699" s="84"/>
      <c r="C699" s="84"/>
      <c r="D699" s="84"/>
      <c r="E699" s="84"/>
      <c r="F699" s="84"/>
    </row>
    <row r="700" ht="15.75" customHeight="1">
      <c r="A700" s="84"/>
      <c r="B700" s="84"/>
      <c r="C700" s="84"/>
      <c r="D700" s="84"/>
      <c r="E700" s="84"/>
      <c r="F700" s="84"/>
    </row>
    <row r="701" ht="15.75" customHeight="1">
      <c r="A701" s="84"/>
      <c r="B701" s="84"/>
      <c r="C701" s="84"/>
      <c r="D701" s="84"/>
      <c r="E701" s="84"/>
      <c r="F701" s="84"/>
    </row>
    <row r="702" ht="15.75" customHeight="1">
      <c r="A702" s="84"/>
      <c r="B702" s="84"/>
      <c r="C702" s="84"/>
      <c r="D702" s="84"/>
      <c r="E702" s="84"/>
      <c r="F702" s="84"/>
    </row>
    <row r="703" ht="15.75" customHeight="1">
      <c r="A703" s="84"/>
      <c r="B703" s="84"/>
      <c r="C703" s="84"/>
      <c r="D703" s="84"/>
      <c r="E703" s="84"/>
      <c r="F703" s="84"/>
    </row>
    <row r="704" ht="15.75" customHeight="1">
      <c r="A704" s="84"/>
      <c r="B704" s="84"/>
      <c r="C704" s="84"/>
      <c r="D704" s="84"/>
      <c r="E704" s="84"/>
      <c r="F704" s="84"/>
    </row>
    <row r="705" ht="15.75" customHeight="1">
      <c r="A705" s="84"/>
      <c r="B705" s="84"/>
      <c r="C705" s="84"/>
      <c r="D705" s="84"/>
      <c r="E705" s="84"/>
      <c r="F705" s="84"/>
    </row>
    <row r="706" ht="15.75" customHeight="1">
      <c r="A706" s="84"/>
      <c r="B706" s="84"/>
      <c r="C706" s="84"/>
      <c r="D706" s="84"/>
      <c r="E706" s="84"/>
      <c r="F706" s="84"/>
    </row>
    <row r="707" ht="15.75" customHeight="1">
      <c r="A707" s="84"/>
      <c r="B707" s="84"/>
      <c r="C707" s="84"/>
      <c r="D707" s="84"/>
      <c r="E707" s="84"/>
      <c r="F707" s="84"/>
    </row>
    <row r="708" ht="15.75" customHeight="1">
      <c r="A708" s="84"/>
      <c r="B708" s="84"/>
      <c r="C708" s="84"/>
      <c r="D708" s="84"/>
      <c r="E708" s="84"/>
      <c r="F708" s="84"/>
    </row>
    <row r="709" ht="15.75" customHeight="1">
      <c r="A709" s="84"/>
      <c r="B709" s="84"/>
      <c r="C709" s="84"/>
      <c r="D709" s="84"/>
      <c r="E709" s="84"/>
      <c r="F709" s="84"/>
    </row>
    <row r="710" ht="15.75" customHeight="1">
      <c r="A710" s="84"/>
      <c r="B710" s="84"/>
      <c r="C710" s="84"/>
      <c r="D710" s="84"/>
      <c r="E710" s="84"/>
      <c r="F710" s="84"/>
    </row>
    <row r="711" ht="15.75" customHeight="1">
      <c r="A711" s="84"/>
      <c r="B711" s="84"/>
      <c r="C711" s="84"/>
      <c r="D711" s="84"/>
      <c r="E711" s="84"/>
      <c r="F711" s="84"/>
    </row>
    <row r="712" ht="15.75" customHeight="1">
      <c r="A712" s="84"/>
      <c r="B712" s="84"/>
      <c r="C712" s="84"/>
      <c r="D712" s="84"/>
      <c r="E712" s="84"/>
      <c r="F712" s="84"/>
    </row>
    <row r="713" ht="15.75" customHeight="1">
      <c r="A713" s="84"/>
      <c r="B713" s="84"/>
      <c r="C713" s="84"/>
      <c r="D713" s="84"/>
      <c r="E713" s="84"/>
      <c r="F713" s="84"/>
    </row>
    <row r="714" ht="15.75" customHeight="1">
      <c r="A714" s="84"/>
      <c r="B714" s="84"/>
      <c r="C714" s="84"/>
      <c r="D714" s="84"/>
      <c r="E714" s="84"/>
      <c r="F714" s="84"/>
    </row>
    <row r="715" ht="15.75" customHeight="1">
      <c r="A715" s="84"/>
      <c r="B715" s="84"/>
      <c r="C715" s="84"/>
      <c r="D715" s="84"/>
      <c r="E715" s="84"/>
      <c r="F715" s="84"/>
    </row>
    <row r="716" ht="15.75" customHeight="1">
      <c r="A716" s="84"/>
      <c r="B716" s="84"/>
      <c r="C716" s="84"/>
      <c r="D716" s="84"/>
      <c r="E716" s="84"/>
      <c r="F716" s="84"/>
    </row>
    <row r="717" ht="15.75" customHeight="1">
      <c r="A717" s="84"/>
      <c r="B717" s="84"/>
      <c r="C717" s="84"/>
      <c r="D717" s="84"/>
      <c r="E717" s="84"/>
      <c r="F717" s="84"/>
    </row>
    <row r="718" ht="15.75" customHeight="1">
      <c r="A718" s="84"/>
      <c r="B718" s="84"/>
      <c r="C718" s="84"/>
      <c r="D718" s="84"/>
      <c r="E718" s="84"/>
      <c r="F718" s="84"/>
    </row>
    <row r="719" ht="15.75" customHeight="1">
      <c r="A719" s="84"/>
      <c r="B719" s="84"/>
      <c r="C719" s="84"/>
      <c r="D719" s="84"/>
      <c r="E719" s="84"/>
      <c r="F719" s="84"/>
    </row>
    <row r="720" ht="15.75" customHeight="1">
      <c r="A720" s="84"/>
      <c r="B720" s="84"/>
      <c r="C720" s="84"/>
      <c r="D720" s="84"/>
      <c r="E720" s="84"/>
      <c r="F720" s="84"/>
    </row>
    <row r="721" ht="15.75" customHeight="1">
      <c r="A721" s="84"/>
      <c r="B721" s="84"/>
      <c r="C721" s="84"/>
      <c r="D721" s="84"/>
      <c r="E721" s="84"/>
      <c r="F721" s="84"/>
    </row>
    <row r="722" ht="15.75" customHeight="1">
      <c r="A722" s="84"/>
      <c r="B722" s="84"/>
      <c r="C722" s="84"/>
      <c r="D722" s="84"/>
      <c r="E722" s="84"/>
      <c r="F722" s="84"/>
    </row>
    <row r="723" ht="15.75" customHeight="1">
      <c r="A723" s="84"/>
      <c r="B723" s="84"/>
      <c r="C723" s="84"/>
      <c r="D723" s="84"/>
      <c r="E723" s="84"/>
      <c r="F723" s="84"/>
    </row>
    <row r="724" ht="15.75" customHeight="1">
      <c r="A724" s="84"/>
      <c r="B724" s="84"/>
      <c r="C724" s="84"/>
      <c r="D724" s="84"/>
      <c r="E724" s="84"/>
      <c r="F724" s="84"/>
    </row>
    <row r="725" ht="15.75" customHeight="1">
      <c r="A725" s="84"/>
      <c r="B725" s="84"/>
      <c r="C725" s="84"/>
      <c r="D725" s="84"/>
      <c r="E725" s="84"/>
      <c r="F725" s="84"/>
    </row>
    <row r="726" ht="15.75" customHeight="1">
      <c r="A726" s="84"/>
      <c r="B726" s="84"/>
      <c r="C726" s="84"/>
      <c r="D726" s="84"/>
      <c r="E726" s="84"/>
      <c r="F726" s="84"/>
    </row>
    <row r="727" ht="15.75" customHeight="1">
      <c r="A727" s="84"/>
      <c r="B727" s="84"/>
      <c r="C727" s="84"/>
      <c r="D727" s="84"/>
      <c r="E727" s="84"/>
      <c r="F727" s="84"/>
    </row>
    <row r="728" ht="15.75" customHeight="1">
      <c r="A728" s="84"/>
      <c r="B728" s="84"/>
      <c r="C728" s="84"/>
      <c r="D728" s="84"/>
      <c r="E728" s="84"/>
      <c r="F728" s="84"/>
    </row>
    <row r="729" ht="15.75" customHeight="1">
      <c r="A729" s="84"/>
      <c r="B729" s="84"/>
      <c r="C729" s="84"/>
      <c r="D729" s="84"/>
      <c r="E729" s="84"/>
      <c r="F729" s="84"/>
    </row>
    <row r="730" ht="15.75" customHeight="1">
      <c r="A730" s="84"/>
      <c r="B730" s="84"/>
      <c r="C730" s="84"/>
      <c r="D730" s="84"/>
      <c r="E730" s="84"/>
      <c r="F730" s="84"/>
    </row>
    <row r="731" ht="15.75" customHeight="1">
      <c r="A731" s="84"/>
      <c r="B731" s="84"/>
      <c r="C731" s="84"/>
      <c r="D731" s="84"/>
      <c r="E731" s="84"/>
      <c r="F731" s="84"/>
    </row>
    <row r="732" ht="15.75" customHeight="1">
      <c r="A732" s="84"/>
      <c r="B732" s="84"/>
      <c r="C732" s="84"/>
      <c r="D732" s="84"/>
      <c r="E732" s="84"/>
      <c r="F732" s="84"/>
    </row>
    <row r="733" ht="15.75" customHeight="1">
      <c r="A733" s="84"/>
      <c r="B733" s="84"/>
      <c r="C733" s="84"/>
      <c r="D733" s="84"/>
      <c r="E733" s="84"/>
      <c r="F733" s="84"/>
    </row>
    <row r="734" ht="15.75" customHeight="1">
      <c r="A734" s="84"/>
      <c r="B734" s="84"/>
      <c r="C734" s="84"/>
      <c r="D734" s="84"/>
      <c r="E734" s="84"/>
      <c r="F734" s="84"/>
    </row>
    <row r="735" ht="15.75" customHeight="1">
      <c r="A735" s="84"/>
      <c r="B735" s="84"/>
      <c r="C735" s="84"/>
      <c r="D735" s="84"/>
      <c r="E735" s="84"/>
      <c r="F735" s="84"/>
    </row>
    <row r="736" ht="15.75" customHeight="1">
      <c r="A736" s="84"/>
      <c r="B736" s="84"/>
      <c r="C736" s="84"/>
      <c r="D736" s="84"/>
      <c r="E736" s="84"/>
      <c r="F736" s="84"/>
    </row>
    <row r="737" ht="15.75" customHeight="1">
      <c r="A737" s="84"/>
      <c r="B737" s="84"/>
      <c r="C737" s="84"/>
      <c r="D737" s="84"/>
      <c r="E737" s="84"/>
      <c r="F737" s="84"/>
    </row>
    <row r="738" ht="15.75" customHeight="1">
      <c r="A738" s="84"/>
      <c r="B738" s="84"/>
      <c r="C738" s="84"/>
      <c r="D738" s="84"/>
      <c r="E738" s="84"/>
      <c r="F738" s="84"/>
    </row>
    <row r="739" ht="15.75" customHeight="1">
      <c r="A739" s="84"/>
      <c r="B739" s="84"/>
      <c r="C739" s="84"/>
      <c r="D739" s="84"/>
      <c r="E739" s="84"/>
      <c r="F739" s="84"/>
    </row>
    <row r="740" ht="15.75" customHeight="1">
      <c r="A740" s="84"/>
      <c r="B740" s="84"/>
      <c r="C740" s="84"/>
      <c r="D740" s="84"/>
      <c r="E740" s="84"/>
      <c r="F740" s="84"/>
    </row>
    <row r="741" ht="15.75" customHeight="1">
      <c r="A741" s="84"/>
      <c r="B741" s="84"/>
      <c r="C741" s="84"/>
      <c r="D741" s="84"/>
      <c r="E741" s="84"/>
      <c r="F741" s="84"/>
    </row>
    <row r="742" ht="15.75" customHeight="1">
      <c r="A742" s="84"/>
      <c r="B742" s="84"/>
      <c r="C742" s="84"/>
      <c r="D742" s="84"/>
      <c r="E742" s="84"/>
      <c r="F742" s="84"/>
    </row>
    <row r="743" ht="15.75" customHeight="1">
      <c r="A743" s="84"/>
      <c r="B743" s="84"/>
      <c r="C743" s="84"/>
      <c r="D743" s="84"/>
      <c r="E743" s="84"/>
      <c r="F743" s="84"/>
    </row>
    <row r="744" ht="15.75" customHeight="1">
      <c r="A744" s="84"/>
      <c r="B744" s="84"/>
      <c r="C744" s="84"/>
      <c r="D744" s="84"/>
      <c r="E744" s="84"/>
      <c r="F744" s="84"/>
    </row>
    <row r="745" ht="15.75" customHeight="1">
      <c r="A745" s="84"/>
      <c r="B745" s="84"/>
      <c r="C745" s="84"/>
      <c r="D745" s="84"/>
      <c r="E745" s="84"/>
      <c r="F745" s="84"/>
    </row>
    <row r="746" ht="15.75" customHeight="1">
      <c r="A746" s="84"/>
      <c r="B746" s="84"/>
      <c r="C746" s="84"/>
      <c r="D746" s="84"/>
      <c r="E746" s="84"/>
      <c r="F746" s="84"/>
    </row>
    <row r="747" ht="15.75" customHeight="1">
      <c r="A747" s="84"/>
      <c r="B747" s="84"/>
      <c r="C747" s="84"/>
      <c r="D747" s="84"/>
      <c r="E747" s="84"/>
      <c r="F747" s="84"/>
    </row>
    <row r="748" ht="15.75" customHeight="1">
      <c r="A748" s="84"/>
      <c r="B748" s="84"/>
      <c r="C748" s="84"/>
      <c r="D748" s="84"/>
      <c r="E748" s="84"/>
      <c r="F748" s="84"/>
    </row>
    <row r="749" ht="15.75" customHeight="1">
      <c r="A749" s="84"/>
      <c r="B749" s="84"/>
      <c r="C749" s="84"/>
      <c r="D749" s="84"/>
      <c r="E749" s="84"/>
      <c r="F749" s="84"/>
    </row>
    <row r="750" ht="15.75" customHeight="1">
      <c r="A750" s="84"/>
      <c r="B750" s="84"/>
      <c r="C750" s="84"/>
      <c r="D750" s="84"/>
      <c r="E750" s="84"/>
      <c r="F750" s="84"/>
    </row>
    <row r="751" ht="15.75" customHeight="1">
      <c r="A751" s="84"/>
      <c r="B751" s="84"/>
      <c r="C751" s="84"/>
      <c r="D751" s="84"/>
      <c r="E751" s="84"/>
      <c r="F751" s="84"/>
    </row>
    <row r="752" ht="15.75" customHeight="1">
      <c r="A752" s="84"/>
      <c r="B752" s="84"/>
      <c r="C752" s="84"/>
      <c r="D752" s="84"/>
      <c r="E752" s="84"/>
      <c r="F752" s="84"/>
    </row>
    <row r="753" ht="15.75" customHeight="1">
      <c r="A753" s="84"/>
      <c r="B753" s="84"/>
      <c r="C753" s="84"/>
      <c r="D753" s="84"/>
      <c r="E753" s="84"/>
      <c r="F753" s="84"/>
    </row>
    <row r="754" ht="15.75" customHeight="1">
      <c r="A754" s="84"/>
      <c r="B754" s="84"/>
      <c r="C754" s="84"/>
      <c r="D754" s="84"/>
      <c r="E754" s="84"/>
      <c r="F754" s="84"/>
    </row>
    <row r="755" ht="15.75" customHeight="1">
      <c r="A755" s="84"/>
      <c r="B755" s="84"/>
      <c r="C755" s="84"/>
      <c r="D755" s="84"/>
      <c r="E755" s="84"/>
      <c r="F755" s="84"/>
    </row>
    <row r="756" ht="15.75" customHeight="1">
      <c r="A756" s="84"/>
      <c r="B756" s="84"/>
      <c r="C756" s="84"/>
      <c r="D756" s="84"/>
      <c r="E756" s="84"/>
      <c r="F756" s="84"/>
    </row>
    <row r="757" ht="15.75" customHeight="1">
      <c r="A757" s="84"/>
      <c r="B757" s="84"/>
      <c r="C757" s="84"/>
      <c r="D757" s="84"/>
      <c r="E757" s="84"/>
      <c r="F757" s="84"/>
    </row>
    <row r="758" ht="15.75" customHeight="1">
      <c r="A758" s="84"/>
      <c r="B758" s="84"/>
      <c r="C758" s="84"/>
      <c r="D758" s="84"/>
      <c r="E758" s="84"/>
      <c r="F758" s="84"/>
    </row>
    <row r="759" ht="15.75" customHeight="1">
      <c r="A759" s="84"/>
      <c r="B759" s="84"/>
      <c r="C759" s="84"/>
      <c r="D759" s="84"/>
      <c r="E759" s="84"/>
      <c r="F759" s="84"/>
    </row>
    <row r="760" ht="15.75" customHeight="1">
      <c r="A760" s="84"/>
      <c r="B760" s="84"/>
      <c r="C760" s="84"/>
      <c r="D760" s="84"/>
      <c r="E760" s="84"/>
      <c r="F760" s="84"/>
    </row>
    <row r="761" ht="15.75" customHeight="1">
      <c r="A761" s="84"/>
      <c r="B761" s="84"/>
      <c r="C761" s="84"/>
      <c r="D761" s="84"/>
      <c r="E761" s="84"/>
      <c r="F761" s="84"/>
    </row>
    <row r="762" ht="15.75" customHeight="1">
      <c r="A762" s="84"/>
      <c r="B762" s="84"/>
      <c r="C762" s="84"/>
      <c r="D762" s="84"/>
      <c r="E762" s="84"/>
      <c r="F762" s="84"/>
    </row>
    <row r="763" ht="15.75" customHeight="1">
      <c r="A763" s="84"/>
      <c r="B763" s="84"/>
      <c r="C763" s="84"/>
      <c r="D763" s="84"/>
      <c r="E763" s="84"/>
      <c r="F763" s="84"/>
    </row>
    <row r="764" ht="15.75" customHeight="1">
      <c r="A764" s="84"/>
      <c r="B764" s="84"/>
      <c r="C764" s="84"/>
      <c r="D764" s="84"/>
      <c r="E764" s="84"/>
      <c r="F764" s="84"/>
    </row>
    <row r="765" ht="15.75" customHeight="1">
      <c r="A765" s="84"/>
      <c r="B765" s="84"/>
      <c r="C765" s="84"/>
      <c r="D765" s="84"/>
      <c r="E765" s="84"/>
      <c r="F765" s="84"/>
    </row>
    <row r="766" ht="15.75" customHeight="1">
      <c r="A766" s="84"/>
      <c r="B766" s="84"/>
      <c r="C766" s="84"/>
      <c r="D766" s="84"/>
      <c r="E766" s="84"/>
      <c r="F766" s="84"/>
    </row>
    <row r="767" ht="15.75" customHeight="1">
      <c r="A767" s="84"/>
      <c r="B767" s="84"/>
      <c r="C767" s="84"/>
      <c r="D767" s="84"/>
      <c r="E767" s="84"/>
      <c r="F767" s="84"/>
    </row>
    <row r="768" ht="15.75" customHeight="1">
      <c r="A768" s="84"/>
      <c r="B768" s="84"/>
      <c r="C768" s="84"/>
      <c r="D768" s="84"/>
      <c r="E768" s="84"/>
      <c r="F768" s="84"/>
    </row>
    <row r="769" ht="15.75" customHeight="1">
      <c r="A769" s="84"/>
      <c r="B769" s="84"/>
      <c r="C769" s="84"/>
      <c r="D769" s="84"/>
      <c r="E769" s="84"/>
      <c r="F769" s="84"/>
    </row>
    <row r="770" ht="15.75" customHeight="1">
      <c r="A770" s="84"/>
      <c r="B770" s="84"/>
      <c r="C770" s="84"/>
      <c r="D770" s="84"/>
      <c r="E770" s="84"/>
      <c r="F770" s="84"/>
    </row>
    <row r="771" ht="15.75" customHeight="1">
      <c r="A771" s="84"/>
      <c r="B771" s="84"/>
      <c r="C771" s="84"/>
      <c r="D771" s="84"/>
      <c r="E771" s="84"/>
      <c r="F771" s="84"/>
    </row>
    <row r="772" ht="15.75" customHeight="1">
      <c r="A772" s="84"/>
      <c r="B772" s="84"/>
      <c r="C772" s="84"/>
      <c r="D772" s="84"/>
      <c r="E772" s="84"/>
      <c r="F772" s="84"/>
    </row>
    <row r="773" ht="15.75" customHeight="1">
      <c r="A773" s="84"/>
      <c r="B773" s="84"/>
      <c r="C773" s="84"/>
      <c r="D773" s="84"/>
      <c r="E773" s="84"/>
      <c r="F773" s="84"/>
    </row>
    <row r="774" ht="15.75" customHeight="1">
      <c r="A774" s="84"/>
      <c r="B774" s="84"/>
      <c r="C774" s="84"/>
      <c r="D774" s="84"/>
      <c r="E774" s="84"/>
      <c r="F774" s="84"/>
    </row>
    <row r="775" ht="15.75" customHeight="1">
      <c r="A775" s="84"/>
      <c r="B775" s="84"/>
      <c r="C775" s="84"/>
      <c r="D775" s="84"/>
      <c r="E775" s="84"/>
      <c r="F775" s="84"/>
    </row>
    <row r="776" ht="15.75" customHeight="1">
      <c r="A776" s="84"/>
      <c r="B776" s="84"/>
      <c r="C776" s="84"/>
      <c r="D776" s="84"/>
      <c r="E776" s="84"/>
      <c r="F776" s="84"/>
    </row>
    <row r="777" ht="15.75" customHeight="1">
      <c r="A777" s="84"/>
      <c r="B777" s="84"/>
      <c r="C777" s="84"/>
      <c r="D777" s="84"/>
      <c r="E777" s="84"/>
      <c r="F777" s="84"/>
    </row>
    <row r="778" ht="15.75" customHeight="1">
      <c r="A778" s="84"/>
      <c r="B778" s="84"/>
      <c r="C778" s="84"/>
      <c r="D778" s="84"/>
      <c r="E778" s="84"/>
      <c r="F778" s="84"/>
    </row>
    <row r="779" ht="15.75" customHeight="1">
      <c r="A779" s="84"/>
      <c r="B779" s="84"/>
      <c r="C779" s="84"/>
      <c r="D779" s="84"/>
      <c r="E779" s="84"/>
      <c r="F779" s="84"/>
    </row>
    <row r="780" ht="15.75" customHeight="1">
      <c r="A780" s="84"/>
      <c r="B780" s="84"/>
      <c r="C780" s="84"/>
      <c r="D780" s="84"/>
      <c r="E780" s="84"/>
      <c r="F780" s="84"/>
    </row>
    <row r="781" ht="15.75" customHeight="1">
      <c r="A781" s="84"/>
      <c r="B781" s="84"/>
      <c r="C781" s="84"/>
      <c r="D781" s="84"/>
      <c r="E781" s="84"/>
      <c r="F781" s="84"/>
    </row>
    <row r="782" ht="15.75" customHeight="1">
      <c r="A782" s="84"/>
      <c r="B782" s="84"/>
      <c r="C782" s="84"/>
      <c r="D782" s="84"/>
      <c r="E782" s="84"/>
      <c r="F782" s="84"/>
    </row>
    <row r="783" ht="15.75" customHeight="1">
      <c r="A783" s="84"/>
      <c r="B783" s="84"/>
      <c r="C783" s="84"/>
      <c r="D783" s="84"/>
      <c r="E783" s="84"/>
      <c r="F783" s="84"/>
    </row>
    <row r="784" ht="15.75" customHeight="1">
      <c r="A784" s="84"/>
      <c r="B784" s="84"/>
      <c r="C784" s="84"/>
      <c r="D784" s="84"/>
      <c r="E784" s="84"/>
      <c r="F784" s="84"/>
    </row>
    <row r="785" ht="15.75" customHeight="1">
      <c r="A785" s="84"/>
      <c r="B785" s="84"/>
      <c r="C785" s="84"/>
      <c r="D785" s="84"/>
      <c r="E785" s="84"/>
      <c r="F785" s="84"/>
    </row>
    <row r="786" ht="15.75" customHeight="1">
      <c r="A786" s="84"/>
      <c r="B786" s="84"/>
      <c r="C786" s="84"/>
      <c r="D786" s="84"/>
      <c r="E786" s="84"/>
      <c r="F786" s="84"/>
    </row>
    <row r="787" ht="15.75" customHeight="1">
      <c r="A787" s="84"/>
      <c r="B787" s="84"/>
      <c r="C787" s="84"/>
      <c r="D787" s="84"/>
      <c r="E787" s="84"/>
      <c r="F787" s="84"/>
    </row>
    <row r="788" ht="15.75" customHeight="1">
      <c r="A788" s="84"/>
      <c r="B788" s="84"/>
      <c r="C788" s="84"/>
      <c r="D788" s="84"/>
      <c r="E788" s="84"/>
      <c r="F788" s="84"/>
    </row>
    <row r="789" ht="15.75" customHeight="1">
      <c r="A789" s="84"/>
      <c r="B789" s="84"/>
      <c r="C789" s="84"/>
      <c r="D789" s="84"/>
      <c r="E789" s="84"/>
      <c r="F789" s="84"/>
    </row>
    <row r="790" ht="15.75" customHeight="1">
      <c r="A790" s="84"/>
      <c r="B790" s="84"/>
      <c r="C790" s="84"/>
      <c r="D790" s="84"/>
      <c r="E790" s="84"/>
      <c r="F790" s="84"/>
    </row>
    <row r="791" ht="15.75" customHeight="1">
      <c r="A791" s="84"/>
      <c r="B791" s="84"/>
      <c r="C791" s="84"/>
      <c r="D791" s="84"/>
      <c r="E791" s="84"/>
      <c r="F791" s="84"/>
    </row>
    <row r="792" ht="15.75" customHeight="1">
      <c r="A792" s="84"/>
      <c r="B792" s="84"/>
      <c r="C792" s="84"/>
      <c r="D792" s="84"/>
      <c r="E792" s="84"/>
      <c r="F792" s="84"/>
    </row>
    <row r="793" ht="15.75" customHeight="1">
      <c r="A793" s="84"/>
      <c r="B793" s="84"/>
      <c r="C793" s="84"/>
      <c r="D793" s="84"/>
      <c r="E793" s="84"/>
      <c r="F793" s="84"/>
    </row>
    <row r="794" ht="15.75" customHeight="1">
      <c r="A794" s="84"/>
      <c r="B794" s="84"/>
      <c r="C794" s="84"/>
      <c r="D794" s="84"/>
      <c r="E794" s="84"/>
      <c r="F794" s="84"/>
    </row>
    <row r="795" ht="15.75" customHeight="1">
      <c r="A795" s="84"/>
      <c r="B795" s="84"/>
      <c r="C795" s="84"/>
      <c r="D795" s="84"/>
      <c r="E795" s="84"/>
      <c r="F795" s="84"/>
    </row>
    <row r="796" ht="15.75" customHeight="1">
      <c r="A796" s="84"/>
      <c r="B796" s="84"/>
      <c r="C796" s="84"/>
      <c r="D796" s="84"/>
      <c r="E796" s="84"/>
      <c r="F796" s="84"/>
    </row>
    <row r="797" ht="15.75" customHeight="1">
      <c r="A797" s="84"/>
      <c r="B797" s="84"/>
      <c r="C797" s="84"/>
      <c r="D797" s="84"/>
      <c r="E797" s="84"/>
      <c r="F797" s="84"/>
    </row>
    <row r="798" ht="15.75" customHeight="1">
      <c r="A798" s="84"/>
      <c r="B798" s="84"/>
      <c r="C798" s="84"/>
      <c r="D798" s="84"/>
      <c r="E798" s="84"/>
      <c r="F798" s="84"/>
    </row>
    <row r="799" ht="15.75" customHeight="1">
      <c r="A799" s="84"/>
      <c r="B799" s="84"/>
      <c r="C799" s="84"/>
      <c r="D799" s="84"/>
      <c r="E799" s="84"/>
      <c r="F799" s="84"/>
    </row>
    <row r="800" ht="15.75" customHeight="1">
      <c r="A800" s="84"/>
      <c r="B800" s="84"/>
      <c r="C800" s="84"/>
      <c r="D800" s="84"/>
      <c r="E800" s="84"/>
      <c r="F800" s="84"/>
    </row>
    <row r="801" ht="15.75" customHeight="1">
      <c r="A801" s="84"/>
      <c r="B801" s="84"/>
      <c r="C801" s="84"/>
      <c r="D801" s="84"/>
      <c r="E801" s="84"/>
      <c r="F801" s="84"/>
    </row>
    <row r="802" ht="15.75" customHeight="1">
      <c r="A802" s="84"/>
      <c r="B802" s="84"/>
      <c r="C802" s="84"/>
      <c r="D802" s="84"/>
      <c r="E802" s="84"/>
      <c r="F802" s="84"/>
    </row>
    <row r="803" ht="15.75" customHeight="1">
      <c r="A803" s="84"/>
      <c r="B803" s="84"/>
      <c r="C803" s="84"/>
      <c r="D803" s="84"/>
      <c r="E803" s="84"/>
      <c r="F803" s="84"/>
    </row>
    <row r="804" ht="15.75" customHeight="1">
      <c r="A804" s="84"/>
      <c r="B804" s="84"/>
      <c r="C804" s="84"/>
      <c r="D804" s="84"/>
      <c r="E804" s="84"/>
      <c r="F804" s="84"/>
    </row>
    <row r="805" ht="15.75" customHeight="1">
      <c r="A805" s="84"/>
      <c r="B805" s="84"/>
      <c r="C805" s="84"/>
      <c r="D805" s="84"/>
      <c r="E805" s="84"/>
      <c r="F805" s="84"/>
    </row>
    <row r="806" ht="15.75" customHeight="1">
      <c r="A806" s="84"/>
      <c r="B806" s="84"/>
      <c r="C806" s="84"/>
      <c r="D806" s="84"/>
      <c r="E806" s="84"/>
      <c r="F806" s="84"/>
    </row>
    <row r="807" ht="15.75" customHeight="1">
      <c r="A807" s="84"/>
      <c r="B807" s="84"/>
      <c r="C807" s="84"/>
      <c r="D807" s="84"/>
      <c r="E807" s="84"/>
      <c r="F807" s="84"/>
    </row>
    <row r="808" ht="15.75" customHeight="1">
      <c r="A808" s="84"/>
      <c r="B808" s="84"/>
      <c r="C808" s="84"/>
      <c r="D808" s="84"/>
      <c r="E808" s="84"/>
      <c r="F808" s="84"/>
    </row>
    <row r="809" ht="15.75" customHeight="1">
      <c r="A809" s="84"/>
      <c r="B809" s="84"/>
      <c r="C809" s="84"/>
      <c r="D809" s="84"/>
      <c r="E809" s="84"/>
      <c r="F809" s="84"/>
    </row>
    <row r="810" ht="15.75" customHeight="1">
      <c r="A810" s="84"/>
      <c r="B810" s="84"/>
      <c r="C810" s="84"/>
      <c r="D810" s="84"/>
      <c r="E810" s="84"/>
      <c r="F810" s="84"/>
    </row>
    <row r="811" ht="15.75" customHeight="1">
      <c r="A811" s="84"/>
      <c r="B811" s="84"/>
      <c r="C811" s="84"/>
      <c r="D811" s="84"/>
      <c r="E811" s="84"/>
      <c r="F811" s="84"/>
    </row>
    <row r="812" ht="15.75" customHeight="1">
      <c r="A812" s="84"/>
      <c r="B812" s="84"/>
      <c r="C812" s="84"/>
      <c r="D812" s="84"/>
      <c r="E812" s="84"/>
      <c r="F812" s="84"/>
    </row>
    <row r="813" ht="15.75" customHeight="1">
      <c r="A813" s="84"/>
      <c r="B813" s="84"/>
      <c r="C813" s="84"/>
      <c r="D813" s="84"/>
      <c r="E813" s="84"/>
      <c r="F813" s="84"/>
    </row>
    <row r="814" ht="15.75" customHeight="1">
      <c r="A814" s="84"/>
      <c r="B814" s="84"/>
      <c r="C814" s="84"/>
      <c r="D814" s="84"/>
      <c r="E814" s="84"/>
      <c r="F814" s="84"/>
    </row>
    <row r="815" ht="15.75" customHeight="1">
      <c r="A815" s="84"/>
      <c r="B815" s="84"/>
      <c r="C815" s="84"/>
      <c r="D815" s="84"/>
      <c r="E815" s="84"/>
      <c r="F815" s="84"/>
    </row>
    <row r="816" ht="15.75" customHeight="1">
      <c r="A816" s="84"/>
      <c r="B816" s="84"/>
      <c r="C816" s="84"/>
      <c r="D816" s="84"/>
      <c r="E816" s="84"/>
      <c r="F816" s="84"/>
    </row>
    <row r="817" ht="15.75" customHeight="1">
      <c r="A817" s="84"/>
      <c r="B817" s="84"/>
      <c r="C817" s="84"/>
      <c r="D817" s="84"/>
      <c r="E817" s="84"/>
      <c r="F817" s="84"/>
    </row>
    <row r="818" ht="15.75" customHeight="1">
      <c r="A818" s="84"/>
      <c r="B818" s="84"/>
      <c r="C818" s="84"/>
      <c r="D818" s="84"/>
      <c r="E818" s="84"/>
      <c r="F818" s="84"/>
    </row>
    <row r="819" ht="15.75" customHeight="1">
      <c r="A819" s="84"/>
      <c r="B819" s="84"/>
      <c r="C819" s="84"/>
      <c r="D819" s="84"/>
      <c r="E819" s="84"/>
      <c r="F819" s="84"/>
    </row>
    <row r="820" ht="15.75" customHeight="1">
      <c r="A820" s="84"/>
      <c r="B820" s="84"/>
      <c r="C820" s="84"/>
      <c r="D820" s="84"/>
      <c r="E820" s="84"/>
      <c r="F820" s="84"/>
    </row>
    <row r="821" ht="15.75" customHeight="1">
      <c r="A821" s="84"/>
      <c r="B821" s="84"/>
      <c r="C821" s="84"/>
      <c r="D821" s="84"/>
      <c r="E821" s="84"/>
      <c r="F821" s="84"/>
    </row>
    <row r="822" ht="15.75" customHeight="1">
      <c r="A822" s="84"/>
      <c r="B822" s="84"/>
      <c r="C822" s="84"/>
      <c r="D822" s="84"/>
      <c r="E822" s="84"/>
      <c r="F822" s="84"/>
    </row>
    <row r="823" ht="15.75" customHeight="1">
      <c r="A823" s="84"/>
      <c r="B823" s="84"/>
      <c r="C823" s="84"/>
      <c r="D823" s="84"/>
      <c r="E823" s="84"/>
      <c r="F823" s="84"/>
    </row>
    <row r="824" ht="15.75" customHeight="1">
      <c r="A824" s="84"/>
      <c r="B824" s="84"/>
      <c r="C824" s="84"/>
      <c r="D824" s="84"/>
      <c r="E824" s="84"/>
      <c r="F824" s="84"/>
    </row>
    <row r="825" ht="15.75" customHeight="1">
      <c r="A825" s="84"/>
      <c r="B825" s="84"/>
      <c r="C825" s="84"/>
      <c r="D825" s="84"/>
      <c r="E825" s="84"/>
      <c r="F825" s="84"/>
    </row>
    <row r="826" ht="15.75" customHeight="1">
      <c r="A826" s="84"/>
      <c r="B826" s="84"/>
      <c r="C826" s="84"/>
      <c r="D826" s="84"/>
      <c r="E826" s="84"/>
      <c r="F826" s="84"/>
    </row>
    <row r="827" ht="15.75" customHeight="1">
      <c r="A827" s="84"/>
      <c r="B827" s="84"/>
      <c r="C827" s="84"/>
      <c r="D827" s="84"/>
      <c r="E827" s="84"/>
      <c r="F827" s="84"/>
    </row>
    <row r="828" ht="15.75" customHeight="1">
      <c r="A828" s="84"/>
      <c r="B828" s="84"/>
      <c r="C828" s="84"/>
      <c r="D828" s="84"/>
      <c r="E828" s="84"/>
      <c r="F828" s="84"/>
    </row>
    <row r="829" ht="15.75" customHeight="1">
      <c r="A829" s="84"/>
      <c r="B829" s="84"/>
      <c r="C829" s="84"/>
      <c r="D829" s="84"/>
      <c r="E829" s="84"/>
      <c r="F829" s="84"/>
    </row>
    <row r="830" ht="15.75" customHeight="1">
      <c r="A830" s="84"/>
      <c r="B830" s="84"/>
      <c r="C830" s="84"/>
      <c r="D830" s="84"/>
      <c r="E830" s="84"/>
      <c r="F830" s="84"/>
    </row>
    <row r="831" ht="15.75" customHeight="1">
      <c r="A831" s="84"/>
      <c r="B831" s="84"/>
      <c r="C831" s="84"/>
      <c r="D831" s="84"/>
      <c r="E831" s="84"/>
      <c r="F831" s="84"/>
    </row>
    <row r="832" ht="15.75" customHeight="1">
      <c r="A832" s="84"/>
      <c r="B832" s="84"/>
      <c r="C832" s="84"/>
      <c r="D832" s="84"/>
      <c r="E832" s="84"/>
      <c r="F832" s="84"/>
    </row>
    <row r="833" ht="15.75" customHeight="1">
      <c r="A833" s="84"/>
      <c r="B833" s="84"/>
      <c r="C833" s="84"/>
      <c r="D833" s="84"/>
      <c r="E833" s="84"/>
      <c r="F833" s="84"/>
    </row>
    <row r="834" ht="15.75" customHeight="1">
      <c r="A834" s="84"/>
      <c r="B834" s="84"/>
      <c r="C834" s="84"/>
      <c r="D834" s="84"/>
      <c r="E834" s="84"/>
      <c r="F834" s="84"/>
    </row>
    <row r="835" ht="15.75" customHeight="1">
      <c r="A835" s="84"/>
      <c r="B835" s="84"/>
      <c r="C835" s="84"/>
      <c r="D835" s="84"/>
      <c r="E835" s="84"/>
      <c r="F835" s="84"/>
    </row>
    <row r="836" ht="15.75" customHeight="1">
      <c r="A836" s="84"/>
      <c r="B836" s="84"/>
      <c r="C836" s="84"/>
      <c r="D836" s="84"/>
      <c r="E836" s="84"/>
      <c r="F836" s="84"/>
    </row>
    <row r="837" ht="15.75" customHeight="1">
      <c r="A837" s="84"/>
      <c r="B837" s="84"/>
      <c r="C837" s="84"/>
      <c r="D837" s="84"/>
      <c r="E837" s="84"/>
      <c r="F837" s="84"/>
    </row>
    <row r="838" ht="15.75" customHeight="1">
      <c r="A838" s="84"/>
      <c r="B838" s="84"/>
      <c r="C838" s="84"/>
      <c r="D838" s="84"/>
      <c r="E838" s="84"/>
      <c r="F838" s="84"/>
    </row>
    <row r="839" ht="15.75" customHeight="1">
      <c r="A839" s="84"/>
      <c r="B839" s="84"/>
      <c r="C839" s="84"/>
      <c r="D839" s="84"/>
      <c r="E839" s="84"/>
      <c r="F839" s="84"/>
    </row>
    <row r="840" ht="15.75" customHeight="1">
      <c r="A840" s="84"/>
      <c r="B840" s="84"/>
      <c r="C840" s="84"/>
      <c r="D840" s="84"/>
      <c r="E840" s="84"/>
      <c r="F840" s="84"/>
    </row>
    <row r="841" ht="15.75" customHeight="1">
      <c r="A841" s="84"/>
      <c r="B841" s="84"/>
      <c r="C841" s="84"/>
      <c r="D841" s="84"/>
      <c r="E841" s="84"/>
      <c r="F841" s="84"/>
    </row>
    <row r="842" ht="15.75" customHeight="1">
      <c r="A842" s="84"/>
      <c r="B842" s="84"/>
      <c r="C842" s="84"/>
      <c r="D842" s="84"/>
      <c r="E842" s="84"/>
      <c r="F842" s="84"/>
    </row>
    <row r="843" ht="15.75" customHeight="1">
      <c r="A843" s="84"/>
      <c r="B843" s="84"/>
      <c r="C843" s="84"/>
      <c r="D843" s="84"/>
      <c r="E843" s="84"/>
      <c r="F843" s="84"/>
    </row>
    <row r="844" ht="15.75" customHeight="1">
      <c r="A844" s="84"/>
      <c r="B844" s="84"/>
      <c r="C844" s="84"/>
      <c r="D844" s="84"/>
      <c r="E844" s="84"/>
      <c r="F844" s="84"/>
    </row>
    <row r="845" ht="15.75" customHeight="1">
      <c r="A845" s="84"/>
      <c r="B845" s="84"/>
      <c r="C845" s="84"/>
      <c r="D845" s="84"/>
      <c r="E845" s="84"/>
      <c r="F845" s="84"/>
    </row>
    <row r="846" ht="15.75" customHeight="1">
      <c r="A846" s="84"/>
      <c r="B846" s="84"/>
      <c r="C846" s="84"/>
      <c r="D846" s="84"/>
      <c r="E846" s="84"/>
      <c r="F846" s="84"/>
    </row>
    <row r="847" ht="15.75" customHeight="1">
      <c r="A847" s="84"/>
      <c r="B847" s="84"/>
      <c r="C847" s="84"/>
      <c r="D847" s="84"/>
      <c r="E847" s="84"/>
      <c r="F847" s="84"/>
    </row>
    <row r="848" ht="15.75" customHeight="1">
      <c r="A848" s="84"/>
      <c r="B848" s="84"/>
      <c r="C848" s="84"/>
      <c r="D848" s="84"/>
      <c r="E848" s="84"/>
      <c r="F848" s="84"/>
    </row>
    <row r="849" ht="15.75" customHeight="1">
      <c r="A849" s="84"/>
      <c r="B849" s="84"/>
      <c r="C849" s="84"/>
      <c r="D849" s="84"/>
      <c r="E849" s="84"/>
      <c r="F849" s="84"/>
    </row>
    <row r="850" ht="15.75" customHeight="1">
      <c r="A850" s="84"/>
      <c r="B850" s="84"/>
      <c r="C850" s="84"/>
      <c r="D850" s="84"/>
      <c r="E850" s="84"/>
      <c r="F850" s="84"/>
    </row>
    <row r="851" ht="15.75" customHeight="1">
      <c r="A851" s="84"/>
      <c r="B851" s="84"/>
      <c r="C851" s="84"/>
      <c r="D851" s="84"/>
      <c r="E851" s="84"/>
      <c r="F851" s="84"/>
    </row>
    <row r="852" ht="15.75" customHeight="1">
      <c r="A852" s="84"/>
      <c r="B852" s="84"/>
      <c r="C852" s="84"/>
      <c r="D852" s="84"/>
      <c r="E852" s="84"/>
      <c r="F852" s="84"/>
    </row>
    <row r="853" ht="15.75" customHeight="1">
      <c r="A853" s="84"/>
      <c r="B853" s="84"/>
      <c r="C853" s="84"/>
      <c r="D853" s="84"/>
      <c r="E853" s="84"/>
      <c r="F853" s="84"/>
    </row>
    <row r="854" ht="15.75" customHeight="1">
      <c r="A854" s="84"/>
      <c r="B854" s="84"/>
      <c r="C854" s="84"/>
      <c r="D854" s="84"/>
      <c r="E854" s="84"/>
      <c r="F854" s="84"/>
    </row>
    <row r="855" ht="15.75" customHeight="1">
      <c r="A855" s="84"/>
      <c r="B855" s="84"/>
      <c r="C855" s="84"/>
      <c r="D855" s="84"/>
      <c r="E855" s="84"/>
      <c r="F855" s="84"/>
    </row>
    <row r="856" ht="15.75" customHeight="1">
      <c r="A856" s="84"/>
      <c r="B856" s="84"/>
      <c r="C856" s="84"/>
      <c r="D856" s="84"/>
      <c r="E856" s="84"/>
      <c r="F856" s="84"/>
    </row>
    <row r="857" ht="15.75" customHeight="1">
      <c r="A857" s="84"/>
      <c r="B857" s="84"/>
      <c r="C857" s="84"/>
      <c r="D857" s="84"/>
      <c r="E857" s="84"/>
      <c r="F857" s="84"/>
    </row>
    <row r="858" ht="15.75" customHeight="1">
      <c r="A858" s="84"/>
      <c r="B858" s="84"/>
      <c r="C858" s="84"/>
      <c r="D858" s="84"/>
      <c r="E858" s="84"/>
      <c r="F858" s="84"/>
    </row>
    <row r="859" ht="15.75" customHeight="1">
      <c r="A859" s="84"/>
      <c r="B859" s="84"/>
      <c r="C859" s="84"/>
      <c r="D859" s="84"/>
      <c r="E859" s="84"/>
      <c r="F859" s="84"/>
    </row>
    <row r="860" ht="15.75" customHeight="1">
      <c r="A860" s="84"/>
      <c r="B860" s="84"/>
      <c r="C860" s="84"/>
      <c r="D860" s="84"/>
      <c r="E860" s="84"/>
      <c r="F860" s="84"/>
    </row>
    <row r="861" ht="15.75" customHeight="1">
      <c r="A861" s="84"/>
      <c r="B861" s="84"/>
      <c r="C861" s="84"/>
      <c r="D861" s="84"/>
      <c r="E861" s="84"/>
      <c r="F861" s="84"/>
    </row>
    <row r="862" ht="15.75" customHeight="1">
      <c r="A862" s="84"/>
      <c r="B862" s="84"/>
      <c r="C862" s="84"/>
      <c r="D862" s="84"/>
      <c r="E862" s="84"/>
      <c r="F862" s="84"/>
    </row>
    <row r="863" ht="15.75" customHeight="1">
      <c r="A863" s="84"/>
      <c r="B863" s="84"/>
      <c r="C863" s="84"/>
      <c r="D863" s="84"/>
      <c r="E863" s="84"/>
      <c r="F863" s="84"/>
    </row>
    <row r="864" ht="15.75" customHeight="1">
      <c r="A864" s="84"/>
      <c r="B864" s="84"/>
      <c r="C864" s="84"/>
      <c r="D864" s="84"/>
      <c r="E864" s="84"/>
      <c r="F864" s="84"/>
    </row>
    <row r="865" ht="15.75" customHeight="1">
      <c r="A865" s="84"/>
      <c r="B865" s="84"/>
      <c r="C865" s="84"/>
      <c r="D865" s="84"/>
      <c r="E865" s="84"/>
      <c r="F865" s="84"/>
    </row>
    <row r="866" ht="15.75" customHeight="1">
      <c r="A866" s="84"/>
      <c r="B866" s="84"/>
      <c r="C866" s="84"/>
      <c r="D866" s="84"/>
      <c r="E866" s="84"/>
      <c r="F866" s="84"/>
    </row>
    <row r="867" ht="15.75" customHeight="1">
      <c r="A867" s="84"/>
      <c r="B867" s="84"/>
      <c r="C867" s="84"/>
      <c r="D867" s="84"/>
      <c r="E867" s="84"/>
      <c r="F867" s="84"/>
    </row>
    <row r="868" ht="15.75" customHeight="1">
      <c r="A868" s="84"/>
      <c r="B868" s="84"/>
      <c r="C868" s="84"/>
      <c r="D868" s="84"/>
      <c r="E868" s="84"/>
      <c r="F868" s="84"/>
    </row>
    <row r="869" ht="15.75" customHeight="1">
      <c r="A869" s="84"/>
      <c r="B869" s="84"/>
      <c r="C869" s="84"/>
      <c r="D869" s="84"/>
      <c r="E869" s="84"/>
      <c r="F869" s="84"/>
    </row>
    <row r="870" ht="15.75" customHeight="1">
      <c r="A870" s="84"/>
      <c r="B870" s="84"/>
      <c r="C870" s="84"/>
      <c r="D870" s="84"/>
      <c r="E870" s="84"/>
      <c r="F870" s="84"/>
    </row>
    <row r="871" ht="15.75" customHeight="1">
      <c r="A871" s="84"/>
      <c r="B871" s="84"/>
      <c r="C871" s="84"/>
      <c r="D871" s="84"/>
      <c r="E871" s="84"/>
      <c r="F871" s="84"/>
    </row>
    <row r="872" ht="15.75" customHeight="1">
      <c r="A872" s="84"/>
      <c r="B872" s="84"/>
      <c r="C872" s="84"/>
      <c r="D872" s="84"/>
      <c r="E872" s="84"/>
      <c r="F872" s="84"/>
    </row>
    <row r="873" ht="15.75" customHeight="1">
      <c r="A873" s="84"/>
      <c r="B873" s="84"/>
      <c r="C873" s="84"/>
      <c r="D873" s="84"/>
      <c r="E873" s="84"/>
      <c r="F873" s="84"/>
    </row>
    <row r="874" ht="15.75" customHeight="1">
      <c r="A874" s="84"/>
      <c r="B874" s="84"/>
      <c r="C874" s="84"/>
      <c r="D874" s="84"/>
      <c r="E874" s="84"/>
      <c r="F874" s="84"/>
    </row>
    <row r="875" ht="15.75" customHeight="1">
      <c r="A875" s="84"/>
      <c r="B875" s="84"/>
      <c r="C875" s="84"/>
      <c r="D875" s="84"/>
      <c r="E875" s="84"/>
      <c r="F875" s="84"/>
    </row>
    <row r="876" ht="15.75" customHeight="1">
      <c r="A876" s="84"/>
      <c r="B876" s="84"/>
      <c r="C876" s="84"/>
      <c r="D876" s="84"/>
      <c r="E876" s="84"/>
      <c r="F876" s="84"/>
    </row>
    <row r="877" ht="15.75" customHeight="1">
      <c r="A877" s="84"/>
      <c r="B877" s="84"/>
      <c r="C877" s="84"/>
      <c r="D877" s="84"/>
      <c r="E877" s="84"/>
      <c r="F877" s="84"/>
    </row>
    <row r="878" ht="15.75" customHeight="1">
      <c r="A878" s="84"/>
      <c r="B878" s="84"/>
      <c r="C878" s="84"/>
      <c r="D878" s="84"/>
      <c r="E878" s="84"/>
      <c r="F878" s="84"/>
    </row>
    <row r="879" ht="15.75" customHeight="1">
      <c r="A879" s="84"/>
      <c r="B879" s="84"/>
      <c r="C879" s="84"/>
      <c r="D879" s="84"/>
      <c r="E879" s="84"/>
      <c r="F879" s="84"/>
    </row>
    <row r="880" ht="15.75" customHeight="1">
      <c r="A880" s="84"/>
      <c r="B880" s="84"/>
      <c r="C880" s="84"/>
      <c r="D880" s="84"/>
      <c r="E880" s="84"/>
      <c r="F880" s="84"/>
    </row>
    <row r="881" ht="15.75" customHeight="1">
      <c r="A881" s="84"/>
      <c r="B881" s="84"/>
      <c r="C881" s="84"/>
      <c r="D881" s="84"/>
      <c r="E881" s="84"/>
      <c r="F881" s="84"/>
    </row>
    <row r="882" ht="15.75" customHeight="1">
      <c r="A882" s="84"/>
      <c r="B882" s="84"/>
      <c r="C882" s="84"/>
      <c r="D882" s="84"/>
      <c r="E882" s="84"/>
      <c r="F882" s="84"/>
    </row>
    <row r="883" ht="15.75" customHeight="1">
      <c r="A883" s="84"/>
      <c r="B883" s="84"/>
      <c r="C883" s="84"/>
      <c r="D883" s="84"/>
      <c r="E883" s="84"/>
      <c r="F883" s="84"/>
    </row>
    <row r="884" ht="15.75" customHeight="1">
      <c r="A884" s="84"/>
      <c r="B884" s="84"/>
      <c r="C884" s="84"/>
      <c r="D884" s="84"/>
      <c r="E884" s="84"/>
      <c r="F884" s="84"/>
    </row>
    <row r="885" ht="15.75" customHeight="1">
      <c r="A885" s="84"/>
      <c r="B885" s="84"/>
      <c r="C885" s="84"/>
      <c r="D885" s="84"/>
      <c r="E885" s="84"/>
      <c r="F885" s="84"/>
    </row>
    <row r="886" ht="15.75" customHeight="1">
      <c r="A886" s="84"/>
      <c r="B886" s="84"/>
      <c r="C886" s="84"/>
      <c r="D886" s="84"/>
      <c r="E886" s="84"/>
      <c r="F886" s="84"/>
    </row>
    <row r="887" ht="15.75" customHeight="1">
      <c r="A887" s="84"/>
      <c r="B887" s="84"/>
      <c r="C887" s="84"/>
      <c r="D887" s="84"/>
      <c r="E887" s="84"/>
      <c r="F887" s="84"/>
    </row>
    <row r="888" ht="15.75" customHeight="1">
      <c r="A888" s="84"/>
      <c r="B888" s="84"/>
      <c r="C888" s="84"/>
      <c r="D888" s="84"/>
      <c r="E888" s="84"/>
      <c r="F888" s="84"/>
    </row>
    <row r="889" ht="15.75" customHeight="1">
      <c r="A889" s="84"/>
      <c r="B889" s="84"/>
      <c r="C889" s="84"/>
      <c r="D889" s="84"/>
      <c r="E889" s="84"/>
      <c r="F889" s="84"/>
    </row>
    <row r="890" ht="15.75" customHeight="1">
      <c r="A890" s="84"/>
      <c r="B890" s="84"/>
      <c r="C890" s="84"/>
      <c r="D890" s="84"/>
      <c r="E890" s="84"/>
      <c r="F890" s="84"/>
    </row>
    <row r="891" ht="15.75" customHeight="1">
      <c r="A891" s="84"/>
      <c r="B891" s="84"/>
      <c r="C891" s="84"/>
      <c r="D891" s="84"/>
      <c r="E891" s="84"/>
      <c r="F891" s="84"/>
    </row>
    <row r="892" ht="15.75" customHeight="1">
      <c r="A892" s="84"/>
      <c r="B892" s="84"/>
      <c r="C892" s="84"/>
      <c r="D892" s="84"/>
      <c r="E892" s="84"/>
      <c r="F892" s="84"/>
    </row>
    <row r="893" ht="15.75" customHeight="1">
      <c r="A893" s="84"/>
      <c r="B893" s="84"/>
      <c r="C893" s="84"/>
      <c r="D893" s="84"/>
      <c r="E893" s="84"/>
      <c r="F893" s="84"/>
    </row>
    <row r="894" ht="15.75" customHeight="1">
      <c r="A894" s="84"/>
      <c r="B894" s="84"/>
      <c r="C894" s="84"/>
      <c r="D894" s="84"/>
      <c r="E894" s="84"/>
      <c r="F894" s="84"/>
    </row>
    <row r="895" ht="15.75" customHeight="1">
      <c r="A895" s="84"/>
      <c r="B895" s="84"/>
      <c r="C895" s="84"/>
      <c r="D895" s="84"/>
      <c r="E895" s="84"/>
      <c r="F895" s="84"/>
    </row>
    <row r="896" ht="15.75" customHeight="1">
      <c r="A896" s="84"/>
      <c r="B896" s="84"/>
      <c r="C896" s="84"/>
      <c r="D896" s="84"/>
      <c r="E896" s="84"/>
      <c r="F896" s="84"/>
    </row>
    <row r="897" ht="15.75" customHeight="1">
      <c r="A897" s="84"/>
      <c r="B897" s="84"/>
      <c r="C897" s="84"/>
      <c r="D897" s="84"/>
      <c r="E897" s="84"/>
      <c r="F897" s="84"/>
    </row>
    <row r="898" ht="15.75" customHeight="1">
      <c r="A898" s="84"/>
      <c r="B898" s="84"/>
      <c r="C898" s="84"/>
      <c r="D898" s="84"/>
      <c r="E898" s="84"/>
      <c r="F898" s="84"/>
    </row>
    <row r="899" ht="15.75" customHeight="1">
      <c r="A899" s="84"/>
      <c r="B899" s="84"/>
      <c r="C899" s="84"/>
      <c r="D899" s="84"/>
      <c r="E899" s="84"/>
      <c r="F899" s="84"/>
    </row>
    <row r="900" ht="15.75" customHeight="1">
      <c r="A900" s="84"/>
      <c r="B900" s="84"/>
      <c r="C900" s="84"/>
      <c r="D900" s="84"/>
      <c r="E900" s="84"/>
      <c r="F900" s="84"/>
    </row>
    <row r="901" ht="15.75" customHeight="1">
      <c r="A901" s="84"/>
      <c r="B901" s="84"/>
      <c r="C901" s="84"/>
      <c r="D901" s="84"/>
      <c r="E901" s="84"/>
      <c r="F901" s="84"/>
    </row>
    <row r="902" ht="15.75" customHeight="1">
      <c r="A902" s="84"/>
      <c r="B902" s="84"/>
      <c r="C902" s="84"/>
      <c r="D902" s="84"/>
      <c r="E902" s="84"/>
      <c r="F902" s="84"/>
    </row>
    <row r="903" ht="15.75" customHeight="1">
      <c r="A903" s="84"/>
      <c r="B903" s="84"/>
      <c r="C903" s="84"/>
      <c r="D903" s="84"/>
      <c r="E903" s="84"/>
      <c r="F903" s="84"/>
    </row>
    <row r="904" ht="15.75" customHeight="1">
      <c r="A904" s="84"/>
      <c r="B904" s="84"/>
      <c r="C904" s="84"/>
      <c r="D904" s="84"/>
      <c r="E904" s="84"/>
      <c r="F904" s="84"/>
    </row>
    <row r="905" ht="15.75" customHeight="1">
      <c r="A905" s="84"/>
      <c r="B905" s="84"/>
      <c r="C905" s="84"/>
      <c r="D905" s="84"/>
      <c r="E905" s="84"/>
      <c r="F905" s="84"/>
    </row>
    <row r="906" ht="15.75" customHeight="1">
      <c r="A906" s="84"/>
      <c r="B906" s="84"/>
      <c r="C906" s="84"/>
      <c r="D906" s="84"/>
      <c r="E906" s="84"/>
      <c r="F906" s="84"/>
    </row>
    <row r="907" ht="15.75" customHeight="1">
      <c r="A907" s="84"/>
      <c r="B907" s="84"/>
      <c r="C907" s="84"/>
      <c r="D907" s="84"/>
      <c r="E907" s="84"/>
      <c r="F907" s="84"/>
    </row>
    <row r="908" ht="15.75" customHeight="1">
      <c r="A908" s="84"/>
      <c r="B908" s="84"/>
      <c r="C908" s="84"/>
      <c r="D908" s="84"/>
      <c r="E908" s="84"/>
      <c r="F908" s="84"/>
    </row>
    <row r="909" ht="15.75" customHeight="1">
      <c r="A909" s="84"/>
      <c r="B909" s="84"/>
      <c r="C909" s="84"/>
      <c r="D909" s="84"/>
      <c r="E909" s="84"/>
      <c r="F909" s="84"/>
    </row>
    <row r="910" ht="15.75" customHeight="1">
      <c r="A910" s="84"/>
      <c r="B910" s="84"/>
      <c r="C910" s="84"/>
      <c r="D910" s="84"/>
      <c r="E910" s="84"/>
      <c r="F910" s="84"/>
    </row>
    <row r="911" ht="15.75" customHeight="1">
      <c r="A911" s="84"/>
      <c r="B911" s="84"/>
      <c r="C911" s="84"/>
      <c r="D911" s="84"/>
      <c r="E911" s="84"/>
      <c r="F911" s="84"/>
    </row>
    <row r="912" ht="15.75" customHeight="1">
      <c r="A912" s="84"/>
      <c r="B912" s="84"/>
      <c r="C912" s="84"/>
      <c r="D912" s="84"/>
      <c r="E912" s="84"/>
      <c r="F912" s="84"/>
    </row>
    <row r="913" ht="15.75" customHeight="1">
      <c r="A913" s="84"/>
      <c r="B913" s="84"/>
      <c r="C913" s="84"/>
      <c r="D913" s="84"/>
      <c r="E913" s="84"/>
      <c r="F913" s="84"/>
    </row>
    <row r="914" ht="15.75" customHeight="1">
      <c r="A914" s="84"/>
      <c r="B914" s="84"/>
      <c r="C914" s="84"/>
      <c r="D914" s="84"/>
      <c r="E914" s="84"/>
      <c r="F914" s="84"/>
    </row>
    <row r="915" ht="15.75" customHeight="1">
      <c r="A915" s="84"/>
      <c r="B915" s="84"/>
      <c r="C915" s="84"/>
      <c r="D915" s="84"/>
      <c r="E915" s="84"/>
      <c r="F915" s="84"/>
    </row>
    <row r="916" ht="15.75" customHeight="1">
      <c r="A916" s="84"/>
      <c r="B916" s="84"/>
      <c r="C916" s="84"/>
      <c r="D916" s="84"/>
      <c r="E916" s="84"/>
      <c r="F916" s="84"/>
    </row>
    <row r="917" ht="15.75" customHeight="1">
      <c r="A917" s="84"/>
      <c r="B917" s="84"/>
      <c r="C917" s="84"/>
      <c r="D917" s="84"/>
      <c r="E917" s="84"/>
      <c r="F917" s="84"/>
    </row>
    <row r="918" ht="15.75" customHeight="1">
      <c r="A918" s="84"/>
      <c r="B918" s="84"/>
      <c r="C918" s="84"/>
      <c r="D918" s="84"/>
      <c r="E918" s="84"/>
      <c r="F918" s="84"/>
    </row>
    <row r="919" ht="15.75" customHeight="1">
      <c r="A919" s="84"/>
      <c r="B919" s="84"/>
      <c r="C919" s="84"/>
      <c r="D919" s="84"/>
      <c r="E919" s="84"/>
      <c r="F919" s="84"/>
    </row>
    <row r="920" ht="15.75" customHeight="1">
      <c r="A920" s="84"/>
      <c r="B920" s="84"/>
      <c r="C920" s="84"/>
      <c r="D920" s="84"/>
      <c r="E920" s="84"/>
      <c r="F920" s="84"/>
    </row>
    <row r="921" ht="15.75" customHeight="1">
      <c r="A921" s="84"/>
      <c r="B921" s="84"/>
      <c r="C921" s="84"/>
      <c r="D921" s="84"/>
      <c r="E921" s="84"/>
      <c r="F921" s="84"/>
    </row>
    <row r="922" ht="15.75" customHeight="1">
      <c r="A922" s="84"/>
      <c r="B922" s="84"/>
      <c r="C922" s="84"/>
      <c r="D922" s="84"/>
      <c r="E922" s="84"/>
      <c r="F922" s="84"/>
    </row>
    <row r="923" ht="15.75" customHeight="1">
      <c r="A923" s="84"/>
      <c r="B923" s="84"/>
      <c r="C923" s="84"/>
      <c r="D923" s="84"/>
      <c r="E923" s="84"/>
      <c r="F923" s="84"/>
    </row>
    <row r="924" ht="15.75" customHeight="1">
      <c r="A924" s="84"/>
      <c r="B924" s="84"/>
      <c r="C924" s="84"/>
      <c r="D924" s="84"/>
      <c r="E924" s="84"/>
      <c r="F924" s="84"/>
    </row>
    <row r="925" ht="15.75" customHeight="1">
      <c r="A925" s="84"/>
      <c r="B925" s="84"/>
      <c r="C925" s="84"/>
      <c r="D925" s="84"/>
      <c r="E925" s="84"/>
      <c r="F925" s="84"/>
    </row>
    <row r="926" ht="15.75" customHeight="1">
      <c r="A926" s="84"/>
      <c r="B926" s="84"/>
      <c r="C926" s="84"/>
      <c r="D926" s="84"/>
      <c r="E926" s="84"/>
      <c r="F926" s="84"/>
    </row>
    <row r="927" ht="15.75" customHeight="1">
      <c r="A927" s="84"/>
      <c r="B927" s="84"/>
      <c r="C927" s="84"/>
      <c r="D927" s="84"/>
      <c r="E927" s="84"/>
      <c r="F927" s="84"/>
    </row>
    <row r="928" ht="15.75" customHeight="1">
      <c r="A928" s="84"/>
      <c r="B928" s="84"/>
      <c r="C928" s="84"/>
      <c r="D928" s="84"/>
      <c r="E928" s="84"/>
      <c r="F928" s="84"/>
    </row>
    <row r="929" ht="15.75" customHeight="1">
      <c r="A929" s="84"/>
      <c r="B929" s="84"/>
      <c r="C929" s="84"/>
      <c r="D929" s="84"/>
      <c r="E929" s="84"/>
      <c r="F929" s="84"/>
    </row>
    <row r="930" ht="15.75" customHeight="1">
      <c r="A930" s="84"/>
      <c r="B930" s="84"/>
      <c r="C930" s="84"/>
      <c r="D930" s="84"/>
      <c r="E930" s="84"/>
      <c r="F930" s="84"/>
    </row>
    <row r="931" ht="15.75" customHeight="1">
      <c r="A931" s="84"/>
      <c r="B931" s="84"/>
      <c r="C931" s="84"/>
      <c r="D931" s="84"/>
      <c r="E931" s="84"/>
      <c r="F931" s="84"/>
    </row>
    <row r="932" ht="15.75" customHeight="1">
      <c r="A932" s="84"/>
      <c r="B932" s="84"/>
      <c r="C932" s="84"/>
      <c r="D932" s="84"/>
      <c r="E932" s="84"/>
      <c r="F932" s="84"/>
    </row>
    <row r="933" ht="15.75" customHeight="1">
      <c r="A933" s="84"/>
      <c r="B933" s="84"/>
      <c r="C933" s="84"/>
      <c r="D933" s="84"/>
      <c r="E933" s="84"/>
      <c r="F933" s="84"/>
    </row>
    <row r="934" ht="15.75" customHeight="1">
      <c r="A934" s="84"/>
      <c r="B934" s="84"/>
      <c r="C934" s="84"/>
      <c r="D934" s="84"/>
      <c r="E934" s="84"/>
      <c r="F934" s="84"/>
    </row>
    <row r="935" ht="15.75" customHeight="1">
      <c r="A935" s="84"/>
      <c r="B935" s="84"/>
      <c r="C935" s="84"/>
      <c r="D935" s="84"/>
      <c r="E935" s="84"/>
      <c r="F935" s="84"/>
    </row>
    <row r="936" ht="15.75" customHeight="1">
      <c r="A936" s="84"/>
      <c r="B936" s="84"/>
      <c r="C936" s="84"/>
      <c r="D936" s="84"/>
      <c r="E936" s="84"/>
      <c r="F936" s="84"/>
    </row>
    <row r="937" ht="15.75" customHeight="1">
      <c r="A937" s="84"/>
      <c r="B937" s="84"/>
      <c r="C937" s="84"/>
      <c r="D937" s="84"/>
      <c r="E937" s="84"/>
      <c r="F937" s="84"/>
    </row>
    <row r="938" ht="15.75" customHeight="1">
      <c r="A938" s="84"/>
      <c r="B938" s="84"/>
      <c r="C938" s="84"/>
      <c r="D938" s="84"/>
      <c r="E938" s="84"/>
      <c r="F938" s="84"/>
    </row>
    <row r="939" ht="15.75" customHeight="1">
      <c r="A939" s="84"/>
      <c r="B939" s="84"/>
      <c r="C939" s="84"/>
      <c r="D939" s="84"/>
      <c r="E939" s="84"/>
      <c r="F939" s="84"/>
    </row>
    <row r="940" ht="15.75" customHeight="1">
      <c r="A940" s="84"/>
      <c r="B940" s="84"/>
      <c r="C940" s="84"/>
      <c r="D940" s="84"/>
      <c r="E940" s="84"/>
      <c r="F940" s="84"/>
    </row>
    <row r="941" ht="15.75" customHeight="1">
      <c r="A941" s="84"/>
      <c r="B941" s="84"/>
      <c r="C941" s="84"/>
      <c r="D941" s="84"/>
      <c r="E941" s="84"/>
      <c r="F941" s="84"/>
    </row>
    <row r="942" ht="15.75" customHeight="1">
      <c r="A942" s="84"/>
      <c r="B942" s="84"/>
      <c r="C942" s="84"/>
      <c r="D942" s="84"/>
      <c r="E942" s="84"/>
      <c r="F942" s="84"/>
    </row>
    <row r="943" ht="15.75" customHeight="1">
      <c r="A943" s="84"/>
      <c r="B943" s="84"/>
      <c r="C943" s="84"/>
      <c r="D943" s="84"/>
      <c r="E943" s="84"/>
      <c r="F943" s="84"/>
    </row>
    <row r="944" ht="15.75" customHeight="1">
      <c r="A944" s="84"/>
      <c r="B944" s="84"/>
      <c r="C944" s="84"/>
      <c r="D944" s="84"/>
      <c r="E944" s="84"/>
      <c r="F944" s="84"/>
    </row>
    <row r="945" ht="15.75" customHeight="1">
      <c r="A945" s="84"/>
      <c r="B945" s="84"/>
      <c r="C945" s="84"/>
      <c r="D945" s="84"/>
      <c r="E945" s="84"/>
      <c r="F945" s="84"/>
    </row>
    <row r="946" ht="15.75" customHeight="1">
      <c r="A946" s="84"/>
      <c r="B946" s="84"/>
      <c r="C946" s="84"/>
      <c r="D946" s="84"/>
      <c r="E946" s="84"/>
      <c r="F946" s="84"/>
    </row>
    <row r="947" ht="15.75" customHeight="1">
      <c r="A947" s="84"/>
      <c r="B947" s="84"/>
      <c r="C947" s="84"/>
      <c r="D947" s="84"/>
      <c r="E947" s="84"/>
      <c r="F947" s="84"/>
    </row>
    <row r="948" ht="15.75" customHeight="1">
      <c r="A948" s="84"/>
      <c r="B948" s="84"/>
      <c r="C948" s="84"/>
      <c r="D948" s="84"/>
      <c r="E948" s="84"/>
      <c r="F948" s="84"/>
    </row>
    <row r="949" ht="15.75" customHeight="1">
      <c r="A949" s="84"/>
      <c r="B949" s="84"/>
      <c r="C949" s="84"/>
      <c r="D949" s="84"/>
      <c r="E949" s="84"/>
      <c r="F949" s="84"/>
    </row>
    <row r="950" ht="15.75" customHeight="1">
      <c r="A950" s="84"/>
      <c r="B950" s="84"/>
      <c r="C950" s="84"/>
      <c r="D950" s="84"/>
      <c r="E950" s="84"/>
      <c r="F950" s="84"/>
    </row>
    <row r="951" ht="15.75" customHeight="1">
      <c r="A951" s="84"/>
      <c r="B951" s="84"/>
      <c r="C951" s="84"/>
      <c r="D951" s="84"/>
      <c r="E951" s="84"/>
      <c r="F951" s="84"/>
    </row>
    <row r="952" ht="15.75" customHeight="1">
      <c r="A952" s="84"/>
      <c r="B952" s="84"/>
      <c r="C952" s="84"/>
      <c r="D952" s="84"/>
      <c r="E952" s="84"/>
      <c r="F952" s="84"/>
    </row>
    <row r="953" ht="15.75" customHeight="1">
      <c r="A953" s="84"/>
      <c r="B953" s="84"/>
      <c r="C953" s="84"/>
      <c r="D953" s="84"/>
      <c r="E953" s="84"/>
      <c r="F953" s="84"/>
    </row>
    <row r="954" ht="15.75" customHeight="1">
      <c r="A954" s="84"/>
      <c r="B954" s="84"/>
      <c r="C954" s="84"/>
      <c r="D954" s="84"/>
      <c r="E954" s="84"/>
      <c r="F954" s="84"/>
    </row>
    <row r="955" ht="15.75" customHeight="1">
      <c r="A955" s="84"/>
      <c r="B955" s="84"/>
      <c r="C955" s="84"/>
      <c r="D955" s="84"/>
      <c r="E955" s="84"/>
      <c r="F955" s="84"/>
    </row>
    <row r="956" ht="15.75" customHeight="1">
      <c r="A956" s="84"/>
      <c r="B956" s="84"/>
      <c r="C956" s="84"/>
      <c r="D956" s="84"/>
      <c r="E956" s="84"/>
      <c r="F956" s="84"/>
    </row>
    <row r="957" ht="15.75" customHeight="1">
      <c r="A957" s="84"/>
      <c r="B957" s="84"/>
      <c r="C957" s="84"/>
      <c r="D957" s="84"/>
      <c r="E957" s="84"/>
      <c r="F957" s="84"/>
    </row>
    <row r="958" ht="15.75" customHeight="1">
      <c r="A958" s="84"/>
      <c r="B958" s="84"/>
      <c r="C958" s="84"/>
      <c r="D958" s="84"/>
      <c r="E958" s="84"/>
      <c r="F958" s="84"/>
    </row>
    <row r="959" ht="15.75" customHeight="1">
      <c r="A959" s="84"/>
      <c r="B959" s="84"/>
      <c r="C959" s="84"/>
      <c r="D959" s="84"/>
      <c r="E959" s="84"/>
      <c r="F959" s="84"/>
    </row>
    <row r="960" ht="15.75" customHeight="1">
      <c r="A960" s="84"/>
      <c r="B960" s="84"/>
      <c r="C960" s="84"/>
      <c r="D960" s="84"/>
      <c r="E960" s="84"/>
      <c r="F960" s="84"/>
    </row>
    <row r="961" ht="15.75" customHeight="1">
      <c r="A961" s="84"/>
      <c r="B961" s="84"/>
      <c r="C961" s="84"/>
      <c r="D961" s="84"/>
      <c r="E961" s="84"/>
      <c r="F961" s="84"/>
    </row>
    <row r="962" ht="15.75" customHeight="1">
      <c r="A962" s="84"/>
      <c r="B962" s="84"/>
      <c r="C962" s="84"/>
      <c r="D962" s="84"/>
      <c r="E962" s="84"/>
      <c r="F962" s="84"/>
    </row>
    <row r="963" ht="15.75" customHeight="1">
      <c r="A963" s="84"/>
      <c r="B963" s="84"/>
      <c r="C963" s="84"/>
      <c r="D963" s="84"/>
      <c r="E963" s="84"/>
      <c r="F963" s="84"/>
    </row>
    <row r="964" ht="15.75" customHeight="1">
      <c r="A964" s="84"/>
      <c r="B964" s="84"/>
      <c r="C964" s="84"/>
      <c r="D964" s="84"/>
      <c r="E964" s="84"/>
      <c r="F964" s="84"/>
    </row>
    <row r="965" ht="15.75" customHeight="1">
      <c r="A965" s="84"/>
      <c r="B965" s="84"/>
      <c r="C965" s="84"/>
      <c r="D965" s="84"/>
      <c r="E965" s="84"/>
      <c r="F965" s="84"/>
    </row>
    <row r="966" ht="15.75" customHeight="1">
      <c r="A966" s="84"/>
      <c r="B966" s="84"/>
      <c r="C966" s="84"/>
      <c r="D966" s="84"/>
      <c r="E966" s="84"/>
      <c r="F966" s="84"/>
    </row>
    <row r="967" ht="15.75" customHeight="1">
      <c r="A967" s="84"/>
      <c r="B967" s="84"/>
      <c r="C967" s="84"/>
      <c r="D967" s="84"/>
      <c r="E967" s="84"/>
      <c r="F967" s="84"/>
    </row>
    <row r="968" ht="15.75" customHeight="1">
      <c r="A968" s="84"/>
      <c r="B968" s="84"/>
      <c r="C968" s="84"/>
      <c r="D968" s="84"/>
      <c r="E968" s="84"/>
      <c r="F968" s="84"/>
    </row>
    <row r="969" ht="15.75" customHeight="1">
      <c r="A969" s="84"/>
      <c r="B969" s="84"/>
      <c r="C969" s="84"/>
      <c r="D969" s="84"/>
      <c r="E969" s="84"/>
      <c r="F969" s="84"/>
    </row>
    <row r="970" ht="15.75" customHeight="1">
      <c r="A970" s="84"/>
      <c r="B970" s="84"/>
      <c r="C970" s="84"/>
      <c r="D970" s="84"/>
      <c r="E970" s="84"/>
      <c r="F970" s="84"/>
    </row>
    <row r="971" ht="15.75" customHeight="1">
      <c r="A971" s="84"/>
      <c r="B971" s="84"/>
      <c r="C971" s="84"/>
      <c r="D971" s="84"/>
      <c r="E971" s="84"/>
      <c r="F971" s="84"/>
    </row>
    <row r="972" ht="15.75" customHeight="1">
      <c r="A972" s="84"/>
      <c r="B972" s="84"/>
      <c r="C972" s="84"/>
      <c r="D972" s="84"/>
      <c r="E972" s="84"/>
      <c r="F972" s="84"/>
    </row>
    <row r="973" ht="15.75" customHeight="1">
      <c r="A973" s="84"/>
      <c r="B973" s="84"/>
      <c r="C973" s="84"/>
      <c r="D973" s="84"/>
      <c r="E973" s="84"/>
      <c r="F973" s="84"/>
    </row>
    <row r="974" ht="15.75" customHeight="1">
      <c r="A974" s="84"/>
      <c r="B974" s="84"/>
      <c r="C974" s="84"/>
      <c r="D974" s="84"/>
      <c r="E974" s="84"/>
      <c r="F974" s="84"/>
    </row>
    <row r="975" ht="15.75" customHeight="1">
      <c r="A975" s="84"/>
      <c r="B975" s="84"/>
      <c r="C975" s="84"/>
      <c r="D975" s="84"/>
      <c r="E975" s="84"/>
      <c r="F975" s="84"/>
    </row>
    <row r="976" ht="15.75" customHeight="1">
      <c r="A976" s="84"/>
      <c r="B976" s="84"/>
      <c r="C976" s="84"/>
      <c r="D976" s="84"/>
      <c r="E976" s="84"/>
      <c r="F976" s="84"/>
    </row>
    <row r="977" ht="15.75" customHeight="1">
      <c r="A977" s="84"/>
      <c r="B977" s="84"/>
      <c r="C977" s="84"/>
      <c r="D977" s="84"/>
      <c r="E977" s="84"/>
      <c r="F977" s="84"/>
    </row>
    <row r="978" ht="15.75" customHeight="1">
      <c r="A978" s="84"/>
      <c r="B978" s="84"/>
      <c r="C978" s="84"/>
      <c r="D978" s="84"/>
      <c r="E978" s="84"/>
      <c r="F978" s="84"/>
    </row>
    <row r="979" ht="15.75" customHeight="1">
      <c r="A979" s="84"/>
      <c r="B979" s="84"/>
      <c r="C979" s="84"/>
      <c r="D979" s="84"/>
      <c r="E979" s="84"/>
      <c r="F979" s="84"/>
    </row>
    <row r="980" ht="15.75" customHeight="1">
      <c r="A980" s="84"/>
      <c r="B980" s="84"/>
      <c r="C980" s="84"/>
      <c r="D980" s="84"/>
      <c r="E980" s="84"/>
      <c r="F980" s="84"/>
    </row>
    <row r="981" ht="15.75" customHeight="1">
      <c r="A981" s="84"/>
      <c r="B981" s="84"/>
      <c r="C981" s="84"/>
      <c r="D981" s="84"/>
      <c r="E981" s="84"/>
      <c r="F981" s="84"/>
    </row>
    <row r="982" ht="15.75" customHeight="1">
      <c r="A982" s="84"/>
      <c r="B982" s="84"/>
      <c r="C982" s="84"/>
      <c r="D982" s="84"/>
      <c r="E982" s="84"/>
      <c r="F982" s="84"/>
    </row>
    <row r="983" ht="15.75" customHeight="1">
      <c r="A983" s="84"/>
      <c r="B983" s="84"/>
      <c r="C983" s="84"/>
      <c r="D983" s="84"/>
      <c r="E983" s="84"/>
      <c r="F983" s="84"/>
    </row>
    <row r="984" ht="15.75" customHeight="1">
      <c r="A984" s="84"/>
      <c r="B984" s="84"/>
      <c r="C984" s="84"/>
      <c r="D984" s="84"/>
      <c r="E984" s="84"/>
      <c r="F984" s="84"/>
    </row>
    <row r="985" ht="15.75" customHeight="1">
      <c r="A985" s="84"/>
      <c r="B985" s="84"/>
      <c r="C985" s="84"/>
      <c r="D985" s="84"/>
      <c r="E985" s="84"/>
      <c r="F985" s="84"/>
    </row>
    <row r="986" ht="15.75" customHeight="1">
      <c r="A986" s="84"/>
      <c r="B986" s="84"/>
      <c r="C986" s="84"/>
      <c r="D986" s="84"/>
      <c r="E986" s="84"/>
      <c r="F986" s="84"/>
    </row>
    <row r="987" ht="15.75" customHeight="1">
      <c r="A987" s="84"/>
      <c r="B987" s="84"/>
      <c r="C987" s="84"/>
      <c r="D987" s="84"/>
      <c r="E987" s="84"/>
      <c r="F987" s="84"/>
    </row>
    <row r="988" ht="15.75" customHeight="1">
      <c r="A988" s="84"/>
      <c r="B988" s="84"/>
      <c r="C988" s="84"/>
      <c r="D988" s="84"/>
      <c r="E988" s="84"/>
      <c r="F988" s="84"/>
    </row>
    <row r="989" ht="15.75" customHeight="1">
      <c r="A989" s="84"/>
      <c r="B989" s="84"/>
      <c r="C989" s="84"/>
      <c r="D989" s="84"/>
      <c r="E989" s="84"/>
      <c r="F989" s="84"/>
    </row>
    <row r="990" ht="15.75" customHeight="1">
      <c r="A990" s="84"/>
      <c r="B990" s="84"/>
      <c r="C990" s="84"/>
      <c r="D990" s="84"/>
      <c r="E990" s="84"/>
      <c r="F990" s="84"/>
    </row>
    <row r="991" ht="15.75" customHeight="1">
      <c r="A991" s="84"/>
      <c r="B991" s="84"/>
      <c r="C991" s="84"/>
      <c r="D991" s="84"/>
      <c r="E991" s="84"/>
      <c r="F991" s="84"/>
    </row>
    <row r="992" ht="15.75" customHeight="1">
      <c r="A992" s="84"/>
      <c r="B992" s="84"/>
      <c r="C992" s="84"/>
      <c r="D992" s="84"/>
      <c r="E992" s="84"/>
      <c r="F992" s="84"/>
    </row>
    <row r="993" ht="15.75" customHeight="1">
      <c r="A993" s="84"/>
      <c r="B993" s="84"/>
      <c r="C993" s="84"/>
      <c r="D993" s="84"/>
      <c r="E993" s="84"/>
      <c r="F993" s="84"/>
    </row>
    <row r="994" ht="15.75" customHeight="1">
      <c r="A994" s="84"/>
      <c r="B994" s="84"/>
      <c r="C994" s="84"/>
      <c r="D994" s="84"/>
      <c r="E994" s="84"/>
      <c r="F994" s="84"/>
    </row>
    <row r="995" ht="15.75" customHeight="1">
      <c r="A995" s="84"/>
      <c r="B995" s="84"/>
      <c r="C995" s="84"/>
      <c r="D995" s="84"/>
      <c r="E995" s="84"/>
      <c r="F995" s="84"/>
    </row>
    <row r="996" ht="15.75" customHeight="1">
      <c r="A996" s="84"/>
      <c r="B996" s="84"/>
      <c r="C996" s="84"/>
      <c r="D996" s="84"/>
      <c r="E996" s="84"/>
      <c r="F996" s="84"/>
    </row>
    <row r="997" ht="15.75" customHeight="1">
      <c r="A997" s="84"/>
      <c r="B997" s="84"/>
      <c r="C997" s="84"/>
      <c r="D997" s="84"/>
      <c r="E997" s="84"/>
      <c r="F997" s="84"/>
    </row>
    <row r="998" ht="15.75" customHeight="1">
      <c r="A998" s="84"/>
      <c r="B998" s="84"/>
      <c r="C998" s="84"/>
      <c r="D998" s="84"/>
      <c r="E998" s="84"/>
      <c r="F998" s="84"/>
    </row>
    <row r="999" ht="15.75" customHeight="1">
      <c r="A999" s="84"/>
      <c r="B999" s="84"/>
      <c r="C999" s="84"/>
      <c r="D999" s="84"/>
      <c r="E999" s="84"/>
      <c r="F999" s="84"/>
    </row>
    <row r="1000" ht="15.75" customHeight="1">
      <c r="A1000" s="84"/>
      <c r="B1000" s="84"/>
      <c r="C1000" s="84"/>
      <c r="D1000" s="84"/>
      <c r="E1000" s="84"/>
      <c r="F1000" s="84"/>
    </row>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5.0" topLeftCell="A6" activePane="bottomLeft" state="frozen"/>
      <selection activeCell="B7" sqref="B7" pane="bottomLeft"/>
    </sheetView>
  </sheetViews>
  <sheetFormatPr customHeight="1" defaultColWidth="14.43" defaultRowHeight="15.0"/>
  <cols>
    <col customWidth="1" min="1" max="1" width="13.0"/>
    <col customWidth="1" min="2" max="2" width="20.0"/>
    <col customWidth="1" min="3" max="3" width="22.0"/>
    <col customWidth="1" min="4" max="4" width="17.0"/>
    <col customWidth="1" min="5" max="5" width="44.0"/>
    <col customWidth="1" min="6" max="6" width="58.0"/>
    <col customWidth="1" min="7" max="7" width="9.0"/>
    <col customWidth="1" min="8" max="8" width="22.0"/>
    <col customWidth="1" min="9" max="26" width="8.71"/>
  </cols>
  <sheetData>
    <row r="1">
      <c r="A1" s="4" t="s">
        <v>2</v>
      </c>
      <c r="B1" s="5"/>
      <c r="C1" s="5"/>
      <c r="D1" s="5"/>
      <c r="E1" s="5"/>
      <c r="F1" s="5"/>
      <c r="G1" s="5"/>
      <c r="H1" s="5"/>
    </row>
    <row r="2">
      <c r="A2" s="7" t="s">
        <v>5</v>
      </c>
      <c r="B2" s="5"/>
      <c r="C2" s="5"/>
      <c r="D2" s="5"/>
      <c r="E2" s="5"/>
      <c r="F2" s="5"/>
      <c r="G2" s="5"/>
      <c r="H2" s="5"/>
    </row>
    <row r="3">
      <c r="A3" s="7" t="s">
        <v>8</v>
      </c>
      <c r="B3" s="5"/>
      <c r="C3" s="5"/>
      <c r="D3" s="5"/>
      <c r="E3" s="5"/>
      <c r="F3" s="5"/>
      <c r="G3" s="5"/>
      <c r="H3" s="5"/>
    </row>
    <row r="4">
      <c r="A4" s="5"/>
      <c r="B4" s="5"/>
      <c r="C4" s="5"/>
      <c r="D4" s="5"/>
      <c r="E4" s="5"/>
      <c r="F4" s="5"/>
      <c r="G4" s="5"/>
      <c r="H4" s="5"/>
    </row>
    <row r="5">
      <c r="A5" s="11" t="s">
        <v>10</v>
      </c>
      <c r="B5" s="11" t="s">
        <v>15</v>
      </c>
      <c r="C5" s="11" t="s">
        <v>16</v>
      </c>
      <c r="D5" s="11" t="s">
        <v>17</v>
      </c>
      <c r="E5" s="11" t="s">
        <v>18</v>
      </c>
      <c r="F5" s="11" t="s">
        <v>19</v>
      </c>
      <c r="G5" s="11" t="s">
        <v>21</v>
      </c>
      <c r="H5" s="11" t="s">
        <v>22</v>
      </c>
    </row>
    <row r="6">
      <c r="A6" s="16" t="s">
        <v>29</v>
      </c>
      <c r="B6" s="16"/>
      <c r="C6" s="16"/>
      <c r="D6" s="16"/>
      <c r="E6" s="19"/>
      <c r="F6" s="19"/>
      <c r="G6" s="21"/>
      <c r="H6" s="23"/>
    </row>
    <row r="7">
      <c r="A7" s="26"/>
      <c r="B7" s="26" t="s">
        <v>44</v>
      </c>
      <c r="C7" s="26"/>
      <c r="D7" s="26"/>
      <c r="E7" s="27"/>
      <c r="F7" s="27"/>
      <c r="G7" s="30"/>
      <c r="H7" s="33"/>
    </row>
    <row r="8">
      <c r="A8" s="35"/>
      <c r="B8" s="35"/>
      <c r="C8" s="35" t="s">
        <v>61</v>
      </c>
      <c r="D8" s="35"/>
      <c r="E8" s="37" t="s">
        <v>64</v>
      </c>
      <c r="F8" s="37" t="s">
        <v>66</v>
      </c>
      <c r="G8" s="40" t="s">
        <v>67</v>
      </c>
      <c r="H8" s="43" t="s">
        <v>72</v>
      </c>
    </row>
    <row r="9">
      <c r="A9" s="35"/>
      <c r="B9" s="35"/>
      <c r="C9" s="35" t="s">
        <v>81</v>
      </c>
      <c r="D9" s="35"/>
      <c r="E9" s="37" t="s">
        <v>82</v>
      </c>
      <c r="F9" s="37" t="s">
        <v>84</v>
      </c>
      <c r="G9" s="40" t="s">
        <v>85</v>
      </c>
      <c r="H9" s="43" t="s">
        <v>86</v>
      </c>
    </row>
    <row r="10">
      <c r="A10" s="35"/>
      <c r="B10" s="35"/>
      <c r="C10" s="35" t="s">
        <v>88</v>
      </c>
      <c r="D10" s="35"/>
      <c r="E10" s="37" t="s">
        <v>89</v>
      </c>
      <c r="F10" s="37" t="s">
        <v>90</v>
      </c>
      <c r="G10" s="40" t="s">
        <v>91</v>
      </c>
      <c r="H10" s="43" t="s">
        <v>92</v>
      </c>
    </row>
    <row r="11">
      <c r="A11" s="35"/>
      <c r="B11" s="35"/>
      <c r="C11" s="35" t="s">
        <v>94</v>
      </c>
      <c r="D11" s="35"/>
      <c r="E11" s="37" t="s">
        <v>96</v>
      </c>
      <c r="F11" s="37" t="s">
        <v>97</v>
      </c>
      <c r="G11" s="40" t="s">
        <v>67</v>
      </c>
      <c r="H11" s="43" t="s">
        <v>98</v>
      </c>
    </row>
    <row r="12">
      <c r="A12" s="26"/>
      <c r="B12" s="26" t="s">
        <v>100</v>
      </c>
      <c r="C12" s="26"/>
      <c r="D12" s="26"/>
      <c r="E12" s="27"/>
      <c r="F12" s="27"/>
      <c r="G12" s="30"/>
      <c r="H12" s="33"/>
    </row>
    <row r="13">
      <c r="A13" s="35"/>
      <c r="B13" s="35"/>
      <c r="C13" s="35" t="s">
        <v>101</v>
      </c>
      <c r="D13" s="35"/>
      <c r="E13" s="37" t="s">
        <v>102</v>
      </c>
      <c r="F13" s="37" t="s">
        <v>103</v>
      </c>
      <c r="G13" s="40" t="s">
        <v>85</v>
      </c>
      <c r="H13" s="43" t="s">
        <v>105</v>
      </c>
    </row>
    <row r="14">
      <c r="A14" s="35"/>
      <c r="B14" s="35"/>
      <c r="C14" s="35" t="s">
        <v>106</v>
      </c>
      <c r="D14" s="35"/>
      <c r="E14" s="37" t="s">
        <v>108</v>
      </c>
      <c r="F14" s="37" t="s">
        <v>109</v>
      </c>
      <c r="G14" s="40" t="s">
        <v>91</v>
      </c>
      <c r="H14" s="43" t="s">
        <v>110</v>
      </c>
    </row>
    <row r="15">
      <c r="A15" s="26"/>
      <c r="B15" s="26" t="s">
        <v>115</v>
      </c>
      <c r="C15" s="26"/>
      <c r="D15" s="26"/>
      <c r="E15" s="27"/>
      <c r="F15" s="27"/>
      <c r="G15" s="30"/>
      <c r="H15" s="33"/>
    </row>
    <row r="16">
      <c r="A16" s="35"/>
      <c r="B16" s="35"/>
      <c r="C16" s="35" t="s">
        <v>122</v>
      </c>
      <c r="D16" s="35"/>
      <c r="E16" s="37" t="s">
        <v>123</v>
      </c>
      <c r="F16" s="37" t="s">
        <v>124</v>
      </c>
      <c r="G16" s="40" t="s">
        <v>67</v>
      </c>
      <c r="H16" s="43" t="s">
        <v>127</v>
      </c>
    </row>
    <row r="17">
      <c r="A17" s="35"/>
      <c r="B17" s="35"/>
      <c r="C17" s="35" t="s">
        <v>132</v>
      </c>
      <c r="D17" s="35"/>
      <c r="E17" s="37" t="s">
        <v>134</v>
      </c>
      <c r="F17" s="37" t="s">
        <v>135</v>
      </c>
      <c r="G17" s="40" t="s">
        <v>67</v>
      </c>
      <c r="H17" s="43" t="s">
        <v>137</v>
      </c>
    </row>
    <row r="18">
      <c r="A18" s="35"/>
      <c r="B18" s="35"/>
      <c r="C18" s="35" t="s">
        <v>143</v>
      </c>
      <c r="D18" s="35"/>
      <c r="E18" s="37" t="s">
        <v>144</v>
      </c>
      <c r="F18" s="37" t="s">
        <v>146</v>
      </c>
      <c r="G18" s="40" t="s">
        <v>85</v>
      </c>
      <c r="H18" s="43" t="s">
        <v>150</v>
      </c>
    </row>
    <row r="19">
      <c r="A19" s="16" t="s">
        <v>152</v>
      </c>
      <c r="B19" s="16"/>
      <c r="C19" s="16"/>
      <c r="D19" s="16"/>
      <c r="E19" s="19"/>
      <c r="F19" s="19"/>
      <c r="G19" s="21"/>
      <c r="H19" s="23"/>
    </row>
    <row r="20">
      <c r="A20" s="26"/>
      <c r="B20" s="26" t="s">
        <v>157</v>
      </c>
      <c r="C20" s="26"/>
      <c r="D20" s="26"/>
      <c r="E20" s="27" t="s">
        <v>159</v>
      </c>
      <c r="F20" s="27"/>
      <c r="G20" s="30"/>
      <c r="H20" s="33"/>
    </row>
    <row r="21" ht="15.75" customHeight="1">
      <c r="A21" s="35"/>
      <c r="B21" s="35"/>
      <c r="C21" s="35" t="s">
        <v>160</v>
      </c>
      <c r="D21" s="35"/>
      <c r="E21" s="37" t="s">
        <v>161</v>
      </c>
      <c r="F21" s="37" t="s">
        <v>163</v>
      </c>
      <c r="G21" s="40" t="s">
        <v>67</v>
      </c>
      <c r="H21" s="43" t="s">
        <v>164</v>
      </c>
    </row>
    <row r="22" ht="15.75" customHeight="1">
      <c r="A22" s="35"/>
      <c r="B22" s="35"/>
      <c r="C22" s="35"/>
      <c r="D22" s="35" t="s">
        <v>169</v>
      </c>
      <c r="E22" s="37" t="s">
        <v>170</v>
      </c>
      <c r="F22" s="37" t="s">
        <v>171</v>
      </c>
      <c r="G22" s="40" t="s">
        <v>85</v>
      </c>
      <c r="H22" s="43" t="s">
        <v>172</v>
      </c>
    </row>
    <row r="23" ht="15.75" customHeight="1">
      <c r="A23" s="35"/>
      <c r="B23" s="35"/>
      <c r="C23" s="35" t="s">
        <v>176</v>
      </c>
      <c r="D23" s="35"/>
      <c r="E23" s="37" t="s">
        <v>177</v>
      </c>
      <c r="F23" s="37" t="s">
        <v>179</v>
      </c>
      <c r="G23" s="40" t="s">
        <v>67</v>
      </c>
      <c r="H23" s="43" t="s">
        <v>182</v>
      </c>
    </row>
    <row r="24" ht="15.75" customHeight="1">
      <c r="A24" s="35"/>
      <c r="B24" s="35"/>
      <c r="C24" s="35" t="s">
        <v>186</v>
      </c>
      <c r="D24" s="35"/>
      <c r="E24" s="37" t="s">
        <v>189</v>
      </c>
      <c r="F24" s="37" t="s">
        <v>190</v>
      </c>
      <c r="G24" s="40" t="s">
        <v>67</v>
      </c>
      <c r="H24" s="43" t="s">
        <v>192</v>
      </c>
    </row>
    <row r="25" ht="15.75" customHeight="1">
      <c r="A25" s="35"/>
      <c r="B25" s="35"/>
      <c r="C25" s="35" t="s">
        <v>195</v>
      </c>
      <c r="D25" s="35"/>
      <c r="E25" s="37" t="s">
        <v>197</v>
      </c>
      <c r="F25" s="37" t="s">
        <v>198</v>
      </c>
      <c r="G25" s="40" t="s">
        <v>67</v>
      </c>
      <c r="H25" s="43" t="s">
        <v>201</v>
      </c>
    </row>
    <row r="26" ht="15.75" customHeight="1">
      <c r="A26" s="35"/>
      <c r="B26" s="35"/>
      <c r="C26" s="35" t="s">
        <v>202</v>
      </c>
      <c r="D26" s="35"/>
      <c r="E26" s="37" t="s">
        <v>204</v>
      </c>
      <c r="F26" s="37" t="s">
        <v>205</v>
      </c>
      <c r="G26" s="40" t="s">
        <v>67</v>
      </c>
      <c r="H26" s="43" t="s">
        <v>207</v>
      </c>
    </row>
    <row r="27" ht="15.75" customHeight="1">
      <c r="A27" s="35"/>
      <c r="B27" s="35"/>
      <c r="C27" s="35" t="s">
        <v>209</v>
      </c>
      <c r="D27" s="35"/>
      <c r="E27" s="37" t="s">
        <v>211</v>
      </c>
      <c r="F27" s="37" t="s">
        <v>213</v>
      </c>
      <c r="G27" s="40" t="s">
        <v>67</v>
      </c>
      <c r="H27" s="43" t="s">
        <v>214</v>
      </c>
    </row>
    <row r="28" ht="15.75" customHeight="1">
      <c r="A28" s="35"/>
      <c r="B28" s="35"/>
      <c r="C28" s="35" t="s">
        <v>215</v>
      </c>
      <c r="D28" s="35"/>
      <c r="E28" s="37" t="s">
        <v>219</v>
      </c>
      <c r="F28" s="37" t="s">
        <v>221</v>
      </c>
      <c r="G28" s="40" t="s">
        <v>67</v>
      </c>
      <c r="H28" s="43" t="s">
        <v>224</v>
      </c>
    </row>
    <row r="29" ht="15.75" customHeight="1">
      <c r="A29" s="35"/>
      <c r="B29" s="35"/>
      <c r="C29" s="35" t="s">
        <v>227</v>
      </c>
      <c r="D29" s="35"/>
      <c r="E29" s="37" t="s">
        <v>229</v>
      </c>
      <c r="F29" s="37" t="s">
        <v>230</v>
      </c>
      <c r="G29" s="40" t="s">
        <v>85</v>
      </c>
      <c r="H29" s="43" t="s">
        <v>233</v>
      </c>
    </row>
    <row r="30" ht="15.75" customHeight="1">
      <c r="A30" s="35"/>
      <c r="B30" s="35"/>
      <c r="C30" s="35" t="s">
        <v>235</v>
      </c>
      <c r="D30" s="35"/>
      <c r="E30" s="37" t="s">
        <v>236</v>
      </c>
      <c r="F30" s="37" t="s">
        <v>237</v>
      </c>
      <c r="G30" s="40" t="s">
        <v>67</v>
      </c>
      <c r="H30" s="43" t="s">
        <v>239</v>
      </c>
    </row>
    <row r="31" ht="15.75" customHeight="1">
      <c r="A31" s="26"/>
      <c r="B31" s="26" t="s">
        <v>241</v>
      </c>
      <c r="C31" s="26"/>
      <c r="D31" s="26"/>
      <c r="E31" s="27" t="s">
        <v>244</v>
      </c>
      <c r="F31" s="27"/>
      <c r="G31" s="30"/>
      <c r="H31" s="33"/>
    </row>
    <row r="32" ht="15.75" customHeight="1">
      <c r="A32" s="35"/>
      <c r="B32" s="35"/>
      <c r="C32" s="35" t="s">
        <v>249</v>
      </c>
      <c r="D32" s="35"/>
      <c r="E32" s="37" t="s">
        <v>251</v>
      </c>
      <c r="F32" s="37" t="s">
        <v>253</v>
      </c>
      <c r="G32" s="40" t="s">
        <v>67</v>
      </c>
      <c r="H32" s="43" t="s">
        <v>256</v>
      </c>
    </row>
    <row r="33" ht="15.75" customHeight="1">
      <c r="A33" s="35"/>
      <c r="B33" s="35"/>
      <c r="C33" s="35" t="s">
        <v>261</v>
      </c>
      <c r="D33" s="35"/>
      <c r="E33" s="37" t="s">
        <v>262</v>
      </c>
      <c r="F33" s="37" t="s">
        <v>263</v>
      </c>
      <c r="G33" s="40" t="s">
        <v>67</v>
      </c>
      <c r="H33" s="43" t="s">
        <v>264</v>
      </c>
    </row>
    <row r="34" ht="15.75" customHeight="1">
      <c r="A34" s="35"/>
      <c r="B34" s="35"/>
      <c r="C34" s="35" t="s">
        <v>265</v>
      </c>
      <c r="D34" s="35"/>
      <c r="E34" s="37" t="s">
        <v>266</v>
      </c>
      <c r="F34" s="37" t="s">
        <v>268</v>
      </c>
      <c r="G34" s="40" t="s">
        <v>67</v>
      </c>
      <c r="H34" s="43" t="s">
        <v>270</v>
      </c>
    </row>
    <row r="35" ht="15.75" customHeight="1">
      <c r="A35" s="35"/>
      <c r="B35" s="35"/>
      <c r="C35" s="35" t="s">
        <v>273</v>
      </c>
      <c r="D35" s="35"/>
      <c r="E35" s="37" t="s">
        <v>275</v>
      </c>
      <c r="F35" s="37" t="s">
        <v>276</v>
      </c>
      <c r="G35" s="40" t="s">
        <v>67</v>
      </c>
      <c r="H35" s="43" t="s">
        <v>279</v>
      </c>
    </row>
    <row r="36" ht="15.75" customHeight="1">
      <c r="A36" s="35"/>
      <c r="B36" s="35"/>
      <c r="C36" s="35" t="s">
        <v>284</v>
      </c>
      <c r="D36" s="35"/>
      <c r="E36" s="37" t="s">
        <v>285</v>
      </c>
      <c r="F36" s="37" t="s">
        <v>287</v>
      </c>
      <c r="G36" s="40" t="s">
        <v>67</v>
      </c>
      <c r="H36" s="43" t="s">
        <v>290</v>
      </c>
    </row>
    <row r="37" ht="15.75" customHeight="1">
      <c r="A37" s="35"/>
      <c r="B37" s="35"/>
      <c r="C37" s="35" t="s">
        <v>291</v>
      </c>
      <c r="D37" s="35"/>
      <c r="E37" s="37" t="s">
        <v>292</v>
      </c>
      <c r="F37" s="37" t="s">
        <v>293</v>
      </c>
      <c r="G37" s="40" t="s">
        <v>67</v>
      </c>
      <c r="H37" s="43" t="s">
        <v>295</v>
      </c>
    </row>
    <row r="38" ht="15.75" customHeight="1">
      <c r="A38" s="26"/>
      <c r="B38" s="26" t="s">
        <v>296</v>
      </c>
      <c r="C38" s="26"/>
      <c r="D38" s="26"/>
      <c r="E38" s="27" t="s">
        <v>297</v>
      </c>
      <c r="F38" s="27"/>
      <c r="G38" s="30"/>
      <c r="H38" s="33"/>
    </row>
    <row r="39" ht="15.75" customHeight="1">
      <c r="A39" s="35"/>
      <c r="B39" s="35"/>
      <c r="C39" s="35" t="s">
        <v>300</v>
      </c>
      <c r="D39" s="35"/>
      <c r="E39" s="37" t="s">
        <v>302</v>
      </c>
      <c r="F39" s="37" t="s">
        <v>303</v>
      </c>
      <c r="G39" s="40" t="s">
        <v>67</v>
      </c>
      <c r="H39" s="43" t="s">
        <v>305</v>
      </c>
    </row>
    <row r="40" ht="15.75" customHeight="1">
      <c r="A40" s="35"/>
      <c r="B40" s="35"/>
      <c r="C40" s="35" t="s">
        <v>308</v>
      </c>
      <c r="D40" s="35"/>
      <c r="E40" s="37" t="s">
        <v>310</v>
      </c>
      <c r="F40" s="37" t="s">
        <v>312</v>
      </c>
      <c r="G40" s="40" t="s">
        <v>67</v>
      </c>
      <c r="H40" s="43" t="s">
        <v>315</v>
      </c>
    </row>
    <row r="41" ht="15.75" customHeight="1">
      <c r="A41" s="35"/>
      <c r="B41" s="35"/>
      <c r="C41" s="35" t="s">
        <v>317</v>
      </c>
      <c r="D41" s="35" t="s">
        <v>318</v>
      </c>
      <c r="E41" s="37" t="s">
        <v>319</v>
      </c>
      <c r="F41" s="37" t="s">
        <v>321</v>
      </c>
      <c r="G41" s="40" t="s">
        <v>67</v>
      </c>
      <c r="H41" s="43" t="s">
        <v>323</v>
      </c>
    </row>
    <row r="42" ht="15.75" customHeight="1">
      <c r="A42" s="35"/>
      <c r="B42" s="35"/>
      <c r="C42" s="35"/>
      <c r="D42" s="35" t="s">
        <v>324</v>
      </c>
      <c r="E42" s="37" t="s">
        <v>326</v>
      </c>
      <c r="F42" s="37" t="s">
        <v>327</v>
      </c>
      <c r="G42" s="40" t="s">
        <v>328</v>
      </c>
      <c r="H42" s="43" t="s">
        <v>331</v>
      </c>
    </row>
    <row r="43" ht="15.75" customHeight="1">
      <c r="A43" s="35"/>
      <c r="B43" s="35"/>
      <c r="C43" s="35"/>
      <c r="D43" s="35" t="s">
        <v>336</v>
      </c>
      <c r="E43" s="37" t="s">
        <v>338</v>
      </c>
      <c r="F43" s="37" t="s">
        <v>340</v>
      </c>
      <c r="G43" s="40" t="s">
        <v>67</v>
      </c>
      <c r="H43" s="43" t="s">
        <v>344</v>
      </c>
    </row>
    <row r="44" ht="15.75" customHeight="1">
      <c r="A44" s="35"/>
      <c r="B44" s="35"/>
      <c r="C44" s="35"/>
      <c r="D44" s="35" t="s">
        <v>349</v>
      </c>
      <c r="E44" s="37" t="s">
        <v>351</v>
      </c>
      <c r="F44" s="37" t="s">
        <v>352</v>
      </c>
      <c r="G44" s="40" t="s">
        <v>67</v>
      </c>
      <c r="H44" s="43" t="s">
        <v>353</v>
      </c>
    </row>
    <row r="45" ht="15.75" customHeight="1">
      <c r="A45" s="35"/>
      <c r="B45" s="35"/>
      <c r="C45" s="35" t="s">
        <v>354</v>
      </c>
      <c r="D45" s="35"/>
      <c r="E45" s="37" t="s">
        <v>355</v>
      </c>
      <c r="F45" s="37" t="s">
        <v>356</v>
      </c>
      <c r="G45" s="40" t="s">
        <v>67</v>
      </c>
      <c r="H45" s="43" t="s">
        <v>357</v>
      </c>
    </row>
    <row r="46" ht="15.75" customHeight="1">
      <c r="A46" s="35"/>
      <c r="B46" s="35"/>
      <c r="C46" s="35" t="s">
        <v>360</v>
      </c>
      <c r="D46" s="35"/>
      <c r="E46" s="37" t="s">
        <v>362</v>
      </c>
      <c r="F46" s="37" t="s">
        <v>363</v>
      </c>
      <c r="G46" s="40" t="s">
        <v>67</v>
      </c>
      <c r="H46" s="43" t="s">
        <v>367</v>
      </c>
    </row>
    <row r="47" ht="15.75" customHeight="1">
      <c r="A47" s="35"/>
      <c r="B47" s="35"/>
      <c r="C47" s="35" t="s">
        <v>371</v>
      </c>
      <c r="D47" s="35"/>
      <c r="E47" s="37" t="s">
        <v>373</v>
      </c>
      <c r="F47" s="37" t="s">
        <v>376</v>
      </c>
      <c r="G47" s="40" t="s">
        <v>67</v>
      </c>
      <c r="H47" s="43" t="s">
        <v>379</v>
      </c>
    </row>
    <row r="48" ht="15.75" customHeight="1">
      <c r="A48" s="35"/>
      <c r="B48" s="35"/>
      <c r="C48" s="35" t="s">
        <v>380</v>
      </c>
      <c r="D48" s="35"/>
      <c r="E48" s="37" t="s">
        <v>381</v>
      </c>
      <c r="F48" s="37" t="s">
        <v>382</v>
      </c>
      <c r="G48" s="40" t="s">
        <v>67</v>
      </c>
      <c r="H48" s="43" t="s">
        <v>315</v>
      </c>
    </row>
    <row r="49" ht="15.75" customHeight="1">
      <c r="A49" s="35"/>
      <c r="B49" s="35"/>
      <c r="C49" s="35" t="s">
        <v>383</v>
      </c>
      <c r="D49" s="35"/>
      <c r="E49" s="37" t="s">
        <v>387</v>
      </c>
      <c r="F49" s="37" t="s">
        <v>389</v>
      </c>
      <c r="G49" s="40" t="s">
        <v>67</v>
      </c>
      <c r="H49" s="43" t="s">
        <v>390</v>
      </c>
    </row>
    <row r="50" ht="15.75" customHeight="1">
      <c r="A50" s="26"/>
      <c r="B50" s="26" t="s">
        <v>394</v>
      </c>
      <c r="C50" s="26"/>
      <c r="D50" s="26"/>
      <c r="E50" s="27" t="s">
        <v>398</v>
      </c>
      <c r="F50" s="27"/>
      <c r="G50" s="30"/>
      <c r="H50" s="33"/>
    </row>
    <row r="51" ht="15.75" customHeight="1">
      <c r="A51" s="35"/>
      <c r="B51" s="35"/>
      <c r="C51" s="35" t="s">
        <v>401</v>
      </c>
      <c r="D51" s="35"/>
      <c r="E51" s="37" t="s">
        <v>404</v>
      </c>
      <c r="F51" s="37" t="s">
        <v>406</v>
      </c>
      <c r="G51" s="40" t="s">
        <v>67</v>
      </c>
      <c r="H51" s="43" t="s">
        <v>407</v>
      </c>
    </row>
    <row r="52" ht="15.75" customHeight="1">
      <c r="A52" s="35"/>
      <c r="B52" s="35"/>
      <c r="C52" s="35"/>
      <c r="D52" s="35" t="s">
        <v>408</v>
      </c>
      <c r="E52" s="37" t="s">
        <v>409</v>
      </c>
      <c r="F52" s="37" t="s">
        <v>410</v>
      </c>
      <c r="G52" s="40" t="s">
        <v>67</v>
      </c>
      <c r="H52" s="43" t="s">
        <v>412</v>
      </c>
    </row>
    <row r="53" ht="15.75" customHeight="1">
      <c r="A53" s="35"/>
      <c r="B53" s="35"/>
      <c r="C53" s="35" t="s">
        <v>414</v>
      </c>
      <c r="D53" s="35"/>
      <c r="E53" s="37" t="s">
        <v>416</v>
      </c>
      <c r="F53" s="37" t="s">
        <v>418</v>
      </c>
      <c r="G53" s="40" t="s">
        <v>67</v>
      </c>
      <c r="H53" s="43" t="s">
        <v>419</v>
      </c>
    </row>
    <row r="54" ht="15.75" customHeight="1">
      <c r="A54" s="35"/>
      <c r="B54" s="35"/>
      <c r="C54" s="35" t="s">
        <v>421</v>
      </c>
      <c r="D54" s="35"/>
      <c r="E54" s="37" t="s">
        <v>424</v>
      </c>
      <c r="F54" s="37" t="s">
        <v>426</v>
      </c>
      <c r="G54" s="40" t="s">
        <v>67</v>
      </c>
      <c r="H54" s="43" t="s">
        <v>427</v>
      </c>
    </row>
    <row r="55" ht="15.75" customHeight="1">
      <c r="A55" s="35"/>
      <c r="B55" s="35"/>
      <c r="C55" s="35" t="s">
        <v>430</v>
      </c>
      <c r="D55" s="35"/>
      <c r="E55" s="37" t="s">
        <v>431</v>
      </c>
      <c r="F55" s="37" t="s">
        <v>432</v>
      </c>
      <c r="G55" s="40" t="s">
        <v>67</v>
      </c>
      <c r="H55" s="43" t="s">
        <v>433</v>
      </c>
    </row>
    <row r="56" ht="15.75" customHeight="1">
      <c r="A56" s="35"/>
      <c r="B56" s="35"/>
      <c r="C56" s="35" t="s">
        <v>434</v>
      </c>
      <c r="D56" s="35"/>
      <c r="E56" s="37" t="s">
        <v>435</v>
      </c>
      <c r="F56" s="37" t="s">
        <v>437</v>
      </c>
      <c r="G56" s="40" t="s">
        <v>67</v>
      </c>
      <c r="H56" s="43" t="s">
        <v>439</v>
      </c>
    </row>
    <row r="57" ht="15.75" customHeight="1">
      <c r="A57" s="35"/>
      <c r="B57" s="35"/>
      <c r="C57" s="35" t="s">
        <v>443</v>
      </c>
      <c r="D57" s="35"/>
      <c r="E57" s="37" t="s">
        <v>444</v>
      </c>
      <c r="F57" s="37" t="s">
        <v>446</v>
      </c>
      <c r="G57" s="40" t="s">
        <v>67</v>
      </c>
      <c r="H57" s="43" t="s">
        <v>449</v>
      </c>
    </row>
    <row r="58" ht="15.75" customHeight="1">
      <c r="A58" s="35"/>
      <c r="B58" s="35"/>
      <c r="C58" s="35" t="s">
        <v>451</v>
      </c>
      <c r="D58" s="35"/>
      <c r="E58" s="37" t="s">
        <v>454</v>
      </c>
      <c r="F58" s="37" t="s">
        <v>455</v>
      </c>
      <c r="G58" s="40" t="s">
        <v>85</v>
      </c>
      <c r="H58" s="43" t="s">
        <v>456</v>
      </c>
    </row>
    <row r="59" ht="15.75" customHeight="1">
      <c r="A59" s="35"/>
      <c r="B59" s="35"/>
      <c r="C59" s="35" t="s">
        <v>458</v>
      </c>
      <c r="D59" s="35"/>
      <c r="E59" s="37" t="s">
        <v>459</v>
      </c>
      <c r="F59" s="37" t="s">
        <v>461</v>
      </c>
      <c r="G59" s="40" t="s">
        <v>67</v>
      </c>
      <c r="H59" s="43" t="s">
        <v>462</v>
      </c>
    </row>
    <row r="60" ht="15.75" customHeight="1">
      <c r="A60" s="35"/>
      <c r="B60" s="35"/>
      <c r="C60" s="35" t="s">
        <v>291</v>
      </c>
      <c r="D60" s="35"/>
      <c r="E60" s="37" t="s">
        <v>467</v>
      </c>
      <c r="F60" s="37" t="s">
        <v>469</v>
      </c>
      <c r="G60" s="40" t="s">
        <v>67</v>
      </c>
      <c r="H60" s="43" t="s">
        <v>295</v>
      </c>
    </row>
    <row r="61" ht="15.75" customHeight="1">
      <c r="A61" s="26"/>
      <c r="B61" s="26" t="s">
        <v>473</v>
      </c>
      <c r="C61" s="26"/>
      <c r="D61" s="26"/>
      <c r="E61" s="27" t="s">
        <v>475</v>
      </c>
      <c r="F61" s="27"/>
      <c r="G61" s="30"/>
      <c r="H61" s="33"/>
    </row>
    <row r="62" ht="15.75" customHeight="1">
      <c r="A62" s="35"/>
      <c r="B62" s="35"/>
      <c r="C62" s="35" t="s">
        <v>477</v>
      </c>
      <c r="D62" s="70" t="s">
        <v>480</v>
      </c>
      <c r="E62" s="37" t="s">
        <v>490</v>
      </c>
      <c r="F62" s="37" t="s">
        <v>491</v>
      </c>
      <c r="G62" s="40" t="s">
        <v>67</v>
      </c>
      <c r="H62" s="43" t="s">
        <v>494</v>
      </c>
    </row>
    <row r="63" ht="15.75" customHeight="1">
      <c r="A63" s="35"/>
      <c r="B63" s="35"/>
      <c r="C63" s="35"/>
      <c r="D63" s="35" t="s">
        <v>85</v>
      </c>
      <c r="E63" s="37" t="s">
        <v>498</v>
      </c>
      <c r="F63" s="37" t="s">
        <v>500</v>
      </c>
      <c r="G63" s="40" t="s">
        <v>85</v>
      </c>
      <c r="H63" s="43" t="s">
        <v>503</v>
      </c>
    </row>
    <row r="64" ht="15.75" customHeight="1">
      <c r="A64" s="35"/>
      <c r="B64" s="35"/>
      <c r="C64" s="35" t="s">
        <v>505</v>
      </c>
      <c r="D64" s="35"/>
      <c r="E64" s="37" t="s">
        <v>506</v>
      </c>
      <c r="F64" s="37" t="s">
        <v>507</v>
      </c>
      <c r="G64" s="40" t="s">
        <v>67</v>
      </c>
      <c r="H64" s="43" t="s">
        <v>503</v>
      </c>
    </row>
    <row r="65" ht="15.75" customHeight="1">
      <c r="A65" s="35"/>
      <c r="B65" s="35"/>
      <c r="C65" s="35"/>
      <c r="D65" s="35" t="s">
        <v>508</v>
      </c>
      <c r="E65" s="37" t="s">
        <v>511</v>
      </c>
      <c r="F65" s="37" t="s">
        <v>513</v>
      </c>
      <c r="G65" s="40" t="s">
        <v>67</v>
      </c>
      <c r="H65" s="43" t="s">
        <v>515</v>
      </c>
    </row>
    <row r="66" ht="15.75" customHeight="1">
      <c r="A66" s="35"/>
      <c r="B66" s="35"/>
      <c r="C66" s="35"/>
      <c r="D66" s="35" t="s">
        <v>519</v>
      </c>
      <c r="E66" s="37" t="s">
        <v>521</v>
      </c>
      <c r="F66" s="37" t="s">
        <v>523</v>
      </c>
      <c r="G66" s="40" t="s">
        <v>67</v>
      </c>
      <c r="H66" s="43" t="s">
        <v>525</v>
      </c>
    </row>
    <row r="67" ht="15.75" customHeight="1">
      <c r="A67" s="35"/>
      <c r="B67" s="35"/>
      <c r="C67" s="35"/>
      <c r="D67" s="35" t="s">
        <v>527</v>
      </c>
      <c r="E67" s="37" t="s">
        <v>528</v>
      </c>
      <c r="F67" s="37" t="s">
        <v>529</v>
      </c>
      <c r="G67" s="40" t="s">
        <v>67</v>
      </c>
      <c r="H67" s="43" t="s">
        <v>530</v>
      </c>
    </row>
    <row r="68" ht="15.75" customHeight="1">
      <c r="A68" s="35"/>
      <c r="B68" s="35"/>
      <c r="C68" s="35"/>
      <c r="D68" s="35" t="s">
        <v>534</v>
      </c>
      <c r="E68" s="37" t="s">
        <v>536</v>
      </c>
      <c r="F68" s="37" t="s">
        <v>537</v>
      </c>
      <c r="G68" s="40" t="s">
        <v>67</v>
      </c>
      <c r="H68" s="43" t="s">
        <v>539</v>
      </c>
    </row>
    <row r="69" ht="15.75" customHeight="1">
      <c r="A69" s="35"/>
      <c r="B69" s="35"/>
      <c r="C69" s="35"/>
      <c r="D69" s="35" t="s">
        <v>542</v>
      </c>
      <c r="E69" s="37" t="s">
        <v>544</v>
      </c>
      <c r="F69" s="37" t="s">
        <v>546</v>
      </c>
      <c r="G69" s="40" t="s">
        <v>67</v>
      </c>
      <c r="H69" s="43" t="s">
        <v>548</v>
      </c>
    </row>
    <row r="70" ht="15.75" customHeight="1">
      <c r="A70" s="35"/>
      <c r="B70" s="35"/>
      <c r="C70" s="35"/>
      <c r="D70" s="35" t="s">
        <v>551</v>
      </c>
      <c r="E70" s="37" t="s">
        <v>552</v>
      </c>
      <c r="F70" s="37" t="s">
        <v>553</v>
      </c>
      <c r="G70" s="40" t="s">
        <v>85</v>
      </c>
      <c r="H70" s="43" t="s">
        <v>554</v>
      </c>
    </row>
    <row r="71" ht="15.75" customHeight="1">
      <c r="A71" s="35"/>
      <c r="B71" s="35"/>
      <c r="C71" s="35" t="s">
        <v>555</v>
      </c>
      <c r="D71" s="35"/>
      <c r="E71" s="37" t="s">
        <v>557</v>
      </c>
      <c r="F71" s="37" t="s">
        <v>559</v>
      </c>
      <c r="G71" s="40" t="s">
        <v>67</v>
      </c>
      <c r="H71" s="43" t="s">
        <v>561</v>
      </c>
    </row>
    <row r="72" ht="15.75" customHeight="1">
      <c r="A72" s="35"/>
      <c r="B72" s="35"/>
      <c r="C72" s="35" t="s">
        <v>563</v>
      </c>
      <c r="D72" s="35"/>
      <c r="E72" s="37" t="s">
        <v>566</v>
      </c>
      <c r="F72" s="37" t="s">
        <v>567</v>
      </c>
      <c r="G72" s="40" t="s">
        <v>67</v>
      </c>
      <c r="H72" s="43" t="s">
        <v>569</v>
      </c>
    </row>
    <row r="73" ht="15.75" customHeight="1">
      <c r="A73" s="35"/>
      <c r="B73" s="35"/>
      <c r="C73" s="35" t="s">
        <v>572</v>
      </c>
      <c r="D73" s="35"/>
      <c r="E73" s="37" t="s">
        <v>573</v>
      </c>
      <c r="F73" s="37" t="s">
        <v>575</v>
      </c>
      <c r="G73" s="40" t="s">
        <v>85</v>
      </c>
      <c r="H73" s="43" t="s">
        <v>576</v>
      </c>
    </row>
    <row r="74" ht="15.75" customHeight="1">
      <c r="A74" s="35"/>
      <c r="B74" s="35"/>
      <c r="C74" s="35" t="s">
        <v>578</v>
      </c>
      <c r="D74" s="35"/>
      <c r="E74" s="37" t="s">
        <v>580</v>
      </c>
      <c r="F74" s="37" t="s">
        <v>581</v>
      </c>
      <c r="G74" s="40" t="s">
        <v>67</v>
      </c>
      <c r="H74" s="43" t="s">
        <v>583</v>
      </c>
    </row>
    <row r="75" ht="15.75" customHeight="1">
      <c r="A75" s="26"/>
      <c r="B75" s="26" t="s">
        <v>423</v>
      </c>
      <c r="C75" s="26"/>
      <c r="D75" s="26"/>
      <c r="E75" s="27" t="s">
        <v>589</v>
      </c>
      <c r="F75" s="27"/>
      <c r="G75" s="30"/>
      <c r="H75" s="33"/>
    </row>
    <row r="76" ht="15.75" customHeight="1">
      <c r="A76" s="35"/>
      <c r="B76" s="35"/>
      <c r="C76" s="35" t="s">
        <v>592</v>
      </c>
      <c r="D76" s="35"/>
      <c r="E76" s="37" t="s">
        <v>593</v>
      </c>
      <c r="F76" s="37" t="s">
        <v>594</v>
      </c>
      <c r="G76" s="40" t="s">
        <v>67</v>
      </c>
      <c r="H76" s="43" t="s">
        <v>595</v>
      </c>
    </row>
    <row r="77" ht="15.75" customHeight="1">
      <c r="A77" s="35"/>
      <c r="B77" s="35"/>
      <c r="C77" s="35" t="s">
        <v>597</v>
      </c>
      <c r="D77" s="35"/>
      <c r="E77" s="37" t="s">
        <v>599</v>
      </c>
      <c r="F77" s="37" t="s">
        <v>601</v>
      </c>
      <c r="G77" s="40" t="s">
        <v>67</v>
      </c>
      <c r="H77" s="43" t="s">
        <v>603</v>
      </c>
    </row>
    <row r="78" ht="15.75" customHeight="1">
      <c r="A78" s="35"/>
      <c r="B78" s="35"/>
      <c r="C78" s="35" t="s">
        <v>606</v>
      </c>
      <c r="D78" s="35"/>
      <c r="E78" s="37" t="s">
        <v>610</v>
      </c>
      <c r="F78" s="37" t="s">
        <v>611</v>
      </c>
      <c r="G78" s="40" t="s">
        <v>67</v>
      </c>
      <c r="H78" s="43" t="s">
        <v>612</v>
      </c>
    </row>
    <row r="79" ht="15.75" customHeight="1">
      <c r="A79" s="35"/>
      <c r="B79" s="35"/>
      <c r="C79" s="35"/>
      <c r="D79" s="35" t="s">
        <v>614</v>
      </c>
      <c r="E79" s="37" t="s">
        <v>615</v>
      </c>
      <c r="F79" s="37" t="s">
        <v>616</v>
      </c>
      <c r="G79" s="40" t="s">
        <v>67</v>
      </c>
      <c r="H79" s="43" t="s">
        <v>612</v>
      </c>
    </row>
    <row r="80" ht="15.75" customHeight="1">
      <c r="A80" s="35"/>
      <c r="B80" s="35"/>
      <c r="C80" s="35"/>
      <c r="D80" s="35" t="s">
        <v>618</v>
      </c>
      <c r="E80" s="37" t="s">
        <v>619</v>
      </c>
      <c r="F80" s="37" t="s">
        <v>620</v>
      </c>
      <c r="G80" s="40" t="s">
        <v>67</v>
      </c>
      <c r="H80" s="43" t="s">
        <v>621</v>
      </c>
    </row>
    <row r="81" ht="15.75" customHeight="1">
      <c r="A81" s="35"/>
      <c r="B81" s="35"/>
      <c r="C81" s="35" t="s">
        <v>622</v>
      </c>
      <c r="D81" s="35" t="s">
        <v>623</v>
      </c>
      <c r="E81" s="37" t="s">
        <v>624</v>
      </c>
      <c r="F81" s="37" t="s">
        <v>625</v>
      </c>
      <c r="G81" s="40" t="s">
        <v>67</v>
      </c>
      <c r="H81" s="43" t="s">
        <v>627</v>
      </c>
    </row>
    <row r="82" ht="15.75" customHeight="1">
      <c r="A82" s="35"/>
      <c r="B82" s="35"/>
      <c r="C82" s="35"/>
      <c r="D82" s="35" t="s">
        <v>631</v>
      </c>
      <c r="E82" s="37" t="s">
        <v>632</v>
      </c>
      <c r="F82" s="37" t="s">
        <v>633</v>
      </c>
      <c r="G82" s="40" t="s">
        <v>634</v>
      </c>
      <c r="H82" s="43" t="s">
        <v>635</v>
      </c>
    </row>
    <row r="83" ht="15.75" customHeight="1">
      <c r="A83" s="35"/>
      <c r="B83" s="35"/>
      <c r="C83" s="35"/>
      <c r="D83" s="35" t="s">
        <v>637</v>
      </c>
      <c r="E83" s="37" t="s">
        <v>638</v>
      </c>
      <c r="F83" s="37" t="s">
        <v>639</v>
      </c>
      <c r="G83" s="40" t="s">
        <v>85</v>
      </c>
      <c r="H83" s="43" t="s">
        <v>640</v>
      </c>
    </row>
    <row r="84" ht="15.75" customHeight="1">
      <c r="A84" s="35"/>
      <c r="B84" s="35"/>
      <c r="C84" s="35"/>
      <c r="D84" s="35" t="s">
        <v>641</v>
      </c>
      <c r="E84" s="37" t="s">
        <v>642</v>
      </c>
      <c r="F84" s="37" t="s">
        <v>643</v>
      </c>
      <c r="G84" s="40" t="s">
        <v>85</v>
      </c>
      <c r="H84" s="43" t="s">
        <v>644</v>
      </c>
    </row>
    <row r="85" ht="15.75" customHeight="1">
      <c r="A85" s="35"/>
      <c r="B85" s="35"/>
      <c r="C85" s="35" t="s">
        <v>646</v>
      </c>
      <c r="D85" s="35"/>
      <c r="E85" s="37" t="s">
        <v>648</v>
      </c>
      <c r="F85" s="37" t="s">
        <v>649</v>
      </c>
      <c r="G85" s="40" t="s">
        <v>67</v>
      </c>
      <c r="H85" s="43" t="s">
        <v>651</v>
      </c>
    </row>
    <row r="86" ht="15.75" customHeight="1">
      <c r="A86" s="16" t="s">
        <v>653</v>
      </c>
      <c r="B86" s="16"/>
      <c r="C86" s="16"/>
      <c r="D86" s="16"/>
      <c r="E86" s="19"/>
      <c r="F86" s="19"/>
      <c r="G86" s="21"/>
      <c r="H86" s="23"/>
    </row>
    <row r="87" ht="15.75" customHeight="1">
      <c r="A87" s="26"/>
      <c r="B87" s="26" t="s">
        <v>41</v>
      </c>
      <c r="C87" s="26"/>
      <c r="D87" s="26"/>
      <c r="E87" s="27"/>
      <c r="F87" s="27"/>
      <c r="G87" s="30"/>
      <c r="H87" s="33"/>
    </row>
    <row r="88" ht="15.75" customHeight="1">
      <c r="A88" s="35"/>
      <c r="B88" s="35"/>
      <c r="C88" s="35" t="s">
        <v>659</v>
      </c>
      <c r="D88" s="35"/>
      <c r="E88" s="37" t="s">
        <v>660</v>
      </c>
      <c r="F88" s="37" t="s">
        <v>662</v>
      </c>
      <c r="G88" s="40" t="s">
        <v>67</v>
      </c>
      <c r="H88" s="43" t="s">
        <v>663</v>
      </c>
    </row>
    <row r="89" ht="15.75" customHeight="1">
      <c r="A89" s="35"/>
      <c r="B89" s="35"/>
      <c r="C89" s="35" t="s">
        <v>664</v>
      </c>
      <c r="D89" s="35"/>
      <c r="E89" s="37" t="s">
        <v>665</v>
      </c>
      <c r="F89" s="37" t="s">
        <v>667</v>
      </c>
      <c r="G89" s="40" t="s">
        <v>85</v>
      </c>
      <c r="H89" s="43" t="s">
        <v>669</v>
      </c>
    </row>
    <row r="90" ht="15.75" customHeight="1">
      <c r="A90" s="35"/>
      <c r="B90" s="35"/>
      <c r="C90" s="35" t="s">
        <v>671</v>
      </c>
      <c r="D90" s="35"/>
      <c r="E90" s="37" t="s">
        <v>673</v>
      </c>
      <c r="F90" s="37" t="s">
        <v>675</v>
      </c>
      <c r="G90" s="40" t="s">
        <v>85</v>
      </c>
      <c r="H90" s="43" t="s">
        <v>676</v>
      </c>
    </row>
    <row r="91" ht="15.75" customHeight="1">
      <c r="A91" s="35"/>
      <c r="B91" s="35"/>
      <c r="C91" s="35" t="s">
        <v>677</v>
      </c>
      <c r="D91" s="35"/>
      <c r="E91" s="37" t="s">
        <v>678</v>
      </c>
      <c r="F91" s="37" t="s">
        <v>679</v>
      </c>
      <c r="G91" s="40" t="s">
        <v>85</v>
      </c>
      <c r="H91" s="43" t="s">
        <v>680</v>
      </c>
    </row>
    <row r="92" ht="15.75" customHeight="1">
      <c r="A92" s="35"/>
      <c r="B92" s="35"/>
      <c r="C92" s="35" t="s">
        <v>681</v>
      </c>
      <c r="D92" s="35"/>
      <c r="E92" s="37" t="s">
        <v>682</v>
      </c>
      <c r="F92" s="37" t="s">
        <v>684</v>
      </c>
      <c r="G92" s="40" t="s">
        <v>85</v>
      </c>
      <c r="H92" s="43" t="s">
        <v>685</v>
      </c>
    </row>
    <row r="93" ht="15.75" customHeight="1">
      <c r="A93" s="26"/>
      <c r="B93" s="26" t="s">
        <v>688</v>
      </c>
      <c r="C93" s="26"/>
      <c r="D93" s="26"/>
      <c r="E93" s="27"/>
      <c r="F93" s="27"/>
      <c r="G93" s="30"/>
      <c r="H93" s="33"/>
    </row>
    <row r="94" ht="15.75" customHeight="1">
      <c r="A94" s="35"/>
      <c r="B94" s="35"/>
      <c r="C94" s="35" t="s">
        <v>692</v>
      </c>
      <c r="D94" s="35"/>
      <c r="E94" s="37" t="s">
        <v>693</v>
      </c>
      <c r="F94" s="37" t="s">
        <v>695</v>
      </c>
      <c r="G94" s="40" t="s">
        <v>67</v>
      </c>
      <c r="H94" s="43" t="s">
        <v>696</v>
      </c>
    </row>
    <row r="95" ht="15.75" customHeight="1">
      <c r="A95" s="35"/>
      <c r="B95" s="35"/>
      <c r="C95" s="35" t="s">
        <v>697</v>
      </c>
      <c r="D95" s="35"/>
      <c r="E95" s="37" t="s">
        <v>698</v>
      </c>
      <c r="F95" s="37" t="s">
        <v>699</v>
      </c>
      <c r="G95" s="40" t="s">
        <v>67</v>
      </c>
      <c r="H95" s="43" t="s">
        <v>701</v>
      </c>
    </row>
    <row r="96" ht="15.75" customHeight="1">
      <c r="A96" s="35"/>
      <c r="B96" s="35"/>
      <c r="C96" s="35" t="s">
        <v>703</v>
      </c>
      <c r="D96" s="35"/>
      <c r="E96" s="37" t="s">
        <v>705</v>
      </c>
      <c r="F96" s="37" t="s">
        <v>706</v>
      </c>
      <c r="G96" s="40" t="s">
        <v>67</v>
      </c>
      <c r="H96" s="43" t="s">
        <v>707</v>
      </c>
    </row>
    <row r="97" ht="15.75" customHeight="1">
      <c r="A97" s="35"/>
      <c r="B97" s="35"/>
      <c r="C97" s="35" t="s">
        <v>709</v>
      </c>
      <c r="D97" s="35"/>
      <c r="E97" s="37" t="s">
        <v>711</v>
      </c>
      <c r="F97" s="37" t="s">
        <v>712</v>
      </c>
      <c r="G97" s="40" t="s">
        <v>67</v>
      </c>
      <c r="H97" s="43" t="s">
        <v>713</v>
      </c>
    </row>
    <row r="98" ht="15.75" customHeight="1">
      <c r="A98" s="26"/>
      <c r="B98" s="26" t="s">
        <v>716</v>
      </c>
      <c r="C98" s="26"/>
      <c r="D98" s="26"/>
      <c r="E98" s="27" t="s">
        <v>719</v>
      </c>
      <c r="F98" s="27" t="s">
        <v>721</v>
      </c>
      <c r="G98" s="30" t="s">
        <v>85</v>
      </c>
      <c r="H98" s="33" t="s">
        <v>722</v>
      </c>
    </row>
    <row r="99" ht="15.75" customHeight="1">
      <c r="A99" s="16" t="s">
        <v>723</v>
      </c>
      <c r="B99" s="16"/>
      <c r="C99" s="16"/>
      <c r="D99" s="16"/>
      <c r="E99" s="19"/>
      <c r="F99" s="19"/>
      <c r="G99" s="21"/>
      <c r="H99" s="23"/>
    </row>
    <row r="100" ht="15.75" customHeight="1">
      <c r="A100" s="26"/>
      <c r="B100" s="26" t="s">
        <v>724</v>
      </c>
      <c r="C100" s="26"/>
      <c r="D100" s="26"/>
      <c r="E100" s="27" t="s">
        <v>725</v>
      </c>
      <c r="F100" s="27" t="s">
        <v>85</v>
      </c>
      <c r="G100" s="30"/>
      <c r="H100" s="33" t="s">
        <v>728</v>
      </c>
    </row>
    <row r="101" ht="15.75" customHeight="1">
      <c r="A101" s="26"/>
      <c r="B101" s="26" t="s">
        <v>730</v>
      </c>
      <c r="C101" s="26"/>
      <c r="D101" s="26"/>
      <c r="E101" s="27" t="s">
        <v>732</v>
      </c>
      <c r="F101" s="27" t="s">
        <v>734</v>
      </c>
      <c r="G101" s="30" t="s">
        <v>85</v>
      </c>
      <c r="H101" s="33" t="s">
        <v>736</v>
      </c>
    </row>
    <row r="102" ht="15.75" customHeight="1">
      <c r="A102" s="26"/>
      <c r="B102" s="26" t="s">
        <v>739</v>
      </c>
      <c r="C102" s="26"/>
      <c r="D102" s="26"/>
      <c r="E102" s="27" t="s">
        <v>741</v>
      </c>
      <c r="F102" s="27" t="s">
        <v>743</v>
      </c>
      <c r="G102" s="30" t="s">
        <v>85</v>
      </c>
      <c r="H102" s="33" t="s">
        <v>745</v>
      </c>
    </row>
    <row r="103" ht="15.75" customHeight="1">
      <c r="A103" s="26"/>
      <c r="B103" s="26" t="s">
        <v>746</v>
      </c>
      <c r="C103" s="26"/>
      <c r="D103" s="26"/>
      <c r="E103" s="27" t="s">
        <v>747</v>
      </c>
      <c r="F103" s="27" t="s">
        <v>748</v>
      </c>
      <c r="G103" s="30" t="s">
        <v>85</v>
      </c>
      <c r="H103" s="33" t="s">
        <v>750</v>
      </c>
    </row>
    <row r="104" ht="15.75" customHeight="1">
      <c r="A104" s="26"/>
      <c r="B104" s="26" t="s">
        <v>752</v>
      </c>
      <c r="C104" s="26"/>
      <c r="D104" s="26"/>
      <c r="E104" s="27" t="s">
        <v>756</v>
      </c>
      <c r="F104" s="27" t="s">
        <v>757</v>
      </c>
      <c r="G104" s="30" t="s">
        <v>85</v>
      </c>
      <c r="H104" s="33" t="s">
        <v>758</v>
      </c>
    </row>
    <row r="105" ht="15.75" customHeight="1">
      <c r="A105" s="5"/>
      <c r="B105" s="5"/>
      <c r="C105" s="5"/>
      <c r="D105" s="5"/>
      <c r="E105" s="5"/>
      <c r="F105" s="5"/>
      <c r="G105" s="5"/>
      <c r="H105" s="5"/>
    </row>
    <row r="106" ht="15.75" customHeight="1">
      <c r="A106" s="5"/>
      <c r="B106" s="5"/>
      <c r="C106" s="5"/>
      <c r="D106" s="5"/>
      <c r="E106" s="5"/>
      <c r="F106" s="5"/>
      <c r="G106" s="5"/>
      <c r="H106" s="5"/>
    </row>
    <row r="107" ht="15.75" customHeight="1">
      <c r="A107" s="5"/>
      <c r="B107" s="5"/>
      <c r="C107" s="5"/>
      <c r="D107" s="5"/>
      <c r="E107" s="5"/>
      <c r="F107" s="5"/>
      <c r="G107" s="5"/>
      <c r="H107" s="5"/>
    </row>
    <row r="108" ht="15.75" customHeight="1">
      <c r="A108" s="5"/>
      <c r="B108" s="5"/>
      <c r="C108" s="5"/>
      <c r="D108" s="5"/>
      <c r="E108" s="5"/>
      <c r="F108" s="5"/>
      <c r="G108" s="5"/>
      <c r="H108" s="5"/>
    </row>
    <row r="109" ht="15.75" customHeight="1">
      <c r="A109" s="5"/>
      <c r="B109" s="5"/>
      <c r="C109" s="5"/>
      <c r="D109" s="5"/>
      <c r="E109" s="5"/>
      <c r="F109" s="5"/>
      <c r="G109" s="5"/>
      <c r="H109" s="5"/>
    </row>
    <row r="110" ht="15.75" customHeight="1">
      <c r="A110" s="5"/>
      <c r="B110" s="5"/>
      <c r="C110" s="5"/>
      <c r="D110" s="5"/>
      <c r="E110" s="5"/>
      <c r="F110" s="5"/>
      <c r="G110" s="5"/>
      <c r="H110" s="5"/>
    </row>
    <row r="111" ht="15.75" customHeight="1">
      <c r="A111" s="5"/>
      <c r="B111" s="5"/>
      <c r="C111" s="5"/>
      <c r="D111" s="5"/>
      <c r="E111" s="5"/>
      <c r="F111" s="5"/>
      <c r="G111" s="5"/>
      <c r="H111" s="5"/>
    </row>
    <row r="112" ht="15.75" customHeight="1">
      <c r="A112" s="5"/>
      <c r="B112" s="5"/>
      <c r="C112" s="5"/>
      <c r="D112" s="5"/>
      <c r="E112" s="5"/>
      <c r="F112" s="5"/>
      <c r="G112" s="5"/>
      <c r="H112" s="5"/>
    </row>
    <row r="113" ht="15.75" customHeight="1">
      <c r="A113" s="5"/>
      <c r="B113" s="5"/>
      <c r="C113" s="5"/>
      <c r="D113" s="5"/>
      <c r="E113" s="5"/>
      <c r="F113" s="5"/>
      <c r="G113" s="5"/>
      <c r="H113" s="5"/>
    </row>
    <row r="114" ht="15.75" customHeight="1">
      <c r="A114" s="5"/>
      <c r="B114" s="5"/>
      <c r="C114" s="5"/>
      <c r="D114" s="5"/>
      <c r="E114" s="5"/>
      <c r="F114" s="5"/>
      <c r="G114" s="5"/>
      <c r="H114" s="5"/>
    </row>
    <row r="115" ht="15.75" customHeight="1">
      <c r="A115" s="5"/>
      <c r="B115" s="5"/>
      <c r="C115" s="5"/>
      <c r="D115" s="5"/>
      <c r="E115" s="5"/>
      <c r="F115" s="5"/>
      <c r="G115" s="5"/>
      <c r="H115" s="5"/>
    </row>
    <row r="116" ht="15.75" customHeight="1">
      <c r="A116" s="5"/>
      <c r="B116" s="5"/>
      <c r="C116" s="5"/>
      <c r="D116" s="5"/>
      <c r="E116" s="5"/>
      <c r="F116" s="5"/>
      <c r="G116" s="5"/>
      <c r="H116" s="5"/>
    </row>
    <row r="117" ht="15.75" customHeight="1">
      <c r="A117" s="5"/>
      <c r="B117" s="5"/>
      <c r="C117" s="5"/>
      <c r="D117" s="5"/>
      <c r="E117" s="5"/>
      <c r="F117" s="5"/>
      <c r="G117" s="5"/>
      <c r="H117" s="5"/>
    </row>
    <row r="118" ht="15.75" customHeight="1">
      <c r="A118" s="5"/>
      <c r="B118" s="5"/>
      <c r="C118" s="5"/>
      <c r="D118" s="5"/>
      <c r="E118" s="5"/>
      <c r="F118" s="5"/>
      <c r="G118" s="5"/>
      <c r="H118" s="5"/>
    </row>
    <row r="119" ht="15.75" customHeight="1">
      <c r="A119" s="5"/>
      <c r="B119" s="5"/>
      <c r="C119" s="5"/>
      <c r="D119" s="5"/>
      <c r="E119" s="5"/>
      <c r="F119" s="5"/>
      <c r="G119" s="5"/>
      <c r="H119" s="5"/>
    </row>
    <row r="120" ht="15.75" customHeight="1">
      <c r="A120" s="5"/>
      <c r="B120" s="5"/>
      <c r="C120" s="5"/>
      <c r="D120" s="5"/>
      <c r="E120" s="5"/>
      <c r="F120" s="5"/>
      <c r="G120" s="5"/>
      <c r="H120" s="5"/>
    </row>
    <row r="121" ht="15.75" customHeight="1">
      <c r="A121" s="5"/>
      <c r="B121" s="5"/>
      <c r="C121" s="5"/>
      <c r="D121" s="5"/>
      <c r="E121" s="5"/>
      <c r="F121" s="5"/>
      <c r="G121" s="5"/>
      <c r="H121" s="5"/>
    </row>
    <row r="122" ht="15.75" customHeight="1">
      <c r="A122" s="5"/>
      <c r="B122" s="5"/>
      <c r="C122" s="5"/>
      <c r="D122" s="5"/>
      <c r="E122" s="5"/>
      <c r="F122" s="5"/>
      <c r="G122" s="5"/>
      <c r="H122" s="5"/>
    </row>
    <row r="123" ht="15.75" customHeight="1">
      <c r="A123" s="5"/>
      <c r="B123" s="5"/>
      <c r="C123" s="5"/>
      <c r="D123" s="5"/>
      <c r="E123" s="5"/>
      <c r="F123" s="5"/>
      <c r="G123" s="5"/>
      <c r="H123" s="5"/>
    </row>
    <row r="124" ht="15.75" customHeight="1">
      <c r="A124" s="5"/>
      <c r="B124" s="5"/>
      <c r="C124" s="5"/>
      <c r="D124" s="5"/>
      <c r="E124" s="5"/>
      <c r="F124" s="5"/>
      <c r="G124" s="5"/>
      <c r="H124" s="5"/>
    </row>
    <row r="125" ht="15.75" customHeight="1">
      <c r="A125" s="5"/>
      <c r="B125" s="5"/>
      <c r="C125" s="5"/>
      <c r="D125" s="5"/>
      <c r="E125" s="5"/>
      <c r="F125" s="5"/>
      <c r="G125" s="5"/>
      <c r="H125" s="5"/>
    </row>
    <row r="126" ht="15.75" customHeight="1">
      <c r="A126" s="5"/>
      <c r="B126" s="5"/>
      <c r="C126" s="5"/>
      <c r="D126" s="5"/>
      <c r="E126" s="5"/>
      <c r="F126" s="5"/>
      <c r="G126" s="5"/>
      <c r="H126" s="5"/>
    </row>
    <row r="127" ht="15.75" customHeight="1">
      <c r="A127" s="5"/>
      <c r="B127" s="5"/>
      <c r="C127" s="5"/>
      <c r="D127" s="5"/>
      <c r="E127" s="5"/>
      <c r="F127" s="5"/>
      <c r="G127" s="5"/>
      <c r="H127" s="5"/>
    </row>
    <row r="128" ht="15.75" customHeight="1">
      <c r="A128" s="5"/>
      <c r="B128" s="5"/>
      <c r="C128" s="5"/>
      <c r="D128" s="5"/>
      <c r="E128" s="5"/>
      <c r="F128" s="5"/>
      <c r="G128" s="5"/>
      <c r="H128" s="5"/>
    </row>
    <row r="129" ht="15.75" customHeight="1">
      <c r="A129" s="5"/>
      <c r="B129" s="5"/>
      <c r="C129" s="5"/>
      <c r="D129" s="5"/>
      <c r="E129" s="5"/>
      <c r="F129" s="5"/>
      <c r="G129" s="5"/>
      <c r="H129" s="5"/>
    </row>
    <row r="130" ht="15.75" customHeight="1">
      <c r="A130" s="5"/>
      <c r="B130" s="5"/>
      <c r="C130" s="5"/>
      <c r="D130" s="5"/>
      <c r="E130" s="5"/>
      <c r="F130" s="5"/>
      <c r="G130" s="5"/>
      <c r="H130" s="5"/>
    </row>
    <row r="131" ht="15.75" customHeight="1">
      <c r="A131" s="5"/>
      <c r="B131" s="5"/>
      <c r="C131" s="5"/>
      <c r="D131" s="5"/>
      <c r="E131" s="5"/>
      <c r="F131" s="5"/>
      <c r="G131" s="5"/>
      <c r="H131" s="5"/>
    </row>
    <row r="132" ht="15.75" customHeight="1">
      <c r="A132" s="5"/>
      <c r="B132" s="5"/>
      <c r="C132" s="5"/>
      <c r="D132" s="5"/>
      <c r="E132" s="5"/>
      <c r="F132" s="5"/>
      <c r="G132" s="5"/>
      <c r="H132" s="5"/>
    </row>
    <row r="133" ht="15.75" customHeight="1">
      <c r="A133" s="5"/>
      <c r="B133" s="5"/>
      <c r="C133" s="5"/>
      <c r="D133" s="5"/>
      <c r="E133" s="5"/>
      <c r="F133" s="5"/>
      <c r="G133" s="5"/>
      <c r="H133" s="5"/>
    </row>
    <row r="134" ht="15.75" customHeight="1">
      <c r="A134" s="5"/>
      <c r="B134" s="5"/>
      <c r="C134" s="5"/>
      <c r="D134" s="5"/>
      <c r="E134" s="5"/>
      <c r="F134" s="5"/>
      <c r="G134" s="5"/>
      <c r="H134" s="5"/>
    </row>
    <row r="135" ht="15.75" customHeight="1">
      <c r="A135" s="5"/>
      <c r="B135" s="5"/>
      <c r="C135" s="5"/>
      <c r="D135" s="5"/>
      <c r="E135" s="5"/>
      <c r="F135" s="5"/>
      <c r="G135" s="5"/>
      <c r="H135" s="5"/>
    </row>
    <row r="136" ht="15.75" customHeight="1">
      <c r="A136" s="5"/>
      <c r="B136" s="5"/>
      <c r="C136" s="5"/>
      <c r="D136" s="5"/>
      <c r="E136" s="5"/>
      <c r="F136" s="5"/>
      <c r="G136" s="5"/>
      <c r="H136" s="5"/>
    </row>
    <row r="137" ht="15.75" customHeight="1">
      <c r="A137" s="5"/>
      <c r="B137" s="5"/>
      <c r="C137" s="5"/>
      <c r="D137" s="5"/>
      <c r="E137" s="5"/>
      <c r="F137" s="5"/>
      <c r="G137" s="5"/>
      <c r="H137" s="5"/>
    </row>
    <row r="138" ht="15.75" customHeight="1">
      <c r="A138" s="5"/>
      <c r="B138" s="5"/>
      <c r="C138" s="5"/>
      <c r="D138" s="5"/>
      <c r="E138" s="5"/>
      <c r="F138" s="5"/>
      <c r="G138" s="5"/>
      <c r="H138" s="5"/>
    </row>
    <row r="139" ht="15.75" customHeight="1">
      <c r="A139" s="5"/>
      <c r="B139" s="5"/>
      <c r="C139" s="5"/>
      <c r="D139" s="5"/>
      <c r="E139" s="5"/>
      <c r="F139" s="5"/>
      <c r="G139" s="5"/>
      <c r="H139" s="5"/>
    </row>
    <row r="140" ht="15.75" customHeight="1">
      <c r="A140" s="5"/>
      <c r="B140" s="5"/>
      <c r="C140" s="5"/>
      <c r="D140" s="5"/>
      <c r="E140" s="5"/>
      <c r="F140" s="5"/>
      <c r="G140" s="5"/>
      <c r="H140" s="5"/>
    </row>
    <row r="141" ht="15.75" customHeight="1">
      <c r="A141" s="5"/>
      <c r="B141" s="5"/>
      <c r="C141" s="5"/>
      <c r="D141" s="5"/>
      <c r="E141" s="5"/>
      <c r="F141" s="5"/>
      <c r="G141" s="5"/>
      <c r="H141" s="5"/>
    </row>
    <row r="142" ht="15.75" customHeight="1">
      <c r="A142" s="5"/>
      <c r="B142" s="5"/>
      <c r="C142" s="5"/>
      <c r="D142" s="5"/>
      <c r="E142" s="5"/>
      <c r="F142" s="5"/>
      <c r="G142" s="5"/>
      <c r="H142" s="5"/>
    </row>
    <row r="143" ht="15.75" customHeight="1">
      <c r="A143" s="5"/>
      <c r="B143" s="5"/>
      <c r="C143" s="5"/>
      <c r="D143" s="5"/>
      <c r="E143" s="5"/>
      <c r="F143" s="5"/>
      <c r="G143" s="5"/>
      <c r="H143" s="5"/>
    </row>
    <row r="144" ht="15.75" customHeight="1">
      <c r="A144" s="5"/>
      <c r="B144" s="5"/>
      <c r="C144" s="5"/>
      <c r="D144" s="5"/>
      <c r="E144" s="5"/>
      <c r="F144" s="5"/>
      <c r="G144" s="5"/>
      <c r="H144" s="5"/>
    </row>
    <row r="145" ht="15.75" customHeight="1">
      <c r="A145" s="5"/>
      <c r="B145" s="5"/>
      <c r="C145" s="5"/>
      <c r="D145" s="5"/>
      <c r="E145" s="5"/>
      <c r="F145" s="5"/>
      <c r="G145" s="5"/>
      <c r="H145" s="5"/>
    </row>
    <row r="146" ht="15.75" customHeight="1">
      <c r="A146" s="5"/>
      <c r="B146" s="5"/>
      <c r="C146" s="5"/>
      <c r="D146" s="5"/>
      <c r="E146" s="5"/>
      <c r="F146" s="5"/>
      <c r="G146" s="5"/>
      <c r="H146" s="5"/>
    </row>
    <row r="147" ht="15.75" customHeight="1">
      <c r="A147" s="5"/>
      <c r="B147" s="5"/>
      <c r="C147" s="5"/>
      <c r="D147" s="5"/>
      <c r="E147" s="5"/>
      <c r="F147" s="5"/>
      <c r="G147" s="5"/>
      <c r="H147" s="5"/>
    </row>
    <row r="148" ht="15.75" customHeight="1">
      <c r="A148" s="5"/>
      <c r="B148" s="5"/>
      <c r="C148" s="5"/>
      <c r="D148" s="5"/>
      <c r="E148" s="5"/>
      <c r="F148" s="5"/>
      <c r="G148" s="5"/>
      <c r="H148" s="5"/>
    </row>
    <row r="149" ht="15.75" customHeight="1">
      <c r="A149" s="5"/>
      <c r="B149" s="5"/>
      <c r="C149" s="5"/>
      <c r="D149" s="5"/>
      <c r="E149" s="5"/>
      <c r="F149" s="5"/>
      <c r="G149" s="5"/>
      <c r="H149" s="5"/>
    </row>
    <row r="150" ht="15.75" customHeight="1">
      <c r="A150" s="5"/>
      <c r="B150" s="5"/>
      <c r="C150" s="5"/>
      <c r="D150" s="5"/>
      <c r="E150" s="5"/>
      <c r="F150" s="5"/>
      <c r="G150" s="5"/>
      <c r="H150" s="5"/>
    </row>
    <row r="151" ht="15.75" customHeight="1">
      <c r="A151" s="5"/>
      <c r="B151" s="5"/>
      <c r="C151" s="5"/>
      <c r="D151" s="5"/>
      <c r="E151" s="5"/>
      <c r="F151" s="5"/>
      <c r="G151" s="5"/>
      <c r="H151" s="5"/>
    </row>
    <row r="152" ht="15.75" customHeight="1">
      <c r="A152" s="5"/>
      <c r="B152" s="5"/>
      <c r="C152" s="5"/>
      <c r="D152" s="5"/>
      <c r="E152" s="5"/>
      <c r="F152" s="5"/>
      <c r="G152" s="5"/>
      <c r="H152" s="5"/>
    </row>
    <row r="153" ht="15.75" customHeight="1">
      <c r="A153" s="5"/>
      <c r="B153" s="5"/>
      <c r="C153" s="5"/>
      <c r="D153" s="5"/>
      <c r="E153" s="5"/>
      <c r="F153" s="5"/>
      <c r="G153" s="5"/>
      <c r="H153" s="5"/>
    </row>
    <row r="154" ht="15.75" customHeight="1">
      <c r="A154" s="5"/>
      <c r="B154" s="5"/>
      <c r="C154" s="5"/>
      <c r="D154" s="5"/>
      <c r="E154" s="5"/>
      <c r="F154" s="5"/>
      <c r="G154" s="5"/>
      <c r="H154" s="5"/>
    </row>
    <row r="155" ht="15.75" customHeight="1">
      <c r="A155" s="5"/>
      <c r="B155" s="5"/>
      <c r="C155" s="5"/>
      <c r="D155" s="5"/>
      <c r="E155" s="5"/>
      <c r="F155" s="5"/>
      <c r="G155" s="5"/>
      <c r="H155" s="5"/>
    </row>
    <row r="156" ht="15.75" customHeight="1">
      <c r="A156" s="5"/>
      <c r="B156" s="5"/>
      <c r="C156" s="5"/>
      <c r="D156" s="5"/>
      <c r="E156" s="5"/>
      <c r="F156" s="5"/>
      <c r="G156" s="5"/>
      <c r="H156" s="5"/>
    </row>
    <row r="157" ht="15.75" customHeight="1">
      <c r="A157" s="5"/>
      <c r="B157" s="5"/>
      <c r="C157" s="5"/>
      <c r="D157" s="5"/>
      <c r="E157" s="5"/>
      <c r="F157" s="5"/>
      <c r="G157" s="5"/>
      <c r="H157" s="5"/>
    </row>
    <row r="158" ht="15.75" customHeight="1">
      <c r="A158" s="5"/>
      <c r="B158" s="5"/>
      <c r="C158" s="5"/>
      <c r="D158" s="5"/>
      <c r="E158" s="5"/>
      <c r="F158" s="5"/>
      <c r="G158" s="5"/>
      <c r="H158" s="5"/>
    </row>
    <row r="159" ht="15.75" customHeight="1">
      <c r="A159" s="5"/>
      <c r="B159" s="5"/>
      <c r="C159" s="5"/>
      <c r="D159" s="5"/>
      <c r="E159" s="5"/>
      <c r="F159" s="5"/>
      <c r="G159" s="5"/>
      <c r="H159" s="5"/>
    </row>
    <row r="160" ht="15.75" customHeight="1">
      <c r="A160" s="5"/>
      <c r="B160" s="5"/>
      <c r="C160" s="5"/>
      <c r="D160" s="5"/>
      <c r="E160" s="5"/>
      <c r="F160" s="5"/>
      <c r="G160" s="5"/>
      <c r="H160" s="5"/>
    </row>
    <row r="161" ht="15.75" customHeight="1">
      <c r="A161" s="5"/>
      <c r="B161" s="5"/>
      <c r="C161" s="5"/>
      <c r="D161" s="5"/>
      <c r="E161" s="5"/>
      <c r="F161" s="5"/>
      <c r="G161" s="5"/>
      <c r="H161" s="5"/>
    </row>
    <row r="162" ht="15.75" customHeight="1">
      <c r="A162" s="5"/>
      <c r="B162" s="5"/>
      <c r="C162" s="5"/>
      <c r="D162" s="5"/>
      <c r="E162" s="5"/>
      <c r="F162" s="5"/>
      <c r="G162" s="5"/>
      <c r="H162" s="5"/>
    </row>
    <row r="163" ht="15.75" customHeight="1">
      <c r="A163" s="5"/>
      <c r="B163" s="5"/>
      <c r="C163" s="5"/>
      <c r="D163" s="5"/>
      <c r="E163" s="5"/>
      <c r="F163" s="5"/>
      <c r="G163" s="5"/>
      <c r="H163" s="5"/>
    </row>
    <row r="164" ht="15.75" customHeight="1">
      <c r="A164" s="5"/>
      <c r="B164" s="5"/>
      <c r="C164" s="5"/>
      <c r="D164" s="5"/>
      <c r="E164" s="5"/>
      <c r="F164" s="5"/>
      <c r="G164" s="5"/>
      <c r="H164" s="5"/>
    </row>
    <row r="165" ht="15.75" customHeight="1">
      <c r="A165" s="5"/>
      <c r="B165" s="5"/>
      <c r="C165" s="5"/>
      <c r="D165" s="5"/>
      <c r="E165" s="5"/>
      <c r="F165" s="5"/>
      <c r="G165" s="5"/>
      <c r="H165" s="5"/>
    </row>
    <row r="166" ht="15.75" customHeight="1">
      <c r="A166" s="5"/>
      <c r="B166" s="5"/>
      <c r="C166" s="5"/>
      <c r="D166" s="5"/>
      <c r="E166" s="5"/>
      <c r="F166" s="5"/>
      <c r="G166" s="5"/>
      <c r="H166" s="5"/>
    </row>
    <row r="167" ht="15.75" customHeight="1">
      <c r="A167" s="5"/>
      <c r="B167" s="5"/>
      <c r="C167" s="5"/>
      <c r="D167" s="5"/>
      <c r="E167" s="5"/>
      <c r="F167" s="5"/>
      <c r="G167" s="5"/>
      <c r="H167" s="5"/>
    </row>
    <row r="168" ht="15.75" customHeight="1">
      <c r="A168" s="5"/>
      <c r="B168" s="5"/>
      <c r="C168" s="5"/>
      <c r="D168" s="5"/>
      <c r="E168" s="5"/>
      <c r="F168" s="5"/>
      <c r="G168" s="5"/>
      <c r="H168" s="5"/>
    </row>
    <row r="169" ht="15.75" customHeight="1">
      <c r="A169" s="5"/>
      <c r="B169" s="5"/>
      <c r="C169" s="5"/>
      <c r="D169" s="5"/>
      <c r="E169" s="5"/>
      <c r="F169" s="5"/>
      <c r="G169" s="5"/>
      <c r="H169" s="5"/>
    </row>
    <row r="170" ht="15.75" customHeight="1">
      <c r="A170" s="5"/>
      <c r="B170" s="5"/>
      <c r="C170" s="5"/>
      <c r="D170" s="5"/>
      <c r="E170" s="5"/>
      <c r="F170" s="5"/>
      <c r="G170" s="5"/>
      <c r="H170" s="5"/>
    </row>
    <row r="171" ht="15.75" customHeight="1">
      <c r="A171" s="5"/>
      <c r="B171" s="5"/>
      <c r="C171" s="5"/>
      <c r="D171" s="5"/>
      <c r="E171" s="5"/>
      <c r="F171" s="5"/>
      <c r="G171" s="5"/>
      <c r="H171" s="5"/>
    </row>
    <row r="172" ht="15.75" customHeight="1">
      <c r="A172" s="5"/>
      <c r="B172" s="5"/>
      <c r="C172" s="5"/>
      <c r="D172" s="5"/>
      <c r="E172" s="5"/>
      <c r="F172" s="5"/>
      <c r="G172" s="5"/>
      <c r="H172" s="5"/>
    </row>
    <row r="173" ht="15.75" customHeight="1">
      <c r="A173" s="5"/>
      <c r="B173" s="5"/>
      <c r="C173" s="5"/>
      <c r="D173" s="5"/>
      <c r="E173" s="5"/>
      <c r="F173" s="5"/>
      <c r="G173" s="5"/>
      <c r="H173" s="5"/>
    </row>
    <row r="174" ht="15.75" customHeight="1">
      <c r="A174" s="5"/>
      <c r="B174" s="5"/>
      <c r="C174" s="5"/>
      <c r="D174" s="5"/>
      <c r="E174" s="5"/>
      <c r="F174" s="5"/>
      <c r="G174" s="5"/>
      <c r="H174" s="5"/>
    </row>
    <row r="175" ht="15.75" customHeight="1">
      <c r="A175" s="5"/>
      <c r="B175" s="5"/>
      <c r="C175" s="5"/>
      <c r="D175" s="5"/>
      <c r="E175" s="5"/>
      <c r="F175" s="5"/>
      <c r="G175" s="5"/>
      <c r="H175" s="5"/>
    </row>
    <row r="176" ht="15.75" customHeight="1">
      <c r="A176" s="5"/>
      <c r="B176" s="5"/>
      <c r="C176" s="5"/>
      <c r="D176" s="5"/>
      <c r="E176" s="5"/>
      <c r="F176" s="5"/>
      <c r="G176" s="5"/>
      <c r="H176" s="5"/>
    </row>
    <row r="177" ht="15.75" customHeight="1">
      <c r="A177" s="5"/>
      <c r="B177" s="5"/>
      <c r="C177" s="5"/>
      <c r="D177" s="5"/>
      <c r="E177" s="5"/>
      <c r="F177" s="5"/>
      <c r="G177" s="5"/>
      <c r="H177" s="5"/>
    </row>
    <row r="178" ht="15.75" customHeight="1">
      <c r="A178" s="5"/>
      <c r="B178" s="5"/>
      <c r="C178" s="5"/>
      <c r="D178" s="5"/>
      <c r="E178" s="5"/>
      <c r="F178" s="5"/>
      <c r="G178" s="5"/>
      <c r="H178" s="5"/>
    </row>
    <row r="179" ht="15.75" customHeight="1">
      <c r="A179" s="5"/>
      <c r="B179" s="5"/>
      <c r="C179" s="5"/>
      <c r="D179" s="5"/>
      <c r="E179" s="5"/>
      <c r="F179" s="5"/>
      <c r="G179" s="5"/>
      <c r="H179" s="5"/>
    </row>
    <row r="180" ht="15.75" customHeight="1">
      <c r="A180" s="5"/>
      <c r="B180" s="5"/>
      <c r="C180" s="5"/>
      <c r="D180" s="5"/>
      <c r="E180" s="5"/>
      <c r="F180" s="5"/>
      <c r="G180" s="5"/>
      <c r="H180" s="5"/>
    </row>
    <row r="181" ht="15.75" customHeight="1">
      <c r="A181" s="5"/>
      <c r="B181" s="5"/>
      <c r="C181" s="5"/>
      <c r="D181" s="5"/>
      <c r="E181" s="5"/>
      <c r="F181" s="5"/>
      <c r="G181" s="5"/>
      <c r="H181" s="5"/>
    </row>
    <row r="182" ht="15.75" customHeight="1">
      <c r="A182" s="5"/>
      <c r="B182" s="5"/>
      <c r="C182" s="5"/>
      <c r="D182" s="5"/>
      <c r="E182" s="5"/>
      <c r="F182" s="5"/>
      <c r="G182" s="5"/>
      <c r="H182" s="5"/>
    </row>
    <row r="183" ht="15.75" customHeight="1">
      <c r="A183" s="5"/>
      <c r="B183" s="5"/>
      <c r="C183" s="5"/>
      <c r="D183" s="5"/>
      <c r="E183" s="5"/>
      <c r="F183" s="5"/>
      <c r="G183" s="5"/>
      <c r="H183" s="5"/>
    </row>
    <row r="184" ht="15.75" customHeight="1">
      <c r="A184" s="5"/>
      <c r="B184" s="5"/>
      <c r="C184" s="5"/>
      <c r="D184" s="5"/>
      <c r="E184" s="5"/>
      <c r="F184" s="5"/>
      <c r="G184" s="5"/>
      <c r="H184" s="5"/>
    </row>
    <row r="185" ht="15.75" customHeight="1">
      <c r="A185" s="5"/>
      <c r="B185" s="5"/>
      <c r="C185" s="5"/>
      <c r="D185" s="5"/>
      <c r="E185" s="5"/>
      <c r="F185" s="5"/>
      <c r="G185" s="5"/>
      <c r="H185" s="5"/>
    </row>
    <row r="186" ht="15.75" customHeight="1">
      <c r="A186" s="5"/>
      <c r="B186" s="5"/>
      <c r="C186" s="5"/>
      <c r="D186" s="5"/>
      <c r="E186" s="5"/>
      <c r="F186" s="5"/>
      <c r="G186" s="5"/>
      <c r="H186" s="5"/>
    </row>
    <row r="187" ht="15.75" customHeight="1">
      <c r="A187" s="5"/>
      <c r="B187" s="5"/>
      <c r="C187" s="5"/>
      <c r="D187" s="5"/>
      <c r="E187" s="5"/>
      <c r="F187" s="5"/>
      <c r="G187" s="5"/>
      <c r="H187" s="5"/>
    </row>
    <row r="188" ht="15.75" customHeight="1">
      <c r="A188" s="5"/>
      <c r="B188" s="5"/>
      <c r="C188" s="5"/>
      <c r="D188" s="5"/>
      <c r="E188" s="5"/>
      <c r="F188" s="5"/>
      <c r="G188" s="5"/>
      <c r="H188" s="5"/>
    </row>
    <row r="189" ht="15.75" customHeight="1">
      <c r="A189" s="5"/>
      <c r="B189" s="5"/>
      <c r="C189" s="5"/>
      <c r="D189" s="5"/>
      <c r="E189" s="5"/>
      <c r="F189" s="5"/>
      <c r="G189" s="5"/>
      <c r="H189" s="5"/>
    </row>
    <row r="190" ht="15.75" customHeight="1">
      <c r="A190" s="5"/>
      <c r="B190" s="5"/>
      <c r="C190" s="5"/>
      <c r="D190" s="5"/>
      <c r="E190" s="5"/>
      <c r="F190" s="5"/>
      <c r="G190" s="5"/>
      <c r="H190" s="5"/>
    </row>
    <row r="191" ht="15.75" customHeight="1">
      <c r="A191" s="5"/>
      <c r="B191" s="5"/>
      <c r="C191" s="5"/>
      <c r="D191" s="5"/>
      <c r="E191" s="5"/>
      <c r="F191" s="5"/>
      <c r="G191" s="5"/>
      <c r="H191" s="5"/>
    </row>
    <row r="192" ht="15.75" customHeight="1">
      <c r="A192" s="5"/>
      <c r="B192" s="5"/>
      <c r="C192" s="5"/>
      <c r="D192" s="5"/>
      <c r="E192" s="5"/>
      <c r="F192" s="5"/>
      <c r="G192" s="5"/>
      <c r="H192" s="5"/>
    </row>
    <row r="193" ht="15.75" customHeight="1">
      <c r="A193" s="5"/>
      <c r="B193" s="5"/>
      <c r="C193" s="5"/>
      <c r="D193" s="5"/>
      <c r="E193" s="5"/>
      <c r="F193" s="5"/>
      <c r="G193" s="5"/>
      <c r="H193" s="5"/>
    </row>
    <row r="194" ht="15.75" customHeight="1">
      <c r="A194" s="5"/>
      <c r="B194" s="5"/>
      <c r="C194" s="5"/>
      <c r="D194" s="5"/>
      <c r="E194" s="5"/>
      <c r="F194" s="5"/>
      <c r="G194" s="5"/>
      <c r="H194" s="5"/>
    </row>
    <row r="195" ht="15.75" customHeight="1">
      <c r="A195" s="5"/>
      <c r="B195" s="5"/>
      <c r="C195" s="5"/>
      <c r="D195" s="5"/>
      <c r="E195" s="5"/>
      <c r="F195" s="5"/>
      <c r="G195" s="5"/>
      <c r="H195" s="5"/>
    </row>
    <row r="196" ht="15.75" customHeight="1">
      <c r="A196" s="5"/>
      <c r="B196" s="5"/>
      <c r="C196" s="5"/>
      <c r="D196" s="5"/>
      <c r="E196" s="5"/>
      <c r="F196" s="5"/>
      <c r="G196" s="5"/>
      <c r="H196" s="5"/>
    </row>
    <row r="197" ht="15.75" customHeight="1">
      <c r="A197" s="5"/>
      <c r="B197" s="5"/>
      <c r="C197" s="5"/>
      <c r="D197" s="5"/>
      <c r="E197" s="5"/>
      <c r="F197" s="5"/>
      <c r="G197" s="5"/>
      <c r="H197" s="5"/>
    </row>
    <row r="198" ht="15.75" customHeight="1">
      <c r="A198" s="5"/>
      <c r="B198" s="5"/>
      <c r="C198" s="5"/>
      <c r="D198" s="5"/>
      <c r="E198" s="5"/>
      <c r="F198" s="5"/>
      <c r="G198" s="5"/>
      <c r="H198" s="5"/>
    </row>
    <row r="199" ht="15.75" customHeight="1">
      <c r="A199" s="5"/>
      <c r="B199" s="5"/>
      <c r="C199" s="5"/>
      <c r="D199" s="5"/>
      <c r="E199" s="5"/>
      <c r="F199" s="5"/>
      <c r="G199" s="5"/>
      <c r="H199" s="5"/>
    </row>
    <row r="200" ht="15.75" customHeight="1">
      <c r="A200" s="5"/>
      <c r="B200" s="5"/>
      <c r="C200" s="5"/>
      <c r="D200" s="5"/>
      <c r="E200" s="5"/>
      <c r="F200" s="5"/>
      <c r="G200" s="5"/>
      <c r="H200" s="5"/>
    </row>
    <row r="201" ht="15.75" customHeight="1">
      <c r="A201" s="5"/>
      <c r="B201" s="5"/>
      <c r="C201" s="5"/>
      <c r="D201" s="5"/>
      <c r="E201" s="5"/>
      <c r="F201" s="5"/>
      <c r="G201" s="5"/>
      <c r="H201" s="5"/>
    </row>
    <row r="202" ht="15.75" customHeight="1">
      <c r="A202" s="5"/>
      <c r="B202" s="5"/>
      <c r="C202" s="5"/>
      <c r="D202" s="5"/>
      <c r="E202" s="5"/>
      <c r="F202" s="5"/>
      <c r="G202" s="5"/>
      <c r="H202" s="5"/>
    </row>
    <row r="203" ht="15.75" customHeight="1">
      <c r="A203" s="5"/>
      <c r="B203" s="5"/>
      <c r="C203" s="5"/>
      <c r="D203" s="5"/>
      <c r="E203" s="5"/>
      <c r="F203" s="5"/>
      <c r="G203" s="5"/>
      <c r="H203" s="5"/>
    </row>
    <row r="204" ht="15.75" customHeight="1">
      <c r="A204" s="5"/>
      <c r="B204" s="5"/>
      <c r="C204" s="5"/>
      <c r="D204" s="5"/>
      <c r="E204" s="5"/>
      <c r="F204" s="5"/>
      <c r="G204" s="5"/>
      <c r="H204" s="5"/>
    </row>
    <row r="205" ht="15.75" customHeight="1">
      <c r="A205" s="5"/>
      <c r="B205" s="5"/>
      <c r="C205" s="5"/>
      <c r="D205" s="5"/>
      <c r="E205" s="5"/>
      <c r="F205" s="5"/>
      <c r="G205" s="5"/>
      <c r="H205" s="5"/>
    </row>
    <row r="206" ht="15.75" customHeight="1">
      <c r="A206" s="5"/>
      <c r="B206" s="5"/>
      <c r="C206" s="5"/>
      <c r="D206" s="5"/>
      <c r="E206" s="5"/>
      <c r="F206" s="5"/>
      <c r="G206" s="5"/>
      <c r="H206" s="5"/>
    </row>
    <row r="207" ht="15.75" customHeight="1">
      <c r="A207" s="5"/>
      <c r="B207" s="5"/>
      <c r="C207" s="5"/>
      <c r="D207" s="5"/>
      <c r="E207" s="5"/>
      <c r="F207" s="5"/>
      <c r="G207" s="5"/>
      <c r="H207" s="5"/>
    </row>
    <row r="208" ht="15.75" customHeight="1">
      <c r="A208" s="5"/>
      <c r="B208" s="5"/>
      <c r="C208" s="5"/>
      <c r="D208" s="5"/>
      <c r="E208" s="5"/>
      <c r="F208" s="5"/>
      <c r="G208" s="5"/>
      <c r="H208" s="5"/>
    </row>
    <row r="209" ht="15.75" customHeight="1">
      <c r="A209" s="5"/>
      <c r="B209" s="5"/>
      <c r="C209" s="5"/>
      <c r="D209" s="5"/>
      <c r="E209" s="5"/>
      <c r="F209" s="5"/>
      <c r="G209" s="5"/>
      <c r="H209" s="5"/>
    </row>
    <row r="210" ht="15.75" customHeight="1">
      <c r="A210" s="5"/>
      <c r="B210" s="5"/>
      <c r="C210" s="5"/>
      <c r="D210" s="5"/>
      <c r="E210" s="5"/>
      <c r="F210" s="5"/>
      <c r="G210" s="5"/>
      <c r="H210" s="5"/>
    </row>
    <row r="211" ht="15.75" customHeight="1">
      <c r="A211" s="5"/>
      <c r="B211" s="5"/>
      <c r="C211" s="5"/>
      <c r="D211" s="5"/>
      <c r="E211" s="5"/>
      <c r="F211" s="5"/>
      <c r="G211" s="5"/>
      <c r="H211" s="5"/>
    </row>
    <row r="212" ht="15.75" customHeight="1">
      <c r="A212" s="5"/>
      <c r="B212" s="5"/>
      <c r="C212" s="5"/>
      <c r="D212" s="5"/>
      <c r="E212" s="5"/>
      <c r="F212" s="5"/>
      <c r="G212" s="5"/>
      <c r="H212" s="5"/>
    </row>
    <row r="213" ht="15.75" customHeight="1">
      <c r="A213" s="5"/>
      <c r="B213" s="5"/>
      <c r="C213" s="5"/>
      <c r="D213" s="5"/>
      <c r="E213" s="5"/>
      <c r="F213" s="5"/>
      <c r="G213" s="5"/>
      <c r="H213" s="5"/>
    </row>
    <row r="214" ht="15.75" customHeight="1">
      <c r="A214" s="5"/>
      <c r="B214" s="5"/>
      <c r="C214" s="5"/>
      <c r="D214" s="5"/>
      <c r="E214" s="5"/>
      <c r="F214" s="5"/>
      <c r="G214" s="5"/>
      <c r="H214" s="5"/>
    </row>
    <row r="215" ht="15.75" customHeight="1">
      <c r="A215" s="5"/>
      <c r="B215" s="5"/>
      <c r="C215" s="5"/>
      <c r="D215" s="5"/>
      <c r="E215" s="5"/>
      <c r="F215" s="5"/>
      <c r="G215" s="5"/>
      <c r="H215" s="5"/>
    </row>
    <row r="216" ht="15.75" customHeight="1">
      <c r="A216" s="5"/>
      <c r="B216" s="5"/>
      <c r="C216" s="5"/>
      <c r="D216" s="5"/>
      <c r="E216" s="5"/>
      <c r="F216" s="5"/>
      <c r="G216" s="5"/>
      <c r="H216" s="5"/>
    </row>
    <row r="217" ht="15.75" customHeight="1">
      <c r="A217" s="5"/>
      <c r="B217" s="5"/>
      <c r="C217" s="5"/>
      <c r="D217" s="5"/>
      <c r="E217" s="5"/>
      <c r="F217" s="5"/>
      <c r="G217" s="5"/>
      <c r="H217" s="5"/>
    </row>
    <row r="218" ht="15.75" customHeight="1">
      <c r="A218" s="5"/>
      <c r="B218" s="5"/>
      <c r="C218" s="5"/>
      <c r="D218" s="5"/>
      <c r="E218" s="5"/>
      <c r="F218" s="5"/>
      <c r="G218" s="5"/>
      <c r="H218" s="5"/>
    </row>
    <row r="219" ht="15.75" customHeight="1">
      <c r="A219" s="5"/>
      <c r="B219" s="5"/>
      <c r="C219" s="5"/>
      <c r="D219" s="5"/>
      <c r="E219" s="5"/>
      <c r="F219" s="5"/>
      <c r="G219" s="5"/>
      <c r="H219" s="5"/>
    </row>
    <row r="220" ht="15.75" customHeight="1">
      <c r="A220" s="5"/>
      <c r="B220" s="5"/>
      <c r="C220" s="5"/>
      <c r="D220" s="5"/>
      <c r="E220" s="5"/>
      <c r="F220" s="5"/>
      <c r="G220" s="5"/>
      <c r="H220" s="5"/>
    </row>
    <row r="221" ht="15.75" customHeight="1">
      <c r="A221" s="5"/>
      <c r="B221" s="5"/>
      <c r="C221" s="5"/>
      <c r="D221" s="5"/>
      <c r="E221" s="5"/>
      <c r="F221" s="5"/>
      <c r="G221" s="5"/>
      <c r="H221" s="5"/>
    </row>
    <row r="222" ht="15.75" customHeight="1">
      <c r="A222" s="5"/>
      <c r="B222" s="5"/>
      <c r="C222" s="5"/>
      <c r="D222" s="5"/>
      <c r="E222" s="5"/>
      <c r="F222" s="5"/>
      <c r="G222" s="5"/>
      <c r="H222" s="5"/>
    </row>
    <row r="223" ht="15.75" customHeight="1">
      <c r="A223" s="5"/>
      <c r="B223" s="5"/>
      <c r="C223" s="5"/>
      <c r="D223" s="5"/>
      <c r="E223" s="5"/>
      <c r="F223" s="5"/>
      <c r="G223" s="5"/>
      <c r="H223" s="5"/>
    </row>
    <row r="224" ht="15.75" customHeight="1">
      <c r="A224" s="5"/>
      <c r="B224" s="5"/>
      <c r="C224" s="5"/>
      <c r="D224" s="5"/>
      <c r="E224" s="5"/>
      <c r="F224" s="5"/>
      <c r="G224" s="5"/>
      <c r="H224" s="5"/>
    </row>
    <row r="225" ht="15.75" customHeight="1">
      <c r="A225" s="5"/>
      <c r="B225" s="5"/>
      <c r="C225" s="5"/>
      <c r="D225" s="5"/>
      <c r="E225" s="5"/>
      <c r="F225" s="5"/>
      <c r="G225" s="5"/>
      <c r="H225" s="5"/>
    </row>
    <row r="226" ht="15.75" customHeight="1">
      <c r="A226" s="5"/>
      <c r="B226" s="5"/>
      <c r="C226" s="5"/>
      <c r="D226" s="5"/>
      <c r="E226" s="5"/>
      <c r="F226" s="5"/>
      <c r="G226" s="5"/>
      <c r="H226" s="5"/>
    </row>
    <row r="227" ht="15.75" customHeight="1">
      <c r="A227" s="5"/>
      <c r="B227" s="5"/>
      <c r="C227" s="5"/>
      <c r="D227" s="5"/>
      <c r="E227" s="5"/>
      <c r="F227" s="5"/>
      <c r="G227" s="5"/>
      <c r="H227" s="5"/>
    </row>
    <row r="228" ht="15.75" customHeight="1">
      <c r="A228" s="5"/>
      <c r="B228" s="5"/>
      <c r="C228" s="5"/>
      <c r="D228" s="5"/>
      <c r="E228" s="5"/>
      <c r="F228" s="5"/>
      <c r="G228" s="5"/>
      <c r="H228" s="5"/>
    </row>
    <row r="229" ht="15.75" customHeight="1">
      <c r="A229" s="5"/>
      <c r="B229" s="5"/>
      <c r="C229" s="5"/>
      <c r="D229" s="5"/>
      <c r="E229" s="5"/>
      <c r="F229" s="5"/>
      <c r="G229" s="5"/>
      <c r="H229" s="5"/>
    </row>
    <row r="230" ht="15.75" customHeight="1">
      <c r="A230" s="5"/>
      <c r="B230" s="5"/>
      <c r="C230" s="5"/>
      <c r="D230" s="5"/>
      <c r="E230" s="5"/>
      <c r="F230" s="5"/>
      <c r="G230" s="5"/>
      <c r="H230" s="5"/>
    </row>
    <row r="231" ht="15.75" customHeight="1">
      <c r="A231" s="5"/>
      <c r="B231" s="5"/>
      <c r="C231" s="5"/>
      <c r="D231" s="5"/>
      <c r="E231" s="5"/>
      <c r="F231" s="5"/>
      <c r="G231" s="5"/>
      <c r="H231" s="5"/>
    </row>
    <row r="232" ht="15.75" customHeight="1">
      <c r="A232" s="5"/>
      <c r="B232" s="5"/>
      <c r="C232" s="5"/>
      <c r="D232" s="5"/>
      <c r="E232" s="5"/>
      <c r="F232" s="5"/>
      <c r="G232" s="5"/>
      <c r="H232" s="5"/>
    </row>
    <row r="233" ht="15.75" customHeight="1">
      <c r="A233" s="5"/>
      <c r="B233" s="5"/>
      <c r="C233" s="5"/>
      <c r="D233" s="5"/>
      <c r="E233" s="5"/>
      <c r="F233" s="5"/>
      <c r="G233" s="5"/>
      <c r="H233" s="5"/>
    </row>
    <row r="234" ht="15.75" customHeight="1">
      <c r="A234" s="5"/>
      <c r="B234" s="5"/>
      <c r="C234" s="5"/>
      <c r="D234" s="5"/>
      <c r="E234" s="5"/>
      <c r="F234" s="5"/>
      <c r="G234" s="5"/>
      <c r="H234" s="5"/>
    </row>
    <row r="235" ht="15.75" customHeight="1">
      <c r="A235" s="5"/>
      <c r="B235" s="5"/>
      <c r="C235" s="5"/>
      <c r="D235" s="5"/>
      <c r="E235" s="5"/>
      <c r="F235" s="5"/>
      <c r="G235" s="5"/>
      <c r="H235" s="5"/>
    </row>
    <row r="236" ht="15.75" customHeight="1">
      <c r="A236" s="5"/>
      <c r="B236" s="5"/>
      <c r="C236" s="5"/>
      <c r="D236" s="5"/>
      <c r="E236" s="5"/>
      <c r="F236" s="5"/>
      <c r="G236" s="5"/>
      <c r="H236" s="5"/>
    </row>
    <row r="237" ht="15.75" customHeight="1">
      <c r="A237" s="5"/>
      <c r="B237" s="5"/>
      <c r="C237" s="5"/>
      <c r="D237" s="5"/>
      <c r="E237" s="5"/>
      <c r="F237" s="5"/>
      <c r="G237" s="5"/>
      <c r="H237" s="5"/>
    </row>
    <row r="238" ht="15.75" customHeight="1">
      <c r="A238" s="5"/>
      <c r="B238" s="5"/>
      <c r="C238" s="5"/>
      <c r="D238" s="5"/>
      <c r="E238" s="5"/>
      <c r="F238" s="5"/>
      <c r="G238" s="5"/>
      <c r="H238" s="5"/>
    </row>
    <row r="239" ht="15.75" customHeight="1">
      <c r="A239" s="5"/>
      <c r="B239" s="5"/>
      <c r="C239" s="5"/>
      <c r="D239" s="5"/>
      <c r="E239" s="5"/>
      <c r="F239" s="5"/>
      <c r="G239" s="5"/>
      <c r="H239" s="5"/>
    </row>
    <row r="240" ht="15.75" customHeight="1">
      <c r="A240" s="5"/>
      <c r="B240" s="5"/>
      <c r="C240" s="5"/>
      <c r="D240" s="5"/>
      <c r="E240" s="5"/>
      <c r="F240" s="5"/>
      <c r="G240" s="5"/>
      <c r="H240" s="5"/>
    </row>
    <row r="241" ht="15.75" customHeight="1">
      <c r="A241" s="5"/>
      <c r="B241" s="5"/>
      <c r="C241" s="5"/>
      <c r="D241" s="5"/>
      <c r="E241" s="5"/>
      <c r="F241" s="5"/>
      <c r="G241" s="5"/>
      <c r="H241" s="5"/>
    </row>
    <row r="242" ht="15.75" customHeight="1">
      <c r="A242" s="5"/>
      <c r="B242" s="5"/>
      <c r="C242" s="5"/>
      <c r="D242" s="5"/>
      <c r="E242" s="5"/>
      <c r="F242" s="5"/>
      <c r="G242" s="5"/>
      <c r="H242" s="5"/>
    </row>
    <row r="243" ht="15.75" customHeight="1">
      <c r="A243" s="5"/>
      <c r="B243" s="5"/>
      <c r="C243" s="5"/>
      <c r="D243" s="5"/>
      <c r="E243" s="5"/>
      <c r="F243" s="5"/>
      <c r="G243" s="5"/>
      <c r="H243" s="5"/>
    </row>
    <row r="244" ht="15.75" customHeight="1">
      <c r="A244" s="5"/>
      <c r="B244" s="5"/>
      <c r="C244" s="5"/>
      <c r="D244" s="5"/>
      <c r="E244" s="5"/>
      <c r="F244" s="5"/>
      <c r="G244" s="5"/>
      <c r="H244" s="5"/>
    </row>
    <row r="245" ht="15.75" customHeight="1">
      <c r="A245" s="5"/>
      <c r="B245" s="5"/>
      <c r="C245" s="5"/>
      <c r="D245" s="5"/>
      <c r="E245" s="5"/>
      <c r="F245" s="5"/>
      <c r="G245" s="5"/>
      <c r="H245" s="5"/>
    </row>
    <row r="246" ht="15.75" customHeight="1">
      <c r="A246" s="5"/>
      <c r="B246" s="5"/>
      <c r="C246" s="5"/>
      <c r="D246" s="5"/>
      <c r="E246" s="5"/>
      <c r="F246" s="5"/>
      <c r="G246" s="5"/>
      <c r="H246" s="5"/>
    </row>
    <row r="247" ht="15.75" customHeight="1">
      <c r="A247" s="5"/>
      <c r="B247" s="5"/>
      <c r="C247" s="5"/>
      <c r="D247" s="5"/>
      <c r="E247" s="5"/>
      <c r="F247" s="5"/>
      <c r="G247" s="5"/>
      <c r="H247" s="5"/>
    </row>
    <row r="248" ht="15.75" customHeight="1">
      <c r="A248" s="5"/>
      <c r="B248" s="5"/>
      <c r="C248" s="5"/>
      <c r="D248" s="5"/>
      <c r="E248" s="5"/>
      <c r="F248" s="5"/>
      <c r="G248" s="5"/>
      <c r="H248" s="5"/>
    </row>
    <row r="249" ht="15.75" customHeight="1">
      <c r="A249" s="5"/>
      <c r="B249" s="5"/>
      <c r="C249" s="5"/>
      <c r="D249" s="5"/>
      <c r="E249" s="5"/>
      <c r="F249" s="5"/>
      <c r="G249" s="5"/>
      <c r="H249" s="5"/>
    </row>
    <row r="250" ht="15.75" customHeight="1">
      <c r="A250" s="5"/>
      <c r="B250" s="5"/>
      <c r="C250" s="5"/>
      <c r="D250" s="5"/>
      <c r="E250" s="5"/>
      <c r="F250" s="5"/>
      <c r="G250" s="5"/>
      <c r="H250" s="5"/>
    </row>
    <row r="251" ht="15.75" customHeight="1">
      <c r="A251" s="5"/>
      <c r="B251" s="5"/>
      <c r="C251" s="5"/>
      <c r="D251" s="5"/>
      <c r="E251" s="5"/>
      <c r="F251" s="5"/>
      <c r="G251" s="5"/>
      <c r="H251" s="5"/>
    </row>
    <row r="252" ht="15.75" customHeight="1">
      <c r="A252" s="5"/>
      <c r="B252" s="5"/>
      <c r="C252" s="5"/>
      <c r="D252" s="5"/>
      <c r="E252" s="5"/>
      <c r="F252" s="5"/>
      <c r="G252" s="5"/>
      <c r="H252" s="5"/>
    </row>
    <row r="253" ht="15.75" customHeight="1">
      <c r="A253" s="5"/>
      <c r="B253" s="5"/>
      <c r="C253" s="5"/>
      <c r="D253" s="5"/>
      <c r="E253" s="5"/>
      <c r="F253" s="5"/>
      <c r="G253" s="5"/>
      <c r="H253" s="5"/>
    </row>
    <row r="254" ht="15.75" customHeight="1">
      <c r="A254" s="5"/>
      <c r="B254" s="5"/>
      <c r="C254" s="5"/>
      <c r="D254" s="5"/>
      <c r="E254" s="5"/>
      <c r="F254" s="5"/>
      <c r="G254" s="5"/>
      <c r="H254" s="5"/>
    </row>
    <row r="255" ht="15.75" customHeight="1">
      <c r="A255" s="5"/>
      <c r="B255" s="5"/>
      <c r="C255" s="5"/>
      <c r="D255" s="5"/>
      <c r="E255" s="5"/>
      <c r="F255" s="5"/>
      <c r="G255" s="5"/>
      <c r="H255" s="5"/>
    </row>
    <row r="256" ht="15.75" customHeight="1">
      <c r="A256" s="5"/>
      <c r="B256" s="5"/>
      <c r="C256" s="5"/>
      <c r="D256" s="5"/>
      <c r="E256" s="5"/>
      <c r="F256" s="5"/>
      <c r="G256" s="5"/>
      <c r="H256" s="5"/>
    </row>
    <row r="257" ht="15.75" customHeight="1">
      <c r="A257" s="5"/>
      <c r="B257" s="5"/>
      <c r="C257" s="5"/>
      <c r="D257" s="5"/>
      <c r="E257" s="5"/>
      <c r="F257" s="5"/>
      <c r="G257" s="5"/>
      <c r="H257" s="5"/>
    </row>
    <row r="258" ht="15.75" customHeight="1">
      <c r="A258" s="5"/>
      <c r="B258" s="5"/>
      <c r="C258" s="5"/>
      <c r="D258" s="5"/>
      <c r="E258" s="5"/>
      <c r="F258" s="5"/>
      <c r="G258" s="5"/>
      <c r="H258" s="5"/>
    </row>
    <row r="259" ht="15.75" customHeight="1">
      <c r="A259" s="5"/>
      <c r="B259" s="5"/>
      <c r="C259" s="5"/>
      <c r="D259" s="5"/>
      <c r="E259" s="5"/>
      <c r="F259" s="5"/>
      <c r="G259" s="5"/>
      <c r="H259" s="5"/>
    </row>
    <row r="260" ht="15.75" customHeight="1">
      <c r="A260" s="5"/>
      <c r="B260" s="5"/>
      <c r="C260" s="5"/>
      <c r="D260" s="5"/>
      <c r="E260" s="5"/>
      <c r="F260" s="5"/>
      <c r="G260" s="5"/>
      <c r="H260" s="5"/>
    </row>
    <row r="261" ht="15.75" customHeight="1">
      <c r="A261" s="5"/>
      <c r="B261" s="5"/>
      <c r="C261" s="5"/>
      <c r="D261" s="5"/>
      <c r="E261" s="5"/>
      <c r="F261" s="5"/>
      <c r="G261" s="5"/>
      <c r="H261" s="5"/>
    </row>
    <row r="262" ht="15.75" customHeight="1">
      <c r="A262" s="5"/>
      <c r="B262" s="5"/>
      <c r="C262" s="5"/>
      <c r="D262" s="5"/>
      <c r="E262" s="5"/>
      <c r="F262" s="5"/>
      <c r="G262" s="5"/>
      <c r="H262" s="5"/>
    </row>
    <row r="263" ht="15.75" customHeight="1">
      <c r="A263" s="5"/>
      <c r="B263" s="5"/>
      <c r="C263" s="5"/>
      <c r="D263" s="5"/>
      <c r="E263" s="5"/>
      <c r="F263" s="5"/>
      <c r="G263" s="5"/>
      <c r="H263" s="5"/>
    </row>
    <row r="264" ht="15.75" customHeight="1">
      <c r="A264" s="5"/>
      <c r="B264" s="5"/>
      <c r="C264" s="5"/>
      <c r="D264" s="5"/>
      <c r="E264" s="5"/>
      <c r="F264" s="5"/>
      <c r="G264" s="5"/>
      <c r="H264" s="5"/>
    </row>
    <row r="265" ht="15.75" customHeight="1">
      <c r="A265" s="5"/>
      <c r="B265" s="5"/>
      <c r="C265" s="5"/>
      <c r="D265" s="5"/>
      <c r="E265" s="5"/>
      <c r="F265" s="5"/>
      <c r="G265" s="5"/>
      <c r="H265" s="5"/>
    </row>
    <row r="266" ht="15.75" customHeight="1">
      <c r="A266" s="5"/>
      <c r="B266" s="5"/>
      <c r="C266" s="5"/>
      <c r="D266" s="5"/>
      <c r="E266" s="5"/>
      <c r="F266" s="5"/>
      <c r="G266" s="5"/>
      <c r="H266" s="5"/>
    </row>
    <row r="267" ht="15.75" customHeight="1">
      <c r="A267" s="5"/>
      <c r="B267" s="5"/>
      <c r="C267" s="5"/>
      <c r="D267" s="5"/>
      <c r="E267" s="5"/>
      <c r="F267" s="5"/>
      <c r="G267" s="5"/>
      <c r="H267" s="5"/>
    </row>
    <row r="268" ht="15.75" customHeight="1">
      <c r="A268" s="5"/>
      <c r="B268" s="5"/>
      <c r="C268" s="5"/>
      <c r="D268" s="5"/>
      <c r="E268" s="5"/>
      <c r="F268" s="5"/>
      <c r="G268" s="5"/>
      <c r="H268" s="5"/>
    </row>
    <row r="269" ht="15.75" customHeight="1">
      <c r="A269" s="5"/>
      <c r="B269" s="5"/>
      <c r="C269" s="5"/>
      <c r="D269" s="5"/>
      <c r="E269" s="5"/>
      <c r="F269" s="5"/>
      <c r="G269" s="5"/>
      <c r="H269" s="5"/>
    </row>
    <row r="270" ht="15.75" customHeight="1">
      <c r="A270" s="5"/>
      <c r="B270" s="5"/>
      <c r="C270" s="5"/>
      <c r="D270" s="5"/>
      <c r="E270" s="5"/>
      <c r="F270" s="5"/>
      <c r="G270" s="5"/>
      <c r="H270" s="5"/>
    </row>
    <row r="271" ht="15.75" customHeight="1">
      <c r="A271" s="5"/>
      <c r="B271" s="5"/>
      <c r="C271" s="5"/>
      <c r="D271" s="5"/>
      <c r="E271" s="5"/>
      <c r="F271" s="5"/>
      <c r="G271" s="5"/>
      <c r="H271" s="5"/>
    </row>
    <row r="272" ht="15.75" customHeight="1">
      <c r="A272" s="5"/>
      <c r="B272" s="5"/>
      <c r="C272" s="5"/>
      <c r="D272" s="5"/>
      <c r="E272" s="5"/>
      <c r="F272" s="5"/>
      <c r="G272" s="5"/>
      <c r="H272" s="5"/>
    </row>
    <row r="273" ht="15.75" customHeight="1">
      <c r="A273" s="5"/>
      <c r="B273" s="5"/>
      <c r="C273" s="5"/>
      <c r="D273" s="5"/>
      <c r="E273" s="5"/>
      <c r="F273" s="5"/>
      <c r="G273" s="5"/>
      <c r="H273" s="5"/>
    </row>
    <row r="274" ht="15.75" customHeight="1">
      <c r="A274" s="5"/>
      <c r="B274" s="5"/>
      <c r="C274" s="5"/>
      <c r="D274" s="5"/>
      <c r="E274" s="5"/>
      <c r="F274" s="5"/>
      <c r="G274" s="5"/>
      <c r="H274" s="5"/>
    </row>
    <row r="275" ht="15.75" customHeight="1">
      <c r="A275" s="5"/>
      <c r="B275" s="5"/>
      <c r="C275" s="5"/>
      <c r="D275" s="5"/>
      <c r="E275" s="5"/>
      <c r="F275" s="5"/>
      <c r="G275" s="5"/>
      <c r="H275" s="5"/>
    </row>
    <row r="276" ht="15.75" customHeight="1">
      <c r="A276" s="5"/>
      <c r="B276" s="5"/>
      <c r="C276" s="5"/>
      <c r="D276" s="5"/>
      <c r="E276" s="5"/>
      <c r="F276" s="5"/>
      <c r="G276" s="5"/>
      <c r="H276" s="5"/>
    </row>
    <row r="277" ht="15.75" customHeight="1">
      <c r="A277" s="5"/>
      <c r="B277" s="5"/>
      <c r="C277" s="5"/>
      <c r="D277" s="5"/>
      <c r="E277" s="5"/>
      <c r="F277" s="5"/>
      <c r="G277" s="5"/>
      <c r="H277" s="5"/>
    </row>
    <row r="278" ht="15.75" customHeight="1">
      <c r="A278" s="5"/>
      <c r="B278" s="5"/>
      <c r="C278" s="5"/>
      <c r="D278" s="5"/>
      <c r="E278" s="5"/>
      <c r="F278" s="5"/>
      <c r="G278" s="5"/>
      <c r="H278" s="5"/>
    </row>
    <row r="279" ht="15.75" customHeight="1">
      <c r="A279" s="5"/>
      <c r="B279" s="5"/>
      <c r="C279" s="5"/>
      <c r="D279" s="5"/>
      <c r="E279" s="5"/>
      <c r="F279" s="5"/>
      <c r="G279" s="5"/>
      <c r="H279" s="5"/>
    </row>
    <row r="280" ht="15.75" customHeight="1">
      <c r="A280" s="5"/>
      <c r="B280" s="5"/>
      <c r="C280" s="5"/>
      <c r="D280" s="5"/>
      <c r="E280" s="5"/>
      <c r="F280" s="5"/>
      <c r="G280" s="5"/>
      <c r="H280" s="5"/>
    </row>
    <row r="281" ht="15.75" customHeight="1">
      <c r="A281" s="5"/>
      <c r="B281" s="5"/>
      <c r="C281" s="5"/>
      <c r="D281" s="5"/>
      <c r="E281" s="5"/>
      <c r="F281" s="5"/>
      <c r="G281" s="5"/>
      <c r="H281" s="5"/>
    </row>
    <row r="282" ht="15.75" customHeight="1">
      <c r="A282" s="5"/>
      <c r="B282" s="5"/>
      <c r="C282" s="5"/>
      <c r="D282" s="5"/>
      <c r="E282" s="5"/>
      <c r="F282" s="5"/>
      <c r="G282" s="5"/>
      <c r="H282" s="5"/>
    </row>
    <row r="283" ht="15.75" customHeight="1">
      <c r="A283" s="5"/>
      <c r="B283" s="5"/>
      <c r="C283" s="5"/>
      <c r="D283" s="5"/>
      <c r="E283" s="5"/>
      <c r="F283" s="5"/>
      <c r="G283" s="5"/>
      <c r="H283" s="5"/>
    </row>
    <row r="284" ht="15.75" customHeight="1">
      <c r="A284" s="5"/>
      <c r="B284" s="5"/>
      <c r="C284" s="5"/>
      <c r="D284" s="5"/>
      <c r="E284" s="5"/>
      <c r="F284" s="5"/>
      <c r="G284" s="5"/>
      <c r="H284" s="5"/>
    </row>
    <row r="285" ht="15.75" customHeight="1">
      <c r="A285" s="5"/>
      <c r="B285" s="5"/>
      <c r="C285" s="5"/>
      <c r="D285" s="5"/>
      <c r="E285" s="5"/>
      <c r="F285" s="5"/>
      <c r="G285" s="5"/>
      <c r="H285" s="5"/>
    </row>
    <row r="286" ht="15.75" customHeight="1">
      <c r="A286" s="5"/>
      <c r="B286" s="5"/>
      <c r="C286" s="5"/>
      <c r="D286" s="5"/>
      <c r="E286" s="5"/>
      <c r="F286" s="5"/>
      <c r="G286" s="5"/>
      <c r="H286" s="5"/>
    </row>
    <row r="287" ht="15.75" customHeight="1">
      <c r="A287" s="5"/>
      <c r="B287" s="5"/>
      <c r="C287" s="5"/>
      <c r="D287" s="5"/>
      <c r="E287" s="5"/>
      <c r="F287" s="5"/>
      <c r="G287" s="5"/>
      <c r="H287" s="5"/>
    </row>
    <row r="288" ht="15.75" customHeight="1">
      <c r="A288" s="5"/>
      <c r="B288" s="5"/>
      <c r="C288" s="5"/>
      <c r="D288" s="5"/>
      <c r="E288" s="5"/>
      <c r="F288" s="5"/>
      <c r="G288" s="5"/>
      <c r="H288" s="5"/>
    </row>
    <row r="289" ht="15.75" customHeight="1">
      <c r="A289" s="5"/>
      <c r="B289" s="5"/>
      <c r="C289" s="5"/>
      <c r="D289" s="5"/>
      <c r="E289" s="5"/>
      <c r="F289" s="5"/>
      <c r="G289" s="5"/>
      <c r="H289" s="5"/>
    </row>
    <row r="290" ht="15.75" customHeight="1">
      <c r="A290" s="5"/>
      <c r="B290" s="5"/>
      <c r="C290" s="5"/>
      <c r="D290" s="5"/>
      <c r="E290" s="5"/>
      <c r="F290" s="5"/>
      <c r="G290" s="5"/>
      <c r="H290" s="5"/>
    </row>
    <row r="291" ht="15.75" customHeight="1">
      <c r="A291" s="5"/>
      <c r="B291" s="5"/>
      <c r="C291" s="5"/>
      <c r="D291" s="5"/>
      <c r="E291" s="5"/>
      <c r="F291" s="5"/>
      <c r="G291" s="5"/>
      <c r="H291" s="5"/>
    </row>
    <row r="292" ht="15.75" customHeight="1">
      <c r="A292" s="5"/>
      <c r="B292" s="5"/>
      <c r="C292" s="5"/>
      <c r="D292" s="5"/>
      <c r="E292" s="5"/>
      <c r="F292" s="5"/>
      <c r="G292" s="5"/>
      <c r="H292" s="5"/>
    </row>
    <row r="293" ht="15.75" customHeight="1">
      <c r="A293" s="5"/>
      <c r="B293" s="5"/>
      <c r="C293" s="5"/>
      <c r="D293" s="5"/>
      <c r="E293" s="5"/>
      <c r="F293" s="5"/>
      <c r="G293" s="5"/>
      <c r="H293" s="5"/>
    </row>
    <row r="294" ht="15.75" customHeight="1">
      <c r="A294" s="5"/>
      <c r="B294" s="5"/>
      <c r="C294" s="5"/>
      <c r="D294" s="5"/>
      <c r="E294" s="5"/>
      <c r="F294" s="5"/>
      <c r="G294" s="5"/>
      <c r="H294" s="5"/>
    </row>
    <row r="295" ht="15.75" customHeight="1">
      <c r="A295" s="5"/>
      <c r="B295" s="5"/>
      <c r="C295" s="5"/>
      <c r="D295" s="5"/>
      <c r="E295" s="5"/>
      <c r="F295" s="5"/>
      <c r="G295" s="5"/>
      <c r="H295" s="5"/>
    </row>
    <row r="296" ht="15.75" customHeight="1">
      <c r="A296" s="5"/>
      <c r="B296" s="5"/>
      <c r="C296" s="5"/>
      <c r="D296" s="5"/>
      <c r="E296" s="5"/>
      <c r="F296" s="5"/>
      <c r="G296" s="5"/>
      <c r="H296" s="5"/>
    </row>
    <row r="297" ht="15.75" customHeight="1">
      <c r="A297" s="5"/>
      <c r="B297" s="5"/>
      <c r="C297" s="5"/>
      <c r="D297" s="5"/>
      <c r="E297" s="5"/>
      <c r="F297" s="5"/>
      <c r="G297" s="5"/>
      <c r="H297" s="5"/>
    </row>
    <row r="298" ht="15.75" customHeight="1">
      <c r="A298" s="5"/>
      <c r="B298" s="5"/>
      <c r="C298" s="5"/>
      <c r="D298" s="5"/>
      <c r="E298" s="5"/>
      <c r="F298" s="5"/>
      <c r="G298" s="5"/>
      <c r="H298" s="5"/>
    </row>
    <row r="299" ht="15.75" customHeight="1">
      <c r="A299" s="5"/>
      <c r="B299" s="5"/>
      <c r="C299" s="5"/>
      <c r="D299" s="5"/>
      <c r="E299" s="5"/>
      <c r="F299" s="5"/>
      <c r="G299" s="5"/>
      <c r="H299" s="5"/>
    </row>
    <row r="300" ht="15.75" customHeight="1">
      <c r="A300" s="5"/>
      <c r="B300" s="5"/>
      <c r="C300" s="5"/>
      <c r="D300" s="5"/>
      <c r="E300" s="5"/>
      <c r="F300" s="5"/>
      <c r="G300" s="5"/>
      <c r="H300" s="5"/>
    </row>
    <row r="301" ht="15.75" customHeight="1">
      <c r="A301" s="5"/>
      <c r="B301" s="5"/>
      <c r="C301" s="5"/>
      <c r="D301" s="5"/>
      <c r="E301" s="5"/>
      <c r="F301" s="5"/>
      <c r="G301" s="5"/>
      <c r="H301" s="5"/>
    </row>
    <row r="302" ht="15.75" customHeight="1">
      <c r="A302" s="5"/>
      <c r="B302" s="5"/>
      <c r="C302" s="5"/>
      <c r="D302" s="5"/>
      <c r="E302" s="5"/>
      <c r="F302" s="5"/>
      <c r="G302" s="5"/>
      <c r="H302" s="5"/>
    </row>
    <row r="303" ht="15.75" customHeight="1">
      <c r="A303" s="5"/>
      <c r="B303" s="5"/>
      <c r="C303" s="5"/>
      <c r="D303" s="5"/>
      <c r="E303" s="5"/>
      <c r="F303" s="5"/>
      <c r="G303" s="5"/>
      <c r="H303" s="5"/>
    </row>
    <row r="304" ht="15.75" customHeight="1">
      <c r="A304" s="5"/>
      <c r="B304" s="5"/>
      <c r="C304" s="5"/>
      <c r="D304" s="5"/>
      <c r="E304" s="5"/>
      <c r="F304" s="5"/>
      <c r="G304" s="5"/>
      <c r="H304" s="5"/>
    </row>
    <row r="305" ht="15.75" customHeight="1">
      <c r="A305" s="5"/>
      <c r="B305" s="5"/>
      <c r="C305" s="5"/>
      <c r="D305" s="5"/>
      <c r="E305" s="5"/>
      <c r="F305" s="5"/>
      <c r="G305" s="5"/>
      <c r="H305" s="5"/>
    </row>
    <row r="306" ht="15.75" customHeight="1">
      <c r="A306" s="5"/>
      <c r="B306" s="5"/>
      <c r="C306" s="5"/>
      <c r="D306" s="5"/>
      <c r="E306" s="5"/>
      <c r="F306" s="5"/>
      <c r="G306" s="5"/>
      <c r="H306" s="5"/>
    </row>
    <row r="307" ht="15.75" customHeight="1">
      <c r="A307" s="5"/>
      <c r="B307" s="5"/>
      <c r="C307" s="5"/>
      <c r="D307" s="5"/>
      <c r="E307" s="5"/>
      <c r="F307" s="5"/>
      <c r="G307" s="5"/>
      <c r="H307" s="5"/>
    </row>
    <row r="308" ht="15.75" customHeight="1">
      <c r="A308" s="5"/>
      <c r="B308" s="5"/>
      <c r="C308" s="5"/>
      <c r="D308" s="5"/>
      <c r="E308" s="5"/>
      <c r="F308" s="5"/>
      <c r="G308" s="5"/>
      <c r="H308" s="5"/>
    </row>
    <row r="309" ht="15.75" customHeight="1">
      <c r="A309" s="5"/>
      <c r="B309" s="5"/>
      <c r="C309" s="5"/>
      <c r="D309" s="5"/>
      <c r="E309" s="5"/>
      <c r="F309" s="5"/>
      <c r="G309" s="5"/>
      <c r="H309" s="5"/>
    </row>
    <row r="310" ht="15.75" customHeight="1">
      <c r="A310" s="5"/>
      <c r="B310" s="5"/>
      <c r="C310" s="5"/>
      <c r="D310" s="5"/>
      <c r="E310" s="5"/>
      <c r="F310" s="5"/>
      <c r="G310" s="5"/>
      <c r="H310" s="5"/>
    </row>
    <row r="311" ht="15.75" customHeight="1">
      <c r="A311" s="5"/>
      <c r="B311" s="5"/>
      <c r="C311" s="5"/>
      <c r="D311" s="5"/>
      <c r="E311" s="5"/>
      <c r="F311" s="5"/>
      <c r="G311" s="5"/>
      <c r="H311" s="5"/>
    </row>
    <row r="312" ht="15.75" customHeight="1">
      <c r="A312" s="5"/>
      <c r="B312" s="5"/>
      <c r="C312" s="5"/>
      <c r="D312" s="5"/>
      <c r="E312" s="5"/>
      <c r="F312" s="5"/>
      <c r="G312" s="5"/>
      <c r="H312" s="5"/>
    </row>
    <row r="313" ht="15.75" customHeight="1">
      <c r="A313" s="5"/>
      <c r="B313" s="5"/>
      <c r="C313" s="5"/>
      <c r="D313" s="5"/>
      <c r="E313" s="5"/>
      <c r="F313" s="5"/>
      <c r="G313" s="5"/>
      <c r="H313" s="5"/>
    </row>
    <row r="314" ht="15.75" customHeight="1">
      <c r="A314" s="5"/>
      <c r="B314" s="5"/>
      <c r="C314" s="5"/>
      <c r="D314" s="5"/>
      <c r="E314" s="5"/>
      <c r="F314" s="5"/>
      <c r="G314" s="5"/>
      <c r="H314" s="5"/>
    </row>
    <row r="315" ht="15.75" customHeight="1">
      <c r="A315" s="5"/>
      <c r="B315" s="5"/>
      <c r="C315" s="5"/>
      <c r="D315" s="5"/>
      <c r="E315" s="5"/>
      <c r="F315" s="5"/>
      <c r="G315" s="5"/>
      <c r="H315" s="5"/>
    </row>
    <row r="316" ht="15.75" customHeight="1">
      <c r="A316" s="5"/>
      <c r="B316" s="5"/>
      <c r="C316" s="5"/>
      <c r="D316" s="5"/>
      <c r="E316" s="5"/>
      <c r="F316" s="5"/>
      <c r="G316" s="5"/>
      <c r="H316" s="5"/>
    </row>
    <row r="317" ht="15.75" customHeight="1">
      <c r="A317" s="5"/>
      <c r="B317" s="5"/>
      <c r="C317" s="5"/>
      <c r="D317" s="5"/>
      <c r="E317" s="5"/>
      <c r="F317" s="5"/>
      <c r="G317" s="5"/>
      <c r="H317" s="5"/>
    </row>
    <row r="318" ht="15.75" customHeight="1">
      <c r="A318" s="5"/>
      <c r="B318" s="5"/>
      <c r="C318" s="5"/>
      <c r="D318" s="5"/>
      <c r="E318" s="5"/>
      <c r="F318" s="5"/>
      <c r="G318" s="5"/>
      <c r="H318" s="5"/>
    </row>
    <row r="319" ht="15.75" customHeight="1">
      <c r="A319" s="5"/>
      <c r="B319" s="5"/>
      <c r="C319" s="5"/>
      <c r="D319" s="5"/>
      <c r="E319" s="5"/>
      <c r="F319" s="5"/>
      <c r="G319" s="5"/>
      <c r="H319" s="5"/>
    </row>
    <row r="320" ht="15.75" customHeight="1">
      <c r="A320" s="5"/>
      <c r="B320" s="5"/>
      <c r="C320" s="5"/>
      <c r="D320" s="5"/>
      <c r="E320" s="5"/>
      <c r="F320" s="5"/>
      <c r="G320" s="5"/>
      <c r="H320" s="5"/>
    </row>
    <row r="321" ht="15.75" customHeight="1">
      <c r="A321" s="5"/>
      <c r="B321" s="5"/>
      <c r="C321" s="5"/>
      <c r="D321" s="5"/>
      <c r="E321" s="5"/>
      <c r="F321" s="5"/>
      <c r="G321" s="5"/>
      <c r="H321" s="5"/>
    </row>
    <row r="322" ht="15.75" customHeight="1">
      <c r="A322" s="5"/>
      <c r="B322" s="5"/>
      <c r="C322" s="5"/>
      <c r="D322" s="5"/>
      <c r="E322" s="5"/>
      <c r="F322" s="5"/>
      <c r="G322" s="5"/>
      <c r="H322" s="5"/>
    </row>
    <row r="323" ht="15.75" customHeight="1">
      <c r="A323" s="5"/>
      <c r="B323" s="5"/>
      <c r="C323" s="5"/>
      <c r="D323" s="5"/>
      <c r="E323" s="5"/>
      <c r="F323" s="5"/>
      <c r="G323" s="5"/>
      <c r="H323" s="5"/>
    </row>
    <row r="324" ht="15.75" customHeight="1">
      <c r="A324" s="5"/>
      <c r="B324" s="5"/>
      <c r="C324" s="5"/>
      <c r="D324" s="5"/>
      <c r="E324" s="5"/>
      <c r="F324" s="5"/>
      <c r="G324" s="5"/>
      <c r="H324" s="5"/>
    </row>
    <row r="325" ht="15.75" customHeight="1">
      <c r="A325" s="5"/>
      <c r="B325" s="5"/>
      <c r="C325" s="5"/>
      <c r="D325" s="5"/>
      <c r="E325" s="5"/>
      <c r="F325" s="5"/>
      <c r="G325" s="5"/>
      <c r="H325" s="5"/>
    </row>
    <row r="326" ht="15.75" customHeight="1">
      <c r="A326" s="5"/>
      <c r="B326" s="5"/>
      <c r="C326" s="5"/>
      <c r="D326" s="5"/>
      <c r="E326" s="5"/>
      <c r="F326" s="5"/>
      <c r="G326" s="5"/>
      <c r="H326" s="5"/>
    </row>
    <row r="327" ht="15.75" customHeight="1">
      <c r="A327" s="5"/>
      <c r="B327" s="5"/>
      <c r="C327" s="5"/>
      <c r="D327" s="5"/>
      <c r="E327" s="5"/>
      <c r="F327" s="5"/>
      <c r="G327" s="5"/>
      <c r="H327" s="5"/>
    </row>
    <row r="328" ht="15.75" customHeight="1">
      <c r="A328" s="5"/>
      <c r="B328" s="5"/>
      <c r="C328" s="5"/>
      <c r="D328" s="5"/>
      <c r="E328" s="5"/>
      <c r="F328" s="5"/>
      <c r="G328" s="5"/>
      <c r="H328" s="5"/>
    </row>
    <row r="329" ht="15.75" customHeight="1">
      <c r="A329" s="5"/>
      <c r="B329" s="5"/>
      <c r="C329" s="5"/>
      <c r="D329" s="5"/>
      <c r="E329" s="5"/>
      <c r="F329" s="5"/>
      <c r="G329" s="5"/>
      <c r="H329" s="5"/>
    </row>
    <row r="330" ht="15.75" customHeight="1">
      <c r="A330" s="5"/>
      <c r="B330" s="5"/>
      <c r="C330" s="5"/>
      <c r="D330" s="5"/>
      <c r="E330" s="5"/>
      <c r="F330" s="5"/>
      <c r="G330" s="5"/>
      <c r="H330" s="5"/>
    </row>
    <row r="331" ht="15.75" customHeight="1">
      <c r="A331" s="5"/>
      <c r="B331" s="5"/>
      <c r="C331" s="5"/>
      <c r="D331" s="5"/>
      <c r="E331" s="5"/>
      <c r="F331" s="5"/>
      <c r="G331" s="5"/>
      <c r="H331" s="5"/>
    </row>
    <row r="332" ht="15.75" customHeight="1">
      <c r="A332" s="5"/>
      <c r="B332" s="5"/>
      <c r="C332" s="5"/>
      <c r="D332" s="5"/>
      <c r="E332" s="5"/>
      <c r="F332" s="5"/>
      <c r="G332" s="5"/>
      <c r="H332" s="5"/>
    </row>
    <row r="333" ht="15.75" customHeight="1">
      <c r="A333" s="5"/>
      <c r="B333" s="5"/>
      <c r="C333" s="5"/>
      <c r="D333" s="5"/>
      <c r="E333" s="5"/>
      <c r="F333" s="5"/>
      <c r="G333" s="5"/>
      <c r="H333" s="5"/>
    </row>
    <row r="334" ht="15.75" customHeight="1">
      <c r="A334" s="5"/>
      <c r="B334" s="5"/>
      <c r="C334" s="5"/>
      <c r="D334" s="5"/>
      <c r="E334" s="5"/>
      <c r="F334" s="5"/>
      <c r="G334" s="5"/>
      <c r="H334" s="5"/>
    </row>
    <row r="335" ht="15.75" customHeight="1">
      <c r="A335" s="5"/>
      <c r="B335" s="5"/>
      <c r="C335" s="5"/>
      <c r="D335" s="5"/>
      <c r="E335" s="5"/>
      <c r="F335" s="5"/>
      <c r="G335" s="5"/>
      <c r="H335" s="5"/>
    </row>
    <row r="336" ht="15.75" customHeight="1">
      <c r="A336" s="5"/>
      <c r="B336" s="5"/>
      <c r="C336" s="5"/>
      <c r="D336" s="5"/>
      <c r="E336" s="5"/>
      <c r="F336" s="5"/>
      <c r="G336" s="5"/>
      <c r="H336" s="5"/>
    </row>
    <row r="337" ht="15.75" customHeight="1">
      <c r="A337" s="5"/>
      <c r="B337" s="5"/>
      <c r="C337" s="5"/>
      <c r="D337" s="5"/>
      <c r="E337" s="5"/>
      <c r="F337" s="5"/>
      <c r="G337" s="5"/>
      <c r="H337" s="5"/>
    </row>
    <row r="338" ht="15.75" customHeight="1">
      <c r="A338" s="5"/>
      <c r="B338" s="5"/>
      <c r="C338" s="5"/>
      <c r="D338" s="5"/>
      <c r="E338" s="5"/>
      <c r="F338" s="5"/>
      <c r="G338" s="5"/>
      <c r="H338" s="5"/>
    </row>
    <row r="339" ht="15.75" customHeight="1">
      <c r="A339" s="5"/>
      <c r="B339" s="5"/>
      <c r="C339" s="5"/>
      <c r="D339" s="5"/>
      <c r="E339" s="5"/>
      <c r="F339" s="5"/>
      <c r="G339" s="5"/>
      <c r="H339" s="5"/>
    </row>
    <row r="340" ht="15.75" customHeight="1">
      <c r="A340" s="5"/>
      <c r="B340" s="5"/>
      <c r="C340" s="5"/>
      <c r="D340" s="5"/>
      <c r="E340" s="5"/>
      <c r="F340" s="5"/>
      <c r="G340" s="5"/>
      <c r="H340" s="5"/>
    </row>
    <row r="341" ht="15.75" customHeight="1">
      <c r="A341" s="5"/>
      <c r="B341" s="5"/>
      <c r="C341" s="5"/>
      <c r="D341" s="5"/>
      <c r="E341" s="5"/>
      <c r="F341" s="5"/>
      <c r="G341" s="5"/>
      <c r="H341" s="5"/>
    </row>
    <row r="342" ht="15.75" customHeight="1">
      <c r="A342" s="5"/>
      <c r="B342" s="5"/>
      <c r="C342" s="5"/>
      <c r="D342" s="5"/>
      <c r="E342" s="5"/>
      <c r="F342" s="5"/>
      <c r="G342" s="5"/>
      <c r="H342" s="5"/>
    </row>
    <row r="343" ht="15.75" customHeight="1">
      <c r="A343" s="5"/>
      <c r="B343" s="5"/>
      <c r="C343" s="5"/>
      <c r="D343" s="5"/>
      <c r="E343" s="5"/>
      <c r="F343" s="5"/>
      <c r="G343" s="5"/>
      <c r="H343" s="5"/>
    </row>
    <row r="344" ht="15.75" customHeight="1">
      <c r="A344" s="5"/>
      <c r="B344" s="5"/>
      <c r="C344" s="5"/>
      <c r="D344" s="5"/>
      <c r="E344" s="5"/>
      <c r="F344" s="5"/>
      <c r="G344" s="5"/>
      <c r="H344" s="5"/>
    </row>
    <row r="345" ht="15.75" customHeight="1">
      <c r="A345" s="5"/>
      <c r="B345" s="5"/>
      <c r="C345" s="5"/>
      <c r="D345" s="5"/>
      <c r="E345" s="5"/>
      <c r="F345" s="5"/>
      <c r="G345" s="5"/>
      <c r="H345" s="5"/>
    </row>
    <row r="346" ht="15.75" customHeight="1">
      <c r="A346" s="5"/>
      <c r="B346" s="5"/>
      <c r="C346" s="5"/>
      <c r="D346" s="5"/>
      <c r="E346" s="5"/>
      <c r="F346" s="5"/>
      <c r="G346" s="5"/>
      <c r="H346" s="5"/>
    </row>
    <row r="347" ht="15.75" customHeight="1">
      <c r="A347" s="5"/>
      <c r="B347" s="5"/>
      <c r="C347" s="5"/>
      <c r="D347" s="5"/>
      <c r="E347" s="5"/>
      <c r="F347" s="5"/>
      <c r="G347" s="5"/>
      <c r="H347" s="5"/>
    </row>
    <row r="348" ht="15.75" customHeight="1">
      <c r="A348" s="5"/>
      <c r="B348" s="5"/>
      <c r="C348" s="5"/>
      <c r="D348" s="5"/>
      <c r="E348" s="5"/>
      <c r="F348" s="5"/>
      <c r="G348" s="5"/>
      <c r="H348" s="5"/>
    </row>
    <row r="349" ht="15.75" customHeight="1">
      <c r="A349" s="5"/>
      <c r="B349" s="5"/>
      <c r="C349" s="5"/>
      <c r="D349" s="5"/>
      <c r="E349" s="5"/>
      <c r="F349" s="5"/>
      <c r="G349" s="5"/>
      <c r="H349" s="5"/>
    </row>
    <row r="350" ht="15.75" customHeight="1">
      <c r="A350" s="5"/>
      <c r="B350" s="5"/>
      <c r="C350" s="5"/>
      <c r="D350" s="5"/>
      <c r="E350" s="5"/>
      <c r="F350" s="5"/>
      <c r="G350" s="5"/>
      <c r="H350" s="5"/>
    </row>
    <row r="351" ht="15.75" customHeight="1">
      <c r="A351" s="5"/>
      <c r="B351" s="5"/>
      <c r="C351" s="5"/>
      <c r="D351" s="5"/>
      <c r="E351" s="5"/>
      <c r="F351" s="5"/>
      <c r="G351" s="5"/>
      <c r="H351" s="5"/>
    </row>
    <row r="352" ht="15.75" customHeight="1">
      <c r="A352" s="5"/>
      <c r="B352" s="5"/>
      <c r="C352" s="5"/>
      <c r="D352" s="5"/>
      <c r="E352" s="5"/>
      <c r="F352" s="5"/>
      <c r="G352" s="5"/>
      <c r="H352" s="5"/>
    </row>
    <row r="353" ht="15.75" customHeight="1">
      <c r="A353" s="5"/>
      <c r="B353" s="5"/>
      <c r="C353" s="5"/>
      <c r="D353" s="5"/>
      <c r="E353" s="5"/>
      <c r="F353" s="5"/>
      <c r="G353" s="5"/>
      <c r="H353" s="5"/>
    </row>
    <row r="354" ht="15.75" customHeight="1">
      <c r="A354" s="5"/>
      <c r="B354" s="5"/>
      <c r="C354" s="5"/>
      <c r="D354" s="5"/>
      <c r="E354" s="5"/>
      <c r="F354" s="5"/>
      <c r="G354" s="5"/>
      <c r="H354" s="5"/>
    </row>
    <row r="355" ht="15.75" customHeight="1">
      <c r="A355" s="5"/>
      <c r="B355" s="5"/>
      <c r="C355" s="5"/>
      <c r="D355" s="5"/>
      <c r="E355" s="5"/>
      <c r="F355" s="5"/>
      <c r="G355" s="5"/>
      <c r="H355" s="5"/>
    </row>
    <row r="356" ht="15.75" customHeight="1">
      <c r="A356" s="5"/>
      <c r="B356" s="5"/>
      <c r="C356" s="5"/>
      <c r="D356" s="5"/>
      <c r="E356" s="5"/>
      <c r="F356" s="5"/>
      <c r="G356" s="5"/>
      <c r="H356" s="5"/>
    </row>
    <row r="357" ht="15.75" customHeight="1">
      <c r="A357" s="5"/>
      <c r="B357" s="5"/>
      <c r="C357" s="5"/>
      <c r="D357" s="5"/>
      <c r="E357" s="5"/>
      <c r="F357" s="5"/>
      <c r="G357" s="5"/>
      <c r="H357" s="5"/>
    </row>
    <row r="358" ht="15.75" customHeight="1">
      <c r="A358" s="5"/>
      <c r="B358" s="5"/>
      <c r="C358" s="5"/>
      <c r="D358" s="5"/>
      <c r="E358" s="5"/>
      <c r="F358" s="5"/>
      <c r="G358" s="5"/>
      <c r="H358" s="5"/>
    </row>
    <row r="359" ht="15.75" customHeight="1">
      <c r="A359" s="5"/>
      <c r="B359" s="5"/>
      <c r="C359" s="5"/>
      <c r="D359" s="5"/>
      <c r="E359" s="5"/>
      <c r="F359" s="5"/>
      <c r="G359" s="5"/>
      <c r="H359" s="5"/>
    </row>
    <row r="360" ht="15.75" customHeight="1">
      <c r="A360" s="5"/>
      <c r="B360" s="5"/>
      <c r="C360" s="5"/>
      <c r="D360" s="5"/>
      <c r="E360" s="5"/>
      <c r="F360" s="5"/>
      <c r="G360" s="5"/>
      <c r="H360" s="5"/>
    </row>
    <row r="361" ht="15.75" customHeight="1">
      <c r="A361" s="5"/>
      <c r="B361" s="5"/>
      <c r="C361" s="5"/>
      <c r="D361" s="5"/>
      <c r="E361" s="5"/>
      <c r="F361" s="5"/>
      <c r="G361" s="5"/>
      <c r="H361" s="5"/>
    </row>
    <row r="362" ht="15.75" customHeight="1">
      <c r="A362" s="5"/>
      <c r="B362" s="5"/>
      <c r="C362" s="5"/>
      <c r="D362" s="5"/>
      <c r="E362" s="5"/>
      <c r="F362" s="5"/>
      <c r="G362" s="5"/>
      <c r="H362" s="5"/>
    </row>
    <row r="363" ht="15.75" customHeight="1">
      <c r="A363" s="5"/>
      <c r="B363" s="5"/>
      <c r="C363" s="5"/>
      <c r="D363" s="5"/>
      <c r="E363" s="5"/>
      <c r="F363" s="5"/>
      <c r="G363" s="5"/>
      <c r="H363" s="5"/>
    </row>
    <row r="364" ht="15.75" customHeight="1">
      <c r="A364" s="5"/>
      <c r="B364" s="5"/>
      <c r="C364" s="5"/>
      <c r="D364" s="5"/>
      <c r="E364" s="5"/>
      <c r="F364" s="5"/>
      <c r="G364" s="5"/>
      <c r="H364" s="5"/>
    </row>
    <row r="365" ht="15.75" customHeight="1">
      <c r="A365" s="5"/>
      <c r="B365" s="5"/>
      <c r="C365" s="5"/>
      <c r="D365" s="5"/>
      <c r="E365" s="5"/>
      <c r="F365" s="5"/>
      <c r="G365" s="5"/>
      <c r="H365" s="5"/>
    </row>
    <row r="366" ht="15.75" customHeight="1">
      <c r="A366" s="5"/>
      <c r="B366" s="5"/>
      <c r="C366" s="5"/>
      <c r="D366" s="5"/>
      <c r="E366" s="5"/>
      <c r="F366" s="5"/>
      <c r="G366" s="5"/>
      <c r="H366" s="5"/>
    </row>
    <row r="367" ht="15.75" customHeight="1">
      <c r="A367" s="5"/>
      <c r="B367" s="5"/>
      <c r="C367" s="5"/>
      <c r="D367" s="5"/>
      <c r="E367" s="5"/>
      <c r="F367" s="5"/>
      <c r="G367" s="5"/>
      <c r="H367" s="5"/>
    </row>
    <row r="368" ht="15.75" customHeight="1">
      <c r="A368" s="5"/>
      <c r="B368" s="5"/>
      <c r="C368" s="5"/>
      <c r="D368" s="5"/>
      <c r="E368" s="5"/>
      <c r="F368" s="5"/>
      <c r="G368" s="5"/>
      <c r="H368" s="5"/>
    </row>
    <row r="369" ht="15.75" customHeight="1">
      <c r="A369" s="5"/>
      <c r="B369" s="5"/>
      <c r="C369" s="5"/>
      <c r="D369" s="5"/>
      <c r="E369" s="5"/>
      <c r="F369" s="5"/>
      <c r="G369" s="5"/>
      <c r="H369" s="5"/>
    </row>
    <row r="370" ht="15.75" customHeight="1">
      <c r="A370" s="5"/>
      <c r="B370" s="5"/>
      <c r="C370" s="5"/>
      <c r="D370" s="5"/>
      <c r="E370" s="5"/>
      <c r="F370" s="5"/>
      <c r="G370" s="5"/>
      <c r="H370" s="5"/>
    </row>
    <row r="371" ht="15.75" customHeight="1">
      <c r="A371" s="5"/>
      <c r="B371" s="5"/>
      <c r="C371" s="5"/>
      <c r="D371" s="5"/>
      <c r="E371" s="5"/>
      <c r="F371" s="5"/>
      <c r="G371" s="5"/>
      <c r="H371" s="5"/>
    </row>
    <row r="372" ht="15.75" customHeight="1">
      <c r="A372" s="5"/>
      <c r="B372" s="5"/>
      <c r="C372" s="5"/>
      <c r="D372" s="5"/>
      <c r="E372" s="5"/>
      <c r="F372" s="5"/>
      <c r="G372" s="5"/>
      <c r="H372" s="5"/>
    </row>
    <row r="373" ht="15.75" customHeight="1">
      <c r="A373" s="5"/>
      <c r="B373" s="5"/>
      <c r="C373" s="5"/>
      <c r="D373" s="5"/>
      <c r="E373" s="5"/>
      <c r="F373" s="5"/>
      <c r="G373" s="5"/>
      <c r="H373" s="5"/>
    </row>
    <row r="374" ht="15.75" customHeight="1">
      <c r="A374" s="5"/>
      <c r="B374" s="5"/>
      <c r="C374" s="5"/>
      <c r="D374" s="5"/>
      <c r="E374" s="5"/>
      <c r="F374" s="5"/>
      <c r="G374" s="5"/>
      <c r="H374" s="5"/>
    </row>
    <row r="375" ht="15.75" customHeight="1">
      <c r="A375" s="5"/>
      <c r="B375" s="5"/>
      <c r="C375" s="5"/>
      <c r="D375" s="5"/>
      <c r="E375" s="5"/>
      <c r="F375" s="5"/>
      <c r="G375" s="5"/>
      <c r="H375" s="5"/>
    </row>
    <row r="376" ht="15.75" customHeight="1">
      <c r="A376" s="5"/>
      <c r="B376" s="5"/>
      <c r="C376" s="5"/>
      <c r="D376" s="5"/>
      <c r="E376" s="5"/>
      <c r="F376" s="5"/>
      <c r="G376" s="5"/>
      <c r="H376" s="5"/>
    </row>
    <row r="377" ht="15.75" customHeight="1">
      <c r="A377" s="5"/>
      <c r="B377" s="5"/>
      <c r="C377" s="5"/>
      <c r="D377" s="5"/>
      <c r="E377" s="5"/>
      <c r="F377" s="5"/>
      <c r="G377" s="5"/>
      <c r="H377" s="5"/>
    </row>
    <row r="378" ht="15.75" customHeight="1">
      <c r="A378" s="5"/>
      <c r="B378" s="5"/>
      <c r="C378" s="5"/>
      <c r="D378" s="5"/>
      <c r="E378" s="5"/>
      <c r="F378" s="5"/>
      <c r="G378" s="5"/>
      <c r="H378" s="5"/>
    </row>
    <row r="379" ht="15.75" customHeight="1">
      <c r="A379" s="5"/>
      <c r="B379" s="5"/>
      <c r="C379" s="5"/>
      <c r="D379" s="5"/>
      <c r="E379" s="5"/>
      <c r="F379" s="5"/>
      <c r="G379" s="5"/>
      <c r="H379" s="5"/>
    </row>
    <row r="380" ht="15.75" customHeight="1">
      <c r="A380" s="5"/>
      <c r="B380" s="5"/>
      <c r="C380" s="5"/>
      <c r="D380" s="5"/>
      <c r="E380" s="5"/>
      <c r="F380" s="5"/>
      <c r="G380" s="5"/>
      <c r="H380" s="5"/>
    </row>
    <row r="381" ht="15.75" customHeight="1">
      <c r="A381" s="5"/>
      <c r="B381" s="5"/>
      <c r="C381" s="5"/>
      <c r="D381" s="5"/>
      <c r="E381" s="5"/>
      <c r="F381" s="5"/>
      <c r="G381" s="5"/>
      <c r="H381" s="5"/>
    </row>
    <row r="382" ht="15.75" customHeight="1">
      <c r="A382" s="5"/>
      <c r="B382" s="5"/>
      <c r="C382" s="5"/>
      <c r="D382" s="5"/>
      <c r="E382" s="5"/>
      <c r="F382" s="5"/>
      <c r="G382" s="5"/>
      <c r="H382" s="5"/>
    </row>
    <row r="383" ht="15.75" customHeight="1">
      <c r="A383" s="5"/>
      <c r="B383" s="5"/>
      <c r="C383" s="5"/>
      <c r="D383" s="5"/>
      <c r="E383" s="5"/>
      <c r="F383" s="5"/>
      <c r="G383" s="5"/>
      <c r="H383" s="5"/>
    </row>
    <row r="384" ht="15.75" customHeight="1">
      <c r="A384" s="5"/>
      <c r="B384" s="5"/>
      <c r="C384" s="5"/>
      <c r="D384" s="5"/>
      <c r="E384" s="5"/>
      <c r="F384" s="5"/>
      <c r="G384" s="5"/>
      <c r="H384" s="5"/>
    </row>
    <row r="385" ht="15.75" customHeight="1">
      <c r="A385" s="5"/>
      <c r="B385" s="5"/>
      <c r="C385" s="5"/>
      <c r="D385" s="5"/>
      <c r="E385" s="5"/>
      <c r="F385" s="5"/>
      <c r="G385" s="5"/>
      <c r="H385" s="5"/>
    </row>
    <row r="386" ht="15.75" customHeight="1">
      <c r="A386" s="5"/>
      <c r="B386" s="5"/>
      <c r="C386" s="5"/>
      <c r="D386" s="5"/>
      <c r="E386" s="5"/>
      <c r="F386" s="5"/>
      <c r="G386" s="5"/>
      <c r="H386" s="5"/>
    </row>
    <row r="387" ht="15.75" customHeight="1">
      <c r="A387" s="5"/>
      <c r="B387" s="5"/>
      <c r="C387" s="5"/>
      <c r="D387" s="5"/>
      <c r="E387" s="5"/>
      <c r="F387" s="5"/>
      <c r="G387" s="5"/>
      <c r="H387" s="5"/>
    </row>
    <row r="388" ht="15.75" customHeight="1">
      <c r="A388" s="5"/>
      <c r="B388" s="5"/>
      <c r="C388" s="5"/>
      <c r="D388" s="5"/>
      <c r="E388" s="5"/>
      <c r="F388" s="5"/>
      <c r="G388" s="5"/>
      <c r="H388" s="5"/>
    </row>
    <row r="389" ht="15.75" customHeight="1">
      <c r="A389" s="5"/>
      <c r="B389" s="5"/>
      <c r="C389" s="5"/>
      <c r="D389" s="5"/>
      <c r="E389" s="5"/>
      <c r="F389" s="5"/>
      <c r="G389" s="5"/>
      <c r="H389" s="5"/>
    </row>
    <row r="390" ht="15.75" customHeight="1">
      <c r="A390" s="5"/>
      <c r="B390" s="5"/>
      <c r="C390" s="5"/>
      <c r="D390" s="5"/>
      <c r="E390" s="5"/>
      <c r="F390" s="5"/>
      <c r="G390" s="5"/>
      <c r="H390" s="5"/>
    </row>
    <row r="391" ht="15.75" customHeight="1">
      <c r="A391" s="5"/>
      <c r="B391" s="5"/>
      <c r="C391" s="5"/>
      <c r="D391" s="5"/>
      <c r="E391" s="5"/>
      <c r="F391" s="5"/>
      <c r="G391" s="5"/>
      <c r="H391" s="5"/>
    </row>
    <row r="392" ht="15.75" customHeight="1">
      <c r="A392" s="5"/>
      <c r="B392" s="5"/>
      <c r="C392" s="5"/>
      <c r="D392" s="5"/>
      <c r="E392" s="5"/>
      <c r="F392" s="5"/>
      <c r="G392" s="5"/>
      <c r="H392" s="5"/>
    </row>
    <row r="393" ht="15.75" customHeight="1">
      <c r="A393" s="5"/>
      <c r="B393" s="5"/>
      <c r="C393" s="5"/>
      <c r="D393" s="5"/>
      <c r="E393" s="5"/>
      <c r="F393" s="5"/>
      <c r="G393" s="5"/>
      <c r="H393" s="5"/>
    </row>
    <row r="394" ht="15.75" customHeight="1">
      <c r="A394" s="5"/>
      <c r="B394" s="5"/>
      <c r="C394" s="5"/>
      <c r="D394" s="5"/>
      <c r="E394" s="5"/>
      <c r="F394" s="5"/>
      <c r="G394" s="5"/>
      <c r="H394" s="5"/>
    </row>
    <row r="395" ht="15.75" customHeight="1">
      <c r="A395" s="5"/>
      <c r="B395" s="5"/>
      <c r="C395" s="5"/>
      <c r="D395" s="5"/>
      <c r="E395" s="5"/>
      <c r="F395" s="5"/>
      <c r="G395" s="5"/>
      <c r="H395" s="5"/>
    </row>
    <row r="396" ht="15.75" customHeight="1">
      <c r="A396" s="5"/>
      <c r="B396" s="5"/>
      <c r="C396" s="5"/>
      <c r="D396" s="5"/>
      <c r="E396" s="5"/>
      <c r="F396" s="5"/>
      <c r="G396" s="5"/>
      <c r="H396" s="5"/>
    </row>
    <row r="397" ht="15.75" customHeight="1">
      <c r="A397" s="5"/>
      <c r="B397" s="5"/>
      <c r="C397" s="5"/>
      <c r="D397" s="5"/>
      <c r="E397" s="5"/>
      <c r="F397" s="5"/>
      <c r="G397" s="5"/>
      <c r="H397" s="5"/>
    </row>
    <row r="398" ht="15.75" customHeight="1">
      <c r="A398" s="5"/>
      <c r="B398" s="5"/>
      <c r="C398" s="5"/>
      <c r="D398" s="5"/>
      <c r="E398" s="5"/>
      <c r="F398" s="5"/>
      <c r="G398" s="5"/>
      <c r="H398" s="5"/>
    </row>
    <row r="399" ht="15.75" customHeight="1">
      <c r="A399" s="5"/>
      <c r="B399" s="5"/>
      <c r="C399" s="5"/>
      <c r="D399" s="5"/>
      <c r="E399" s="5"/>
      <c r="F399" s="5"/>
      <c r="G399" s="5"/>
      <c r="H399" s="5"/>
    </row>
    <row r="400" ht="15.75" customHeight="1">
      <c r="A400" s="5"/>
      <c r="B400" s="5"/>
      <c r="C400" s="5"/>
      <c r="D400" s="5"/>
      <c r="E400" s="5"/>
      <c r="F400" s="5"/>
      <c r="G400" s="5"/>
      <c r="H400" s="5"/>
    </row>
    <row r="401" ht="15.75" customHeight="1">
      <c r="A401" s="5"/>
      <c r="B401" s="5"/>
      <c r="C401" s="5"/>
      <c r="D401" s="5"/>
      <c r="E401" s="5"/>
      <c r="F401" s="5"/>
      <c r="G401" s="5"/>
      <c r="H401" s="5"/>
    </row>
    <row r="402" ht="15.75" customHeight="1">
      <c r="A402" s="5"/>
      <c r="B402" s="5"/>
      <c r="C402" s="5"/>
      <c r="D402" s="5"/>
      <c r="E402" s="5"/>
      <c r="F402" s="5"/>
      <c r="G402" s="5"/>
      <c r="H402" s="5"/>
    </row>
    <row r="403" ht="15.75" customHeight="1">
      <c r="A403" s="5"/>
      <c r="B403" s="5"/>
      <c r="C403" s="5"/>
      <c r="D403" s="5"/>
      <c r="E403" s="5"/>
      <c r="F403" s="5"/>
      <c r="G403" s="5"/>
      <c r="H403" s="5"/>
    </row>
    <row r="404" ht="15.75" customHeight="1">
      <c r="A404" s="5"/>
      <c r="B404" s="5"/>
      <c r="C404" s="5"/>
      <c r="D404" s="5"/>
      <c r="E404" s="5"/>
      <c r="F404" s="5"/>
      <c r="G404" s="5"/>
      <c r="H404" s="5"/>
    </row>
    <row r="405" ht="15.75" customHeight="1">
      <c r="A405" s="5"/>
      <c r="B405" s="5"/>
      <c r="C405" s="5"/>
      <c r="D405" s="5"/>
      <c r="E405" s="5"/>
      <c r="F405" s="5"/>
      <c r="G405" s="5"/>
      <c r="H405" s="5"/>
    </row>
    <row r="406" ht="15.75" customHeight="1">
      <c r="A406" s="5"/>
      <c r="B406" s="5"/>
      <c r="C406" s="5"/>
      <c r="D406" s="5"/>
      <c r="E406" s="5"/>
      <c r="F406" s="5"/>
      <c r="G406" s="5"/>
      <c r="H406" s="5"/>
    </row>
    <row r="407" ht="15.75" customHeight="1">
      <c r="A407" s="5"/>
      <c r="B407" s="5"/>
      <c r="C407" s="5"/>
      <c r="D407" s="5"/>
      <c r="E407" s="5"/>
      <c r="F407" s="5"/>
      <c r="G407" s="5"/>
      <c r="H407" s="5"/>
    </row>
    <row r="408" ht="15.75" customHeight="1">
      <c r="A408" s="5"/>
      <c r="B408" s="5"/>
      <c r="C408" s="5"/>
      <c r="D408" s="5"/>
      <c r="E408" s="5"/>
      <c r="F408" s="5"/>
      <c r="G408" s="5"/>
      <c r="H408" s="5"/>
    </row>
    <row r="409" ht="15.75" customHeight="1">
      <c r="A409" s="5"/>
      <c r="B409" s="5"/>
      <c r="C409" s="5"/>
      <c r="D409" s="5"/>
      <c r="E409" s="5"/>
      <c r="F409" s="5"/>
      <c r="G409" s="5"/>
      <c r="H409" s="5"/>
    </row>
    <row r="410" ht="15.75" customHeight="1">
      <c r="A410" s="5"/>
      <c r="B410" s="5"/>
      <c r="C410" s="5"/>
      <c r="D410" s="5"/>
      <c r="E410" s="5"/>
      <c r="F410" s="5"/>
      <c r="G410" s="5"/>
      <c r="H410" s="5"/>
    </row>
    <row r="411" ht="15.75" customHeight="1">
      <c r="A411" s="5"/>
      <c r="B411" s="5"/>
      <c r="C411" s="5"/>
      <c r="D411" s="5"/>
      <c r="E411" s="5"/>
      <c r="F411" s="5"/>
      <c r="G411" s="5"/>
      <c r="H411" s="5"/>
    </row>
    <row r="412" ht="15.75" customHeight="1">
      <c r="A412" s="5"/>
      <c r="B412" s="5"/>
      <c r="C412" s="5"/>
      <c r="D412" s="5"/>
      <c r="E412" s="5"/>
      <c r="F412" s="5"/>
      <c r="G412" s="5"/>
      <c r="H412" s="5"/>
    </row>
    <row r="413" ht="15.75" customHeight="1">
      <c r="A413" s="5"/>
      <c r="B413" s="5"/>
      <c r="C413" s="5"/>
      <c r="D413" s="5"/>
      <c r="E413" s="5"/>
      <c r="F413" s="5"/>
      <c r="G413" s="5"/>
      <c r="H413" s="5"/>
    </row>
    <row r="414" ht="15.75" customHeight="1">
      <c r="A414" s="5"/>
      <c r="B414" s="5"/>
      <c r="C414" s="5"/>
      <c r="D414" s="5"/>
      <c r="E414" s="5"/>
      <c r="F414" s="5"/>
      <c r="G414" s="5"/>
      <c r="H414" s="5"/>
    </row>
    <row r="415" ht="15.75" customHeight="1">
      <c r="A415" s="5"/>
      <c r="B415" s="5"/>
      <c r="C415" s="5"/>
      <c r="D415" s="5"/>
      <c r="E415" s="5"/>
      <c r="F415" s="5"/>
      <c r="G415" s="5"/>
      <c r="H415" s="5"/>
    </row>
    <row r="416" ht="15.75" customHeight="1">
      <c r="A416" s="5"/>
      <c r="B416" s="5"/>
      <c r="C416" s="5"/>
      <c r="D416" s="5"/>
      <c r="E416" s="5"/>
      <c r="F416" s="5"/>
      <c r="G416" s="5"/>
      <c r="H416" s="5"/>
    </row>
    <row r="417" ht="15.75" customHeight="1">
      <c r="A417" s="5"/>
      <c r="B417" s="5"/>
      <c r="C417" s="5"/>
      <c r="D417" s="5"/>
      <c r="E417" s="5"/>
      <c r="F417" s="5"/>
      <c r="G417" s="5"/>
      <c r="H417" s="5"/>
    </row>
    <row r="418" ht="15.75" customHeight="1">
      <c r="A418" s="5"/>
      <c r="B418" s="5"/>
      <c r="C418" s="5"/>
      <c r="D418" s="5"/>
      <c r="E418" s="5"/>
      <c r="F418" s="5"/>
      <c r="G418" s="5"/>
      <c r="H418" s="5"/>
    </row>
    <row r="419" ht="15.75" customHeight="1">
      <c r="A419" s="5"/>
      <c r="B419" s="5"/>
      <c r="C419" s="5"/>
      <c r="D419" s="5"/>
      <c r="E419" s="5"/>
      <c r="F419" s="5"/>
      <c r="G419" s="5"/>
      <c r="H419" s="5"/>
    </row>
    <row r="420" ht="15.75" customHeight="1">
      <c r="A420" s="5"/>
      <c r="B420" s="5"/>
      <c r="C420" s="5"/>
      <c r="D420" s="5"/>
      <c r="E420" s="5"/>
      <c r="F420" s="5"/>
      <c r="G420" s="5"/>
      <c r="H420" s="5"/>
    </row>
    <row r="421" ht="15.75" customHeight="1">
      <c r="A421" s="5"/>
      <c r="B421" s="5"/>
      <c r="C421" s="5"/>
      <c r="D421" s="5"/>
      <c r="E421" s="5"/>
      <c r="F421" s="5"/>
      <c r="G421" s="5"/>
      <c r="H421" s="5"/>
    </row>
    <row r="422" ht="15.75" customHeight="1">
      <c r="A422" s="5"/>
      <c r="B422" s="5"/>
      <c r="C422" s="5"/>
      <c r="D422" s="5"/>
      <c r="E422" s="5"/>
      <c r="F422" s="5"/>
      <c r="G422" s="5"/>
      <c r="H422" s="5"/>
    </row>
    <row r="423" ht="15.75" customHeight="1">
      <c r="A423" s="5"/>
      <c r="B423" s="5"/>
      <c r="C423" s="5"/>
      <c r="D423" s="5"/>
      <c r="E423" s="5"/>
      <c r="F423" s="5"/>
      <c r="G423" s="5"/>
      <c r="H423" s="5"/>
    </row>
    <row r="424" ht="15.75" customHeight="1">
      <c r="A424" s="5"/>
      <c r="B424" s="5"/>
      <c r="C424" s="5"/>
      <c r="D424" s="5"/>
      <c r="E424" s="5"/>
      <c r="F424" s="5"/>
      <c r="G424" s="5"/>
      <c r="H424" s="5"/>
    </row>
    <row r="425" ht="15.75" customHeight="1">
      <c r="A425" s="5"/>
      <c r="B425" s="5"/>
      <c r="C425" s="5"/>
      <c r="D425" s="5"/>
      <c r="E425" s="5"/>
      <c r="F425" s="5"/>
      <c r="G425" s="5"/>
      <c r="H425" s="5"/>
    </row>
    <row r="426" ht="15.75" customHeight="1">
      <c r="A426" s="5"/>
      <c r="B426" s="5"/>
      <c r="C426" s="5"/>
      <c r="D426" s="5"/>
      <c r="E426" s="5"/>
      <c r="F426" s="5"/>
      <c r="G426" s="5"/>
      <c r="H426" s="5"/>
    </row>
    <row r="427" ht="15.75" customHeight="1">
      <c r="A427" s="5"/>
      <c r="B427" s="5"/>
      <c r="C427" s="5"/>
      <c r="D427" s="5"/>
      <c r="E427" s="5"/>
      <c r="F427" s="5"/>
      <c r="G427" s="5"/>
      <c r="H427" s="5"/>
    </row>
    <row r="428" ht="15.75" customHeight="1">
      <c r="A428" s="5"/>
      <c r="B428" s="5"/>
      <c r="C428" s="5"/>
      <c r="D428" s="5"/>
      <c r="E428" s="5"/>
      <c r="F428" s="5"/>
      <c r="G428" s="5"/>
      <c r="H428" s="5"/>
    </row>
    <row r="429" ht="15.75" customHeight="1">
      <c r="A429" s="5"/>
      <c r="B429" s="5"/>
      <c r="C429" s="5"/>
      <c r="D429" s="5"/>
      <c r="E429" s="5"/>
      <c r="F429" s="5"/>
      <c r="G429" s="5"/>
      <c r="H429" s="5"/>
    </row>
    <row r="430" ht="15.75" customHeight="1">
      <c r="A430" s="5"/>
      <c r="B430" s="5"/>
      <c r="C430" s="5"/>
      <c r="D430" s="5"/>
      <c r="E430" s="5"/>
      <c r="F430" s="5"/>
      <c r="G430" s="5"/>
      <c r="H430" s="5"/>
    </row>
    <row r="431" ht="15.75" customHeight="1">
      <c r="A431" s="5"/>
      <c r="B431" s="5"/>
      <c r="C431" s="5"/>
      <c r="D431" s="5"/>
      <c r="E431" s="5"/>
      <c r="F431" s="5"/>
      <c r="G431" s="5"/>
      <c r="H431" s="5"/>
    </row>
    <row r="432" ht="15.75" customHeight="1">
      <c r="A432" s="5"/>
      <c r="B432" s="5"/>
      <c r="C432" s="5"/>
      <c r="D432" s="5"/>
      <c r="E432" s="5"/>
      <c r="F432" s="5"/>
      <c r="G432" s="5"/>
      <c r="H432" s="5"/>
    </row>
    <row r="433" ht="15.75" customHeight="1">
      <c r="A433" s="5"/>
      <c r="B433" s="5"/>
      <c r="C433" s="5"/>
      <c r="D433" s="5"/>
      <c r="E433" s="5"/>
      <c r="F433" s="5"/>
      <c r="G433" s="5"/>
      <c r="H433" s="5"/>
    </row>
    <row r="434" ht="15.75" customHeight="1">
      <c r="A434" s="5"/>
      <c r="B434" s="5"/>
      <c r="C434" s="5"/>
      <c r="D434" s="5"/>
      <c r="E434" s="5"/>
      <c r="F434" s="5"/>
      <c r="G434" s="5"/>
      <c r="H434" s="5"/>
    </row>
    <row r="435" ht="15.75" customHeight="1">
      <c r="A435" s="5"/>
      <c r="B435" s="5"/>
      <c r="C435" s="5"/>
      <c r="D435" s="5"/>
      <c r="E435" s="5"/>
      <c r="F435" s="5"/>
      <c r="G435" s="5"/>
      <c r="H435" s="5"/>
    </row>
    <row r="436" ht="15.75" customHeight="1">
      <c r="A436" s="5"/>
      <c r="B436" s="5"/>
      <c r="C436" s="5"/>
      <c r="D436" s="5"/>
      <c r="E436" s="5"/>
      <c r="F436" s="5"/>
      <c r="G436" s="5"/>
      <c r="H436" s="5"/>
    </row>
    <row r="437" ht="15.75" customHeight="1">
      <c r="A437" s="5"/>
      <c r="B437" s="5"/>
      <c r="C437" s="5"/>
      <c r="D437" s="5"/>
      <c r="E437" s="5"/>
      <c r="F437" s="5"/>
      <c r="G437" s="5"/>
      <c r="H437" s="5"/>
    </row>
    <row r="438" ht="15.75" customHeight="1">
      <c r="A438" s="5"/>
      <c r="B438" s="5"/>
      <c r="C438" s="5"/>
      <c r="D438" s="5"/>
      <c r="E438" s="5"/>
      <c r="F438" s="5"/>
      <c r="G438" s="5"/>
      <c r="H438" s="5"/>
    </row>
    <row r="439" ht="15.75" customHeight="1">
      <c r="A439" s="5"/>
      <c r="B439" s="5"/>
      <c r="C439" s="5"/>
      <c r="D439" s="5"/>
      <c r="E439" s="5"/>
      <c r="F439" s="5"/>
      <c r="G439" s="5"/>
      <c r="H439" s="5"/>
    </row>
    <row r="440" ht="15.75" customHeight="1">
      <c r="A440" s="5"/>
      <c r="B440" s="5"/>
      <c r="C440" s="5"/>
      <c r="D440" s="5"/>
      <c r="E440" s="5"/>
      <c r="F440" s="5"/>
      <c r="G440" s="5"/>
      <c r="H440" s="5"/>
    </row>
    <row r="441" ht="15.75" customHeight="1">
      <c r="A441" s="5"/>
      <c r="B441" s="5"/>
      <c r="C441" s="5"/>
      <c r="D441" s="5"/>
      <c r="E441" s="5"/>
      <c r="F441" s="5"/>
      <c r="G441" s="5"/>
      <c r="H441" s="5"/>
    </row>
    <row r="442" ht="15.75" customHeight="1">
      <c r="A442" s="5"/>
      <c r="B442" s="5"/>
      <c r="C442" s="5"/>
      <c r="D442" s="5"/>
      <c r="E442" s="5"/>
      <c r="F442" s="5"/>
      <c r="G442" s="5"/>
      <c r="H442" s="5"/>
    </row>
    <row r="443" ht="15.75" customHeight="1">
      <c r="A443" s="5"/>
      <c r="B443" s="5"/>
      <c r="C443" s="5"/>
      <c r="D443" s="5"/>
      <c r="E443" s="5"/>
      <c r="F443" s="5"/>
      <c r="G443" s="5"/>
      <c r="H443" s="5"/>
    </row>
    <row r="444" ht="15.75" customHeight="1">
      <c r="A444" s="5"/>
      <c r="B444" s="5"/>
      <c r="C444" s="5"/>
      <c r="D444" s="5"/>
      <c r="E444" s="5"/>
      <c r="F444" s="5"/>
      <c r="G444" s="5"/>
      <c r="H444" s="5"/>
    </row>
    <row r="445" ht="15.75" customHeight="1">
      <c r="A445" s="5"/>
      <c r="B445" s="5"/>
      <c r="C445" s="5"/>
      <c r="D445" s="5"/>
      <c r="E445" s="5"/>
      <c r="F445" s="5"/>
      <c r="G445" s="5"/>
      <c r="H445" s="5"/>
    </row>
    <row r="446" ht="15.75" customHeight="1">
      <c r="A446" s="5"/>
      <c r="B446" s="5"/>
      <c r="C446" s="5"/>
      <c r="D446" s="5"/>
      <c r="E446" s="5"/>
      <c r="F446" s="5"/>
      <c r="G446" s="5"/>
      <c r="H446" s="5"/>
    </row>
    <row r="447" ht="15.75" customHeight="1">
      <c r="A447" s="5"/>
      <c r="B447" s="5"/>
      <c r="C447" s="5"/>
      <c r="D447" s="5"/>
      <c r="E447" s="5"/>
      <c r="F447" s="5"/>
      <c r="G447" s="5"/>
      <c r="H447" s="5"/>
    </row>
    <row r="448" ht="15.75" customHeight="1">
      <c r="A448" s="5"/>
      <c r="B448" s="5"/>
      <c r="C448" s="5"/>
      <c r="D448" s="5"/>
      <c r="E448" s="5"/>
      <c r="F448" s="5"/>
      <c r="G448" s="5"/>
      <c r="H448" s="5"/>
    </row>
    <row r="449" ht="15.75" customHeight="1">
      <c r="A449" s="5"/>
      <c r="B449" s="5"/>
      <c r="C449" s="5"/>
      <c r="D449" s="5"/>
      <c r="E449" s="5"/>
      <c r="F449" s="5"/>
      <c r="G449" s="5"/>
      <c r="H449" s="5"/>
    </row>
    <row r="450" ht="15.75" customHeight="1">
      <c r="A450" s="5"/>
      <c r="B450" s="5"/>
      <c r="C450" s="5"/>
      <c r="D450" s="5"/>
      <c r="E450" s="5"/>
      <c r="F450" s="5"/>
      <c r="G450" s="5"/>
      <c r="H450" s="5"/>
    </row>
    <row r="451" ht="15.75" customHeight="1">
      <c r="A451" s="5"/>
      <c r="B451" s="5"/>
      <c r="C451" s="5"/>
      <c r="D451" s="5"/>
      <c r="E451" s="5"/>
      <c r="F451" s="5"/>
      <c r="G451" s="5"/>
      <c r="H451" s="5"/>
    </row>
    <row r="452" ht="15.75" customHeight="1">
      <c r="A452" s="5"/>
      <c r="B452" s="5"/>
      <c r="C452" s="5"/>
      <c r="D452" s="5"/>
      <c r="E452" s="5"/>
      <c r="F452" s="5"/>
      <c r="G452" s="5"/>
      <c r="H452" s="5"/>
    </row>
    <row r="453" ht="15.75" customHeight="1">
      <c r="A453" s="5"/>
      <c r="B453" s="5"/>
      <c r="C453" s="5"/>
      <c r="D453" s="5"/>
      <c r="E453" s="5"/>
      <c r="F453" s="5"/>
      <c r="G453" s="5"/>
      <c r="H453" s="5"/>
    </row>
    <row r="454" ht="15.75" customHeight="1">
      <c r="A454" s="5"/>
      <c r="B454" s="5"/>
      <c r="C454" s="5"/>
      <c r="D454" s="5"/>
      <c r="E454" s="5"/>
      <c r="F454" s="5"/>
      <c r="G454" s="5"/>
      <c r="H454" s="5"/>
    </row>
    <row r="455" ht="15.75" customHeight="1">
      <c r="A455" s="5"/>
      <c r="B455" s="5"/>
      <c r="C455" s="5"/>
      <c r="D455" s="5"/>
      <c r="E455" s="5"/>
      <c r="F455" s="5"/>
      <c r="G455" s="5"/>
      <c r="H455" s="5"/>
    </row>
    <row r="456" ht="15.75" customHeight="1">
      <c r="A456" s="5"/>
      <c r="B456" s="5"/>
      <c r="C456" s="5"/>
      <c r="D456" s="5"/>
      <c r="E456" s="5"/>
      <c r="F456" s="5"/>
      <c r="G456" s="5"/>
      <c r="H456" s="5"/>
    </row>
    <row r="457" ht="15.75" customHeight="1">
      <c r="A457" s="5"/>
      <c r="B457" s="5"/>
      <c r="C457" s="5"/>
      <c r="D457" s="5"/>
      <c r="E457" s="5"/>
      <c r="F457" s="5"/>
      <c r="G457" s="5"/>
      <c r="H457" s="5"/>
    </row>
    <row r="458" ht="15.75" customHeight="1">
      <c r="A458" s="5"/>
      <c r="B458" s="5"/>
      <c r="C458" s="5"/>
      <c r="D458" s="5"/>
      <c r="E458" s="5"/>
      <c r="F458" s="5"/>
      <c r="G458" s="5"/>
      <c r="H458" s="5"/>
    </row>
    <row r="459" ht="15.75" customHeight="1">
      <c r="A459" s="5"/>
      <c r="B459" s="5"/>
      <c r="C459" s="5"/>
      <c r="D459" s="5"/>
      <c r="E459" s="5"/>
      <c r="F459" s="5"/>
      <c r="G459" s="5"/>
      <c r="H459" s="5"/>
    </row>
    <row r="460" ht="15.75" customHeight="1">
      <c r="A460" s="5"/>
      <c r="B460" s="5"/>
      <c r="C460" s="5"/>
      <c r="D460" s="5"/>
      <c r="E460" s="5"/>
      <c r="F460" s="5"/>
      <c r="G460" s="5"/>
      <c r="H460" s="5"/>
    </row>
    <row r="461" ht="15.75" customHeight="1">
      <c r="A461" s="5"/>
      <c r="B461" s="5"/>
      <c r="C461" s="5"/>
      <c r="D461" s="5"/>
      <c r="E461" s="5"/>
      <c r="F461" s="5"/>
      <c r="G461" s="5"/>
      <c r="H461" s="5"/>
    </row>
    <row r="462" ht="15.75" customHeight="1">
      <c r="A462" s="5"/>
      <c r="B462" s="5"/>
      <c r="C462" s="5"/>
      <c r="D462" s="5"/>
      <c r="E462" s="5"/>
      <c r="F462" s="5"/>
      <c r="G462" s="5"/>
      <c r="H462" s="5"/>
    </row>
    <row r="463" ht="15.75" customHeight="1">
      <c r="A463" s="5"/>
      <c r="B463" s="5"/>
      <c r="C463" s="5"/>
      <c r="D463" s="5"/>
      <c r="E463" s="5"/>
      <c r="F463" s="5"/>
      <c r="G463" s="5"/>
      <c r="H463" s="5"/>
    </row>
    <row r="464" ht="15.75" customHeight="1">
      <c r="A464" s="5"/>
      <c r="B464" s="5"/>
      <c r="C464" s="5"/>
      <c r="D464" s="5"/>
      <c r="E464" s="5"/>
      <c r="F464" s="5"/>
      <c r="G464" s="5"/>
      <c r="H464" s="5"/>
    </row>
    <row r="465" ht="15.75" customHeight="1">
      <c r="A465" s="5"/>
      <c r="B465" s="5"/>
      <c r="C465" s="5"/>
      <c r="D465" s="5"/>
      <c r="E465" s="5"/>
      <c r="F465" s="5"/>
      <c r="G465" s="5"/>
      <c r="H465" s="5"/>
    </row>
    <row r="466" ht="15.75" customHeight="1">
      <c r="A466" s="5"/>
      <c r="B466" s="5"/>
      <c r="C466" s="5"/>
      <c r="D466" s="5"/>
      <c r="E466" s="5"/>
      <c r="F466" s="5"/>
      <c r="G466" s="5"/>
      <c r="H466" s="5"/>
    </row>
    <row r="467" ht="15.75" customHeight="1">
      <c r="A467" s="5"/>
      <c r="B467" s="5"/>
      <c r="C467" s="5"/>
      <c r="D467" s="5"/>
      <c r="E467" s="5"/>
      <c r="F467" s="5"/>
      <c r="G467" s="5"/>
      <c r="H467" s="5"/>
    </row>
    <row r="468" ht="15.75" customHeight="1">
      <c r="A468" s="5"/>
      <c r="B468" s="5"/>
      <c r="C468" s="5"/>
      <c r="D468" s="5"/>
      <c r="E468" s="5"/>
      <c r="F468" s="5"/>
      <c r="G468" s="5"/>
      <c r="H468" s="5"/>
    </row>
    <row r="469" ht="15.75" customHeight="1">
      <c r="A469" s="5"/>
      <c r="B469" s="5"/>
      <c r="C469" s="5"/>
      <c r="D469" s="5"/>
      <c r="E469" s="5"/>
      <c r="F469" s="5"/>
      <c r="G469" s="5"/>
      <c r="H469" s="5"/>
    </row>
    <row r="470" ht="15.75" customHeight="1">
      <c r="A470" s="5"/>
      <c r="B470" s="5"/>
      <c r="C470" s="5"/>
      <c r="D470" s="5"/>
      <c r="E470" s="5"/>
      <c r="F470" s="5"/>
      <c r="G470" s="5"/>
      <c r="H470" s="5"/>
    </row>
    <row r="471" ht="15.75" customHeight="1">
      <c r="A471" s="5"/>
      <c r="B471" s="5"/>
      <c r="C471" s="5"/>
      <c r="D471" s="5"/>
      <c r="E471" s="5"/>
      <c r="F471" s="5"/>
      <c r="G471" s="5"/>
      <c r="H471" s="5"/>
    </row>
    <row r="472" ht="15.75" customHeight="1">
      <c r="A472" s="5"/>
      <c r="B472" s="5"/>
      <c r="C472" s="5"/>
      <c r="D472" s="5"/>
      <c r="E472" s="5"/>
      <c r="F472" s="5"/>
      <c r="G472" s="5"/>
      <c r="H472" s="5"/>
    </row>
    <row r="473" ht="15.75" customHeight="1">
      <c r="A473" s="5"/>
      <c r="B473" s="5"/>
      <c r="C473" s="5"/>
      <c r="D473" s="5"/>
      <c r="E473" s="5"/>
      <c r="F473" s="5"/>
      <c r="G473" s="5"/>
      <c r="H473" s="5"/>
    </row>
    <row r="474" ht="15.75" customHeight="1">
      <c r="A474" s="5"/>
      <c r="B474" s="5"/>
      <c r="C474" s="5"/>
      <c r="D474" s="5"/>
      <c r="E474" s="5"/>
      <c r="F474" s="5"/>
      <c r="G474" s="5"/>
      <c r="H474" s="5"/>
    </row>
    <row r="475" ht="15.75" customHeight="1">
      <c r="A475" s="5"/>
      <c r="B475" s="5"/>
      <c r="C475" s="5"/>
      <c r="D475" s="5"/>
      <c r="E475" s="5"/>
      <c r="F475" s="5"/>
      <c r="G475" s="5"/>
      <c r="H475" s="5"/>
    </row>
    <row r="476" ht="15.75" customHeight="1">
      <c r="A476" s="5"/>
      <c r="B476" s="5"/>
      <c r="C476" s="5"/>
      <c r="D476" s="5"/>
      <c r="E476" s="5"/>
      <c r="F476" s="5"/>
      <c r="G476" s="5"/>
      <c r="H476" s="5"/>
    </row>
    <row r="477" ht="15.75" customHeight="1">
      <c r="A477" s="5"/>
      <c r="B477" s="5"/>
      <c r="C477" s="5"/>
      <c r="D477" s="5"/>
      <c r="E477" s="5"/>
      <c r="F477" s="5"/>
      <c r="G477" s="5"/>
      <c r="H477" s="5"/>
    </row>
    <row r="478" ht="15.75" customHeight="1">
      <c r="A478" s="5"/>
      <c r="B478" s="5"/>
      <c r="C478" s="5"/>
      <c r="D478" s="5"/>
      <c r="E478" s="5"/>
      <c r="F478" s="5"/>
      <c r="G478" s="5"/>
      <c r="H478" s="5"/>
    </row>
    <row r="479" ht="15.75" customHeight="1">
      <c r="A479" s="5"/>
      <c r="B479" s="5"/>
      <c r="C479" s="5"/>
      <c r="D479" s="5"/>
      <c r="E479" s="5"/>
      <c r="F479" s="5"/>
      <c r="G479" s="5"/>
      <c r="H479" s="5"/>
    </row>
    <row r="480" ht="15.75" customHeight="1">
      <c r="A480" s="5"/>
      <c r="B480" s="5"/>
      <c r="C480" s="5"/>
      <c r="D480" s="5"/>
      <c r="E480" s="5"/>
      <c r="F480" s="5"/>
      <c r="G480" s="5"/>
      <c r="H480" s="5"/>
    </row>
    <row r="481" ht="15.75" customHeight="1">
      <c r="A481" s="5"/>
      <c r="B481" s="5"/>
      <c r="C481" s="5"/>
      <c r="D481" s="5"/>
      <c r="E481" s="5"/>
      <c r="F481" s="5"/>
      <c r="G481" s="5"/>
      <c r="H481" s="5"/>
    </row>
    <row r="482" ht="15.75" customHeight="1">
      <c r="A482" s="5"/>
      <c r="B482" s="5"/>
      <c r="C482" s="5"/>
      <c r="D482" s="5"/>
      <c r="E482" s="5"/>
      <c r="F482" s="5"/>
      <c r="G482" s="5"/>
      <c r="H482" s="5"/>
    </row>
    <row r="483" ht="15.75" customHeight="1">
      <c r="A483" s="5"/>
      <c r="B483" s="5"/>
      <c r="C483" s="5"/>
      <c r="D483" s="5"/>
      <c r="E483" s="5"/>
      <c r="F483" s="5"/>
      <c r="G483" s="5"/>
      <c r="H483" s="5"/>
    </row>
    <row r="484" ht="15.75" customHeight="1">
      <c r="A484" s="5"/>
      <c r="B484" s="5"/>
      <c r="C484" s="5"/>
      <c r="D484" s="5"/>
      <c r="E484" s="5"/>
      <c r="F484" s="5"/>
      <c r="G484" s="5"/>
      <c r="H484" s="5"/>
    </row>
    <row r="485" ht="15.75" customHeight="1">
      <c r="A485" s="5"/>
      <c r="B485" s="5"/>
      <c r="C485" s="5"/>
      <c r="D485" s="5"/>
      <c r="E485" s="5"/>
      <c r="F485" s="5"/>
      <c r="G485" s="5"/>
      <c r="H485" s="5"/>
    </row>
    <row r="486" ht="15.75" customHeight="1">
      <c r="A486" s="5"/>
      <c r="B486" s="5"/>
      <c r="C486" s="5"/>
      <c r="D486" s="5"/>
      <c r="E486" s="5"/>
      <c r="F486" s="5"/>
      <c r="G486" s="5"/>
      <c r="H486" s="5"/>
    </row>
    <row r="487" ht="15.75" customHeight="1">
      <c r="A487" s="5"/>
      <c r="B487" s="5"/>
      <c r="C487" s="5"/>
      <c r="D487" s="5"/>
      <c r="E487" s="5"/>
      <c r="F487" s="5"/>
      <c r="G487" s="5"/>
      <c r="H487" s="5"/>
    </row>
    <row r="488" ht="15.75" customHeight="1">
      <c r="A488" s="5"/>
      <c r="B488" s="5"/>
      <c r="C488" s="5"/>
      <c r="D488" s="5"/>
      <c r="E488" s="5"/>
      <c r="F488" s="5"/>
      <c r="G488" s="5"/>
      <c r="H488" s="5"/>
    </row>
    <row r="489" ht="15.75" customHeight="1">
      <c r="A489" s="5"/>
      <c r="B489" s="5"/>
      <c r="C489" s="5"/>
      <c r="D489" s="5"/>
      <c r="E489" s="5"/>
      <c r="F489" s="5"/>
      <c r="G489" s="5"/>
      <c r="H489" s="5"/>
    </row>
    <row r="490" ht="15.75" customHeight="1">
      <c r="A490" s="5"/>
      <c r="B490" s="5"/>
      <c r="C490" s="5"/>
      <c r="D490" s="5"/>
      <c r="E490" s="5"/>
      <c r="F490" s="5"/>
      <c r="G490" s="5"/>
      <c r="H490" s="5"/>
    </row>
    <row r="491" ht="15.75" customHeight="1">
      <c r="A491" s="5"/>
      <c r="B491" s="5"/>
      <c r="C491" s="5"/>
      <c r="D491" s="5"/>
      <c r="E491" s="5"/>
      <c r="F491" s="5"/>
      <c r="G491" s="5"/>
      <c r="H491" s="5"/>
    </row>
    <row r="492" ht="15.75" customHeight="1">
      <c r="A492" s="5"/>
      <c r="B492" s="5"/>
      <c r="C492" s="5"/>
      <c r="D492" s="5"/>
      <c r="E492" s="5"/>
      <c r="F492" s="5"/>
      <c r="G492" s="5"/>
      <c r="H492" s="5"/>
    </row>
    <row r="493" ht="15.75" customHeight="1">
      <c r="A493" s="5"/>
      <c r="B493" s="5"/>
      <c r="C493" s="5"/>
      <c r="D493" s="5"/>
      <c r="E493" s="5"/>
      <c r="F493" s="5"/>
      <c r="G493" s="5"/>
      <c r="H493" s="5"/>
    </row>
    <row r="494" ht="15.75" customHeight="1">
      <c r="A494" s="5"/>
      <c r="B494" s="5"/>
      <c r="C494" s="5"/>
      <c r="D494" s="5"/>
      <c r="E494" s="5"/>
      <c r="F494" s="5"/>
      <c r="G494" s="5"/>
      <c r="H494" s="5"/>
    </row>
    <row r="495" ht="15.75" customHeight="1">
      <c r="A495" s="5"/>
      <c r="B495" s="5"/>
      <c r="C495" s="5"/>
      <c r="D495" s="5"/>
      <c r="E495" s="5"/>
      <c r="F495" s="5"/>
      <c r="G495" s="5"/>
      <c r="H495" s="5"/>
    </row>
    <row r="496" ht="15.75" customHeight="1">
      <c r="A496" s="5"/>
      <c r="B496" s="5"/>
      <c r="C496" s="5"/>
      <c r="D496" s="5"/>
      <c r="E496" s="5"/>
      <c r="F496" s="5"/>
      <c r="G496" s="5"/>
      <c r="H496" s="5"/>
    </row>
    <row r="497" ht="15.75" customHeight="1">
      <c r="A497" s="5"/>
      <c r="B497" s="5"/>
      <c r="C497" s="5"/>
      <c r="D497" s="5"/>
      <c r="E497" s="5"/>
      <c r="F497" s="5"/>
      <c r="G497" s="5"/>
      <c r="H497" s="5"/>
    </row>
    <row r="498" ht="15.75" customHeight="1">
      <c r="A498" s="5"/>
      <c r="B498" s="5"/>
      <c r="C498" s="5"/>
      <c r="D498" s="5"/>
      <c r="E498" s="5"/>
      <c r="F498" s="5"/>
      <c r="G498" s="5"/>
      <c r="H498" s="5"/>
    </row>
    <row r="499" ht="15.75" customHeight="1">
      <c r="A499" s="5"/>
      <c r="B499" s="5"/>
      <c r="C499" s="5"/>
      <c r="D499" s="5"/>
      <c r="E499" s="5"/>
      <c r="F499" s="5"/>
      <c r="G499" s="5"/>
      <c r="H499" s="5"/>
    </row>
    <row r="500" ht="15.75" customHeight="1">
      <c r="A500" s="5"/>
      <c r="B500" s="5"/>
      <c r="C500" s="5"/>
      <c r="D500" s="5"/>
      <c r="E500" s="5"/>
      <c r="F500" s="5"/>
      <c r="G500" s="5"/>
      <c r="H500" s="5"/>
    </row>
    <row r="501" ht="15.75" customHeight="1">
      <c r="A501" s="5"/>
      <c r="B501" s="5"/>
      <c r="C501" s="5"/>
      <c r="D501" s="5"/>
      <c r="E501" s="5"/>
      <c r="F501" s="5"/>
      <c r="G501" s="5"/>
      <c r="H501" s="5"/>
    </row>
    <row r="502" ht="15.75" customHeight="1">
      <c r="A502" s="5"/>
      <c r="B502" s="5"/>
      <c r="C502" s="5"/>
      <c r="D502" s="5"/>
      <c r="E502" s="5"/>
      <c r="F502" s="5"/>
      <c r="G502" s="5"/>
      <c r="H502" s="5"/>
    </row>
    <row r="503" ht="15.75" customHeight="1">
      <c r="A503" s="5"/>
      <c r="B503" s="5"/>
      <c r="C503" s="5"/>
      <c r="D503" s="5"/>
      <c r="E503" s="5"/>
      <c r="F503" s="5"/>
      <c r="G503" s="5"/>
      <c r="H503" s="5"/>
    </row>
    <row r="504" ht="15.75" customHeight="1">
      <c r="A504" s="5"/>
      <c r="B504" s="5"/>
      <c r="C504" s="5"/>
      <c r="D504" s="5"/>
      <c r="E504" s="5"/>
      <c r="F504" s="5"/>
      <c r="G504" s="5"/>
      <c r="H504" s="5"/>
    </row>
    <row r="505" ht="15.75" customHeight="1">
      <c r="A505" s="5"/>
      <c r="B505" s="5"/>
      <c r="C505" s="5"/>
      <c r="D505" s="5"/>
      <c r="E505" s="5"/>
      <c r="F505" s="5"/>
      <c r="G505" s="5"/>
      <c r="H505" s="5"/>
    </row>
    <row r="506" ht="15.75" customHeight="1">
      <c r="A506" s="5"/>
      <c r="B506" s="5"/>
      <c r="C506" s="5"/>
      <c r="D506" s="5"/>
      <c r="E506" s="5"/>
      <c r="F506" s="5"/>
      <c r="G506" s="5"/>
      <c r="H506" s="5"/>
    </row>
    <row r="507" ht="15.75" customHeight="1">
      <c r="A507" s="5"/>
      <c r="B507" s="5"/>
      <c r="C507" s="5"/>
      <c r="D507" s="5"/>
      <c r="E507" s="5"/>
      <c r="F507" s="5"/>
      <c r="G507" s="5"/>
      <c r="H507" s="5"/>
    </row>
    <row r="508" ht="15.75" customHeight="1">
      <c r="A508" s="5"/>
      <c r="B508" s="5"/>
      <c r="C508" s="5"/>
      <c r="D508" s="5"/>
      <c r="E508" s="5"/>
      <c r="F508" s="5"/>
      <c r="G508" s="5"/>
      <c r="H508" s="5"/>
    </row>
    <row r="509" ht="15.75" customHeight="1">
      <c r="A509" s="5"/>
      <c r="B509" s="5"/>
      <c r="C509" s="5"/>
      <c r="D509" s="5"/>
      <c r="E509" s="5"/>
      <c r="F509" s="5"/>
      <c r="G509" s="5"/>
      <c r="H509" s="5"/>
    </row>
    <row r="510" ht="15.75" customHeight="1">
      <c r="A510" s="5"/>
      <c r="B510" s="5"/>
      <c r="C510" s="5"/>
      <c r="D510" s="5"/>
      <c r="E510" s="5"/>
      <c r="F510" s="5"/>
      <c r="G510" s="5"/>
      <c r="H510" s="5"/>
    </row>
    <row r="511" ht="15.75" customHeight="1">
      <c r="A511" s="5"/>
      <c r="B511" s="5"/>
      <c r="C511" s="5"/>
      <c r="D511" s="5"/>
      <c r="E511" s="5"/>
      <c r="F511" s="5"/>
      <c r="G511" s="5"/>
      <c r="H511" s="5"/>
    </row>
    <row r="512" ht="15.75" customHeight="1">
      <c r="A512" s="5"/>
      <c r="B512" s="5"/>
      <c r="C512" s="5"/>
      <c r="D512" s="5"/>
      <c r="E512" s="5"/>
      <c r="F512" s="5"/>
      <c r="G512" s="5"/>
      <c r="H512" s="5"/>
    </row>
    <row r="513" ht="15.75" customHeight="1">
      <c r="A513" s="5"/>
      <c r="B513" s="5"/>
      <c r="C513" s="5"/>
      <c r="D513" s="5"/>
      <c r="E513" s="5"/>
      <c r="F513" s="5"/>
      <c r="G513" s="5"/>
      <c r="H513" s="5"/>
    </row>
    <row r="514" ht="15.75" customHeight="1">
      <c r="A514" s="5"/>
      <c r="B514" s="5"/>
      <c r="C514" s="5"/>
      <c r="D514" s="5"/>
      <c r="E514" s="5"/>
      <c r="F514" s="5"/>
      <c r="G514" s="5"/>
      <c r="H514" s="5"/>
    </row>
    <row r="515" ht="15.75" customHeight="1">
      <c r="A515" s="5"/>
      <c r="B515" s="5"/>
      <c r="C515" s="5"/>
      <c r="D515" s="5"/>
      <c r="E515" s="5"/>
      <c r="F515" s="5"/>
      <c r="G515" s="5"/>
      <c r="H515" s="5"/>
    </row>
    <row r="516" ht="15.75" customHeight="1">
      <c r="A516" s="5"/>
      <c r="B516" s="5"/>
      <c r="C516" s="5"/>
      <c r="D516" s="5"/>
      <c r="E516" s="5"/>
      <c r="F516" s="5"/>
      <c r="G516" s="5"/>
      <c r="H516" s="5"/>
    </row>
    <row r="517" ht="15.75" customHeight="1">
      <c r="A517" s="5"/>
      <c r="B517" s="5"/>
      <c r="C517" s="5"/>
      <c r="D517" s="5"/>
      <c r="E517" s="5"/>
      <c r="F517" s="5"/>
      <c r="G517" s="5"/>
      <c r="H517" s="5"/>
    </row>
    <row r="518" ht="15.75" customHeight="1">
      <c r="A518" s="5"/>
      <c r="B518" s="5"/>
      <c r="C518" s="5"/>
      <c r="D518" s="5"/>
      <c r="E518" s="5"/>
      <c r="F518" s="5"/>
      <c r="G518" s="5"/>
      <c r="H518" s="5"/>
    </row>
    <row r="519" ht="15.75" customHeight="1">
      <c r="A519" s="5"/>
      <c r="B519" s="5"/>
      <c r="C519" s="5"/>
      <c r="D519" s="5"/>
      <c r="E519" s="5"/>
      <c r="F519" s="5"/>
      <c r="G519" s="5"/>
      <c r="H519" s="5"/>
    </row>
    <row r="520" ht="15.75" customHeight="1">
      <c r="A520" s="5"/>
      <c r="B520" s="5"/>
      <c r="C520" s="5"/>
      <c r="D520" s="5"/>
      <c r="E520" s="5"/>
      <c r="F520" s="5"/>
      <c r="G520" s="5"/>
      <c r="H520" s="5"/>
    </row>
    <row r="521" ht="15.75" customHeight="1">
      <c r="A521" s="5"/>
      <c r="B521" s="5"/>
      <c r="C521" s="5"/>
      <c r="D521" s="5"/>
      <c r="E521" s="5"/>
      <c r="F521" s="5"/>
      <c r="G521" s="5"/>
      <c r="H521" s="5"/>
    </row>
    <row r="522" ht="15.75" customHeight="1">
      <c r="A522" s="5"/>
      <c r="B522" s="5"/>
      <c r="C522" s="5"/>
      <c r="D522" s="5"/>
      <c r="E522" s="5"/>
      <c r="F522" s="5"/>
      <c r="G522" s="5"/>
      <c r="H522" s="5"/>
    </row>
    <row r="523" ht="15.75" customHeight="1">
      <c r="A523" s="5"/>
      <c r="B523" s="5"/>
      <c r="C523" s="5"/>
      <c r="D523" s="5"/>
      <c r="E523" s="5"/>
      <c r="F523" s="5"/>
      <c r="G523" s="5"/>
      <c r="H523" s="5"/>
    </row>
    <row r="524" ht="15.75" customHeight="1">
      <c r="A524" s="5"/>
      <c r="B524" s="5"/>
      <c r="C524" s="5"/>
      <c r="D524" s="5"/>
      <c r="E524" s="5"/>
      <c r="F524" s="5"/>
      <c r="G524" s="5"/>
      <c r="H524" s="5"/>
    </row>
    <row r="525" ht="15.75" customHeight="1">
      <c r="A525" s="5"/>
      <c r="B525" s="5"/>
      <c r="C525" s="5"/>
      <c r="D525" s="5"/>
      <c r="E525" s="5"/>
      <c r="F525" s="5"/>
      <c r="G525" s="5"/>
      <c r="H525" s="5"/>
    </row>
    <row r="526" ht="15.75" customHeight="1">
      <c r="A526" s="5"/>
      <c r="B526" s="5"/>
      <c r="C526" s="5"/>
      <c r="D526" s="5"/>
      <c r="E526" s="5"/>
      <c r="F526" s="5"/>
      <c r="G526" s="5"/>
      <c r="H526" s="5"/>
    </row>
    <row r="527" ht="15.75" customHeight="1">
      <c r="A527" s="5"/>
      <c r="B527" s="5"/>
      <c r="C527" s="5"/>
      <c r="D527" s="5"/>
      <c r="E527" s="5"/>
      <c r="F527" s="5"/>
      <c r="G527" s="5"/>
      <c r="H527" s="5"/>
    </row>
    <row r="528" ht="15.75" customHeight="1">
      <c r="A528" s="5"/>
      <c r="B528" s="5"/>
      <c r="C528" s="5"/>
      <c r="D528" s="5"/>
      <c r="E528" s="5"/>
      <c r="F528" s="5"/>
      <c r="G528" s="5"/>
      <c r="H528" s="5"/>
    </row>
    <row r="529" ht="15.75" customHeight="1">
      <c r="A529" s="5"/>
      <c r="B529" s="5"/>
      <c r="C529" s="5"/>
      <c r="D529" s="5"/>
      <c r="E529" s="5"/>
      <c r="F529" s="5"/>
      <c r="G529" s="5"/>
      <c r="H529" s="5"/>
    </row>
    <row r="530" ht="15.75" customHeight="1">
      <c r="A530" s="5"/>
      <c r="B530" s="5"/>
      <c r="C530" s="5"/>
      <c r="D530" s="5"/>
      <c r="E530" s="5"/>
      <c r="F530" s="5"/>
      <c r="G530" s="5"/>
      <c r="H530" s="5"/>
    </row>
    <row r="531" ht="15.75" customHeight="1">
      <c r="A531" s="5"/>
      <c r="B531" s="5"/>
      <c r="C531" s="5"/>
      <c r="D531" s="5"/>
      <c r="E531" s="5"/>
      <c r="F531" s="5"/>
      <c r="G531" s="5"/>
      <c r="H531" s="5"/>
    </row>
    <row r="532" ht="15.75" customHeight="1">
      <c r="A532" s="5"/>
      <c r="B532" s="5"/>
      <c r="C532" s="5"/>
      <c r="D532" s="5"/>
      <c r="E532" s="5"/>
      <c r="F532" s="5"/>
      <c r="G532" s="5"/>
      <c r="H532" s="5"/>
    </row>
    <row r="533" ht="15.75" customHeight="1">
      <c r="A533" s="5"/>
      <c r="B533" s="5"/>
      <c r="C533" s="5"/>
      <c r="D533" s="5"/>
      <c r="E533" s="5"/>
      <c r="F533" s="5"/>
      <c r="G533" s="5"/>
      <c r="H533" s="5"/>
    </row>
    <row r="534" ht="15.75" customHeight="1">
      <c r="A534" s="5"/>
      <c r="B534" s="5"/>
      <c r="C534" s="5"/>
      <c r="D534" s="5"/>
      <c r="E534" s="5"/>
      <c r="F534" s="5"/>
      <c r="G534" s="5"/>
      <c r="H534" s="5"/>
    </row>
    <row r="535" ht="15.75" customHeight="1">
      <c r="A535" s="5"/>
      <c r="B535" s="5"/>
      <c r="C535" s="5"/>
      <c r="D535" s="5"/>
      <c r="E535" s="5"/>
      <c r="F535" s="5"/>
      <c r="G535" s="5"/>
      <c r="H535" s="5"/>
    </row>
    <row r="536" ht="15.75" customHeight="1">
      <c r="A536" s="5"/>
      <c r="B536" s="5"/>
      <c r="C536" s="5"/>
      <c r="D536" s="5"/>
      <c r="E536" s="5"/>
      <c r="F536" s="5"/>
      <c r="G536" s="5"/>
      <c r="H536" s="5"/>
    </row>
    <row r="537" ht="15.75" customHeight="1">
      <c r="A537" s="5"/>
      <c r="B537" s="5"/>
      <c r="C537" s="5"/>
      <c r="D537" s="5"/>
      <c r="E537" s="5"/>
      <c r="F537" s="5"/>
      <c r="G537" s="5"/>
      <c r="H537" s="5"/>
    </row>
    <row r="538" ht="15.75" customHeight="1">
      <c r="A538" s="5"/>
      <c r="B538" s="5"/>
      <c r="C538" s="5"/>
      <c r="D538" s="5"/>
      <c r="E538" s="5"/>
      <c r="F538" s="5"/>
      <c r="G538" s="5"/>
      <c r="H538" s="5"/>
    </row>
    <row r="539" ht="15.75" customHeight="1">
      <c r="A539" s="5"/>
      <c r="B539" s="5"/>
      <c r="C539" s="5"/>
      <c r="D539" s="5"/>
      <c r="E539" s="5"/>
      <c r="F539" s="5"/>
      <c r="G539" s="5"/>
      <c r="H539" s="5"/>
    </row>
    <row r="540" ht="15.75" customHeight="1">
      <c r="A540" s="5"/>
      <c r="B540" s="5"/>
      <c r="C540" s="5"/>
      <c r="D540" s="5"/>
      <c r="E540" s="5"/>
      <c r="F540" s="5"/>
      <c r="G540" s="5"/>
      <c r="H540" s="5"/>
    </row>
    <row r="541" ht="15.75" customHeight="1">
      <c r="A541" s="5"/>
      <c r="B541" s="5"/>
      <c r="C541" s="5"/>
      <c r="D541" s="5"/>
      <c r="E541" s="5"/>
      <c r="F541" s="5"/>
      <c r="G541" s="5"/>
      <c r="H541" s="5"/>
    </row>
    <row r="542" ht="15.75" customHeight="1">
      <c r="A542" s="5"/>
      <c r="B542" s="5"/>
      <c r="C542" s="5"/>
      <c r="D542" s="5"/>
      <c r="E542" s="5"/>
      <c r="F542" s="5"/>
      <c r="G542" s="5"/>
      <c r="H542" s="5"/>
    </row>
    <row r="543" ht="15.75" customHeight="1">
      <c r="A543" s="5"/>
      <c r="B543" s="5"/>
      <c r="C543" s="5"/>
      <c r="D543" s="5"/>
      <c r="E543" s="5"/>
      <c r="F543" s="5"/>
      <c r="G543" s="5"/>
      <c r="H543" s="5"/>
    </row>
    <row r="544" ht="15.75" customHeight="1">
      <c r="A544" s="5"/>
      <c r="B544" s="5"/>
      <c r="C544" s="5"/>
      <c r="D544" s="5"/>
      <c r="E544" s="5"/>
      <c r="F544" s="5"/>
      <c r="G544" s="5"/>
      <c r="H544" s="5"/>
    </row>
    <row r="545" ht="15.75" customHeight="1">
      <c r="A545" s="5"/>
      <c r="B545" s="5"/>
      <c r="C545" s="5"/>
      <c r="D545" s="5"/>
      <c r="E545" s="5"/>
      <c r="F545" s="5"/>
      <c r="G545" s="5"/>
      <c r="H545" s="5"/>
    </row>
    <row r="546" ht="15.75" customHeight="1">
      <c r="A546" s="5"/>
      <c r="B546" s="5"/>
      <c r="C546" s="5"/>
      <c r="D546" s="5"/>
      <c r="E546" s="5"/>
      <c r="F546" s="5"/>
      <c r="G546" s="5"/>
      <c r="H546" s="5"/>
    </row>
    <row r="547" ht="15.75" customHeight="1">
      <c r="A547" s="5"/>
      <c r="B547" s="5"/>
      <c r="C547" s="5"/>
      <c r="D547" s="5"/>
      <c r="E547" s="5"/>
      <c r="F547" s="5"/>
      <c r="G547" s="5"/>
      <c r="H547" s="5"/>
    </row>
    <row r="548" ht="15.75" customHeight="1">
      <c r="A548" s="5"/>
      <c r="B548" s="5"/>
      <c r="C548" s="5"/>
      <c r="D548" s="5"/>
      <c r="E548" s="5"/>
      <c r="F548" s="5"/>
      <c r="G548" s="5"/>
      <c r="H548" s="5"/>
    </row>
    <row r="549" ht="15.75" customHeight="1">
      <c r="A549" s="5"/>
      <c r="B549" s="5"/>
      <c r="C549" s="5"/>
      <c r="D549" s="5"/>
      <c r="E549" s="5"/>
      <c r="F549" s="5"/>
      <c r="G549" s="5"/>
      <c r="H549" s="5"/>
    </row>
    <row r="550" ht="15.75" customHeight="1">
      <c r="A550" s="5"/>
      <c r="B550" s="5"/>
      <c r="C550" s="5"/>
      <c r="D550" s="5"/>
      <c r="E550" s="5"/>
      <c r="F550" s="5"/>
      <c r="G550" s="5"/>
      <c r="H550" s="5"/>
    </row>
    <row r="551" ht="15.75" customHeight="1">
      <c r="A551" s="5"/>
      <c r="B551" s="5"/>
      <c r="C551" s="5"/>
      <c r="D551" s="5"/>
      <c r="E551" s="5"/>
      <c r="F551" s="5"/>
      <c r="G551" s="5"/>
      <c r="H551" s="5"/>
    </row>
    <row r="552" ht="15.75" customHeight="1">
      <c r="A552" s="5"/>
      <c r="B552" s="5"/>
      <c r="C552" s="5"/>
      <c r="D552" s="5"/>
      <c r="E552" s="5"/>
      <c r="F552" s="5"/>
      <c r="G552" s="5"/>
      <c r="H552" s="5"/>
    </row>
    <row r="553" ht="15.75" customHeight="1">
      <c r="A553" s="5"/>
      <c r="B553" s="5"/>
      <c r="C553" s="5"/>
      <c r="D553" s="5"/>
      <c r="E553" s="5"/>
      <c r="F553" s="5"/>
      <c r="G553" s="5"/>
      <c r="H553" s="5"/>
    </row>
    <row r="554" ht="15.75" customHeight="1">
      <c r="A554" s="5"/>
      <c r="B554" s="5"/>
      <c r="C554" s="5"/>
      <c r="D554" s="5"/>
      <c r="E554" s="5"/>
      <c r="F554" s="5"/>
      <c r="G554" s="5"/>
      <c r="H554" s="5"/>
    </row>
    <row r="555" ht="15.75" customHeight="1">
      <c r="A555" s="5"/>
      <c r="B555" s="5"/>
      <c r="C555" s="5"/>
      <c r="D555" s="5"/>
      <c r="E555" s="5"/>
      <c r="F555" s="5"/>
      <c r="G555" s="5"/>
      <c r="H555" s="5"/>
    </row>
    <row r="556" ht="15.75" customHeight="1">
      <c r="A556" s="5"/>
      <c r="B556" s="5"/>
      <c r="C556" s="5"/>
      <c r="D556" s="5"/>
      <c r="E556" s="5"/>
      <c r="F556" s="5"/>
      <c r="G556" s="5"/>
      <c r="H556" s="5"/>
    </row>
    <row r="557" ht="15.75" customHeight="1">
      <c r="A557" s="5"/>
      <c r="B557" s="5"/>
      <c r="C557" s="5"/>
      <c r="D557" s="5"/>
      <c r="E557" s="5"/>
      <c r="F557" s="5"/>
      <c r="G557" s="5"/>
      <c r="H557" s="5"/>
    </row>
    <row r="558" ht="15.75" customHeight="1">
      <c r="A558" s="5"/>
      <c r="B558" s="5"/>
      <c r="C558" s="5"/>
      <c r="D558" s="5"/>
      <c r="E558" s="5"/>
      <c r="F558" s="5"/>
      <c r="G558" s="5"/>
      <c r="H558" s="5"/>
    </row>
    <row r="559" ht="15.75" customHeight="1">
      <c r="A559" s="5"/>
      <c r="B559" s="5"/>
      <c r="C559" s="5"/>
      <c r="D559" s="5"/>
      <c r="E559" s="5"/>
      <c r="F559" s="5"/>
      <c r="G559" s="5"/>
      <c r="H559" s="5"/>
    </row>
    <row r="560" ht="15.75" customHeight="1">
      <c r="A560" s="5"/>
      <c r="B560" s="5"/>
      <c r="C560" s="5"/>
      <c r="D560" s="5"/>
      <c r="E560" s="5"/>
      <c r="F560" s="5"/>
      <c r="G560" s="5"/>
      <c r="H560" s="5"/>
    </row>
    <row r="561" ht="15.75" customHeight="1">
      <c r="A561" s="5"/>
      <c r="B561" s="5"/>
      <c r="C561" s="5"/>
      <c r="D561" s="5"/>
      <c r="E561" s="5"/>
      <c r="F561" s="5"/>
      <c r="G561" s="5"/>
      <c r="H561" s="5"/>
    </row>
    <row r="562" ht="15.75" customHeight="1">
      <c r="A562" s="5"/>
      <c r="B562" s="5"/>
      <c r="C562" s="5"/>
      <c r="D562" s="5"/>
      <c r="E562" s="5"/>
      <c r="F562" s="5"/>
      <c r="G562" s="5"/>
      <c r="H562" s="5"/>
    </row>
    <row r="563" ht="15.75" customHeight="1">
      <c r="A563" s="5"/>
      <c r="B563" s="5"/>
      <c r="C563" s="5"/>
      <c r="D563" s="5"/>
      <c r="E563" s="5"/>
      <c r="F563" s="5"/>
      <c r="G563" s="5"/>
      <c r="H563" s="5"/>
    </row>
    <row r="564" ht="15.75" customHeight="1">
      <c r="A564" s="5"/>
      <c r="B564" s="5"/>
      <c r="C564" s="5"/>
      <c r="D564" s="5"/>
      <c r="E564" s="5"/>
      <c r="F564" s="5"/>
      <c r="G564" s="5"/>
      <c r="H564" s="5"/>
    </row>
    <row r="565" ht="15.75" customHeight="1">
      <c r="A565" s="5"/>
      <c r="B565" s="5"/>
      <c r="C565" s="5"/>
      <c r="D565" s="5"/>
      <c r="E565" s="5"/>
      <c r="F565" s="5"/>
      <c r="G565" s="5"/>
      <c r="H565" s="5"/>
    </row>
    <row r="566" ht="15.75" customHeight="1">
      <c r="A566" s="5"/>
      <c r="B566" s="5"/>
      <c r="C566" s="5"/>
      <c r="D566" s="5"/>
      <c r="E566" s="5"/>
      <c r="F566" s="5"/>
      <c r="G566" s="5"/>
      <c r="H566" s="5"/>
    </row>
    <row r="567" ht="15.75" customHeight="1">
      <c r="A567" s="5"/>
      <c r="B567" s="5"/>
      <c r="C567" s="5"/>
      <c r="D567" s="5"/>
      <c r="E567" s="5"/>
      <c r="F567" s="5"/>
      <c r="G567" s="5"/>
      <c r="H567" s="5"/>
    </row>
    <row r="568" ht="15.75" customHeight="1">
      <c r="A568" s="5"/>
      <c r="B568" s="5"/>
      <c r="C568" s="5"/>
      <c r="D568" s="5"/>
      <c r="E568" s="5"/>
      <c r="F568" s="5"/>
      <c r="G568" s="5"/>
      <c r="H568" s="5"/>
    </row>
    <row r="569" ht="15.75" customHeight="1">
      <c r="A569" s="5"/>
      <c r="B569" s="5"/>
      <c r="C569" s="5"/>
      <c r="D569" s="5"/>
      <c r="E569" s="5"/>
      <c r="F569" s="5"/>
      <c r="G569" s="5"/>
      <c r="H569" s="5"/>
    </row>
    <row r="570" ht="15.75" customHeight="1">
      <c r="A570" s="5"/>
      <c r="B570" s="5"/>
      <c r="C570" s="5"/>
      <c r="D570" s="5"/>
      <c r="E570" s="5"/>
      <c r="F570" s="5"/>
      <c r="G570" s="5"/>
      <c r="H570" s="5"/>
    </row>
    <row r="571" ht="15.75" customHeight="1">
      <c r="A571" s="5"/>
      <c r="B571" s="5"/>
      <c r="C571" s="5"/>
      <c r="D571" s="5"/>
      <c r="E571" s="5"/>
      <c r="F571" s="5"/>
      <c r="G571" s="5"/>
      <c r="H571" s="5"/>
    </row>
    <row r="572" ht="15.75" customHeight="1">
      <c r="A572" s="5"/>
      <c r="B572" s="5"/>
      <c r="C572" s="5"/>
      <c r="D572" s="5"/>
      <c r="E572" s="5"/>
      <c r="F572" s="5"/>
      <c r="G572" s="5"/>
      <c r="H572" s="5"/>
    </row>
    <row r="573" ht="15.75" customHeight="1">
      <c r="A573" s="5"/>
      <c r="B573" s="5"/>
      <c r="C573" s="5"/>
      <c r="D573" s="5"/>
      <c r="E573" s="5"/>
      <c r="F573" s="5"/>
      <c r="G573" s="5"/>
      <c r="H573" s="5"/>
    </row>
    <row r="574" ht="15.75" customHeight="1">
      <c r="A574" s="5"/>
      <c r="B574" s="5"/>
      <c r="C574" s="5"/>
      <c r="D574" s="5"/>
      <c r="E574" s="5"/>
      <c r="F574" s="5"/>
      <c r="G574" s="5"/>
      <c r="H574" s="5"/>
    </row>
    <row r="575" ht="15.75" customHeight="1">
      <c r="A575" s="5"/>
      <c r="B575" s="5"/>
      <c r="C575" s="5"/>
      <c r="D575" s="5"/>
      <c r="E575" s="5"/>
      <c r="F575" s="5"/>
      <c r="G575" s="5"/>
      <c r="H575" s="5"/>
    </row>
    <row r="576" ht="15.75" customHeight="1">
      <c r="A576" s="5"/>
      <c r="B576" s="5"/>
      <c r="C576" s="5"/>
      <c r="D576" s="5"/>
      <c r="E576" s="5"/>
      <c r="F576" s="5"/>
      <c r="G576" s="5"/>
      <c r="H576" s="5"/>
    </row>
    <row r="577" ht="15.75" customHeight="1">
      <c r="A577" s="5"/>
      <c r="B577" s="5"/>
      <c r="C577" s="5"/>
      <c r="D577" s="5"/>
      <c r="E577" s="5"/>
      <c r="F577" s="5"/>
      <c r="G577" s="5"/>
      <c r="H577" s="5"/>
    </row>
    <row r="578" ht="15.75" customHeight="1">
      <c r="A578" s="5"/>
      <c r="B578" s="5"/>
      <c r="C578" s="5"/>
      <c r="D578" s="5"/>
      <c r="E578" s="5"/>
      <c r="F578" s="5"/>
      <c r="G578" s="5"/>
      <c r="H578" s="5"/>
    </row>
    <row r="579" ht="15.75" customHeight="1">
      <c r="A579" s="5"/>
      <c r="B579" s="5"/>
      <c r="C579" s="5"/>
      <c r="D579" s="5"/>
      <c r="E579" s="5"/>
      <c r="F579" s="5"/>
      <c r="G579" s="5"/>
      <c r="H579" s="5"/>
    </row>
    <row r="580" ht="15.75" customHeight="1">
      <c r="A580" s="5"/>
      <c r="B580" s="5"/>
      <c r="C580" s="5"/>
      <c r="D580" s="5"/>
      <c r="E580" s="5"/>
      <c r="F580" s="5"/>
      <c r="G580" s="5"/>
      <c r="H580" s="5"/>
    </row>
    <row r="581" ht="15.75" customHeight="1">
      <c r="A581" s="5"/>
      <c r="B581" s="5"/>
      <c r="C581" s="5"/>
      <c r="D581" s="5"/>
      <c r="E581" s="5"/>
      <c r="F581" s="5"/>
      <c r="G581" s="5"/>
      <c r="H581" s="5"/>
    </row>
    <row r="582" ht="15.75" customHeight="1">
      <c r="A582" s="5"/>
      <c r="B582" s="5"/>
      <c r="C582" s="5"/>
      <c r="D582" s="5"/>
      <c r="E582" s="5"/>
      <c r="F582" s="5"/>
      <c r="G582" s="5"/>
      <c r="H582" s="5"/>
    </row>
    <row r="583" ht="15.75" customHeight="1">
      <c r="A583" s="5"/>
      <c r="B583" s="5"/>
      <c r="C583" s="5"/>
      <c r="D583" s="5"/>
      <c r="E583" s="5"/>
      <c r="F583" s="5"/>
      <c r="G583" s="5"/>
      <c r="H583" s="5"/>
    </row>
    <row r="584" ht="15.75" customHeight="1">
      <c r="A584" s="5"/>
      <c r="B584" s="5"/>
      <c r="C584" s="5"/>
      <c r="D584" s="5"/>
      <c r="E584" s="5"/>
      <c r="F584" s="5"/>
      <c r="G584" s="5"/>
      <c r="H584" s="5"/>
    </row>
    <row r="585" ht="15.75" customHeight="1">
      <c r="A585" s="5"/>
      <c r="B585" s="5"/>
      <c r="C585" s="5"/>
      <c r="D585" s="5"/>
      <c r="E585" s="5"/>
      <c r="F585" s="5"/>
      <c r="G585" s="5"/>
      <c r="H585" s="5"/>
    </row>
    <row r="586" ht="15.75" customHeight="1">
      <c r="A586" s="5"/>
      <c r="B586" s="5"/>
      <c r="C586" s="5"/>
      <c r="D586" s="5"/>
      <c r="E586" s="5"/>
      <c r="F586" s="5"/>
      <c r="G586" s="5"/>
      <c r="H586" s="5"/>
    </row>
    <row r="587" ht="15.75" customHeight="1">
      <c r="A587" s="5"/>
      <c r="B587" s="5"/>
      <c r="C587" s="5"/>
      <c r="D587" s="5"/>
      <c r="E587" s="5"/>
      <c r="F587" s="5"/>
      <c r="G587" s="5"/>
      <c r="H587" s="5"/>
    </row>
    <row r="588" ht="15.75" customHeight="1">
      <c r="A588" s="5"/>
      <c r="B588" s="5"/>
      <c r="C588" s="5"/>
      <c r="D588" s="5"/>
      <c r="E588" s="5"/>
      <c r="F588" s="5"/>
      <c r="G588" s="5"/>
      <c r="H588" s="5"/>
    </row>
    <row r="589" ht="15.75" customHeight="1">
      <c r="A589" s="5"/>
      <c r="B589" s="5"/>
      <c r="C589" s="5"/>
      <c r="D589" s="5"/>
      <c r="E589" s="5"/>
      <c r="F589" s="5"/>
      <c r="G589" s="5"/>
      <c r="H589" s="5"/>
    </row>
    <row r="590" ht="15.75" customHeight="1">
      <c r="A590" s="5"/>
      <c r="B590" s="5"/>
      <c r="C590" s="5"/>
      <c r="D590" s="5"/>
      <c r="E590" s="5"/>
      <c r="F590" s="5"/>
      <c r="G590" s="5"/>
      <c r="H590" s="5"/>
    </row>
    <row r="591" ht="15.75" customHeight="1">
      <c r="A591" s="5"/>
      <c r="B591" s="5"/>
      <c r="C591" s="5"/>
      <c r="D591" s="5"/>
      <c r="E591" s="5"/>
      <c r="F591" s="5"/>
      <c r="G591" s="5"/>
      <c r="H591" s="5"/>
    </row>
    <row r="592" ht="15.75" customHeight="1">
      <c r="A592" s="5"/>
      <c r="B592" s="5"/>
      <c r="C592" s="5"/>
      <c r="D592" s="5"/>
      <c r="E592" s="5"/>
      <c r="F592" s="5"/>
      <c r="G592" s="5"/>
      <c r="H592" s="5"/>
    </row>
    <row r="593" ht="15.75" customHeight="1">
      <c r="A593" s="5"/>
      <c r="B593" s="5"/>
      <c r="C593" s="5"/>
      <c r="D593" s="5"/>
      <c r="E593" s="5"/>
      <c r="F593" s="5"/>
      <c r="G593" s="5"/>
      <c r="H593" s="5"/>
    </row>
    <row r="594" ht="15.75" customHeight="1">
      <c r="A594" s="5"/>
      <c r="B594" s="5"/>
      <c r="C594" s="5"/>
      <c r="D594" s="5"/>
      <c r="E594" s="5"/>
      <c r="F594" s="5"/>
      <c r="G594" s="5"/>
      <c r="H594" s="5"/>
    </row>
    <row r="595" ht="15.75" customHeight="1">
      <c r="A595" s="5"/>
      <c r="B595" s="5"/>
      <c r="C595" s="5"/>
      <c r="D595" s="5"/>
      <c r="E595" s="5"/>
      <c r="F595" s="5"/>
      <c r="G595" s="5"/>
      <c r="H595" s="5"/>
    </row>
    <row r="596" ht="15.75" customHeight="1">
      <c r="A596" s="5"/>
      <c r="B596" s="5"/>
      <c r="C596" s="5"/>
      <c r="D596" s="5"/>
      <c r="E596" s="5"/>
      <c r="F596" s="5"/>
      <c r="G596" s="5"/>
      <c r="H596" s="5"/>
    </row>
    <row r="597" ht="15.75" customHeight="1">
      <c r="A597" s="5"/>
      <c r="B597" s="5"/>
      <c r="C597" s="5"/>
      <c r="D597" s="5"/>
      <c r="E597" s="5"/>
      <c r="F597" s="5"/>
      <c r="G597" s="5"/>
      <c r="H597" s="5"/>
    </row>
    <row r="598" ht="15.75" customHeight="1">
      <c r="A598" s="5"/>
      <c r="B598" s="5"/>
      <c r="C598" s="5"/>
      <c r="D598" s="5"/>
      <c r="E598" s="5"/>
      <c r="F598" s="5"/>
      <c r="G598" s="5"/>
      <c r="H598" s="5"/>
    </row>
    <row r="599" ht="15.75" customHeight="1">
      <c r="A599" s="5"/>
      <c r="B599" s="5"/>
      <c r="C599" s="5"/>
      <c r="D599" s="5"/>
      <c r="E599" s="5"/>
      <c r="F599" s="5"/>
      <c r="G599" s="5"/>
      <c r="H599" s="5"/>
    </row>
    <row r="600" ht="15.75" customHeight="1">
      <c r="A600" s="5"/>
      <c r="B600" s="5"/>
      <c r="C600" s="5"/>
      <c r="D600" s="5"/>
      <c r="E600" s="5"/>
      <c r="F600" s="5"/>
      <c r="G600" s="5"/>
      <c r="H600" s="5"/>
    </row>
    <row r="601" ht="15.75" customHeight="1">
      <c r="A601" s="5"/>
      <c r="B601" s="5"/>
      <c r="C601" s="5"/>
      <c r="D601" s="5"/>
      <c r="E601" s="5"/>
      <c r="F601" s="5"/>
      <c r="G601" s="5"/>
      <c r="H601" s="5"/>
    </row>
    <row r="602" ht="15.75" customHeight="1">
      <c r="A602" s="5"/>
      <c r="B602" s="5"/>
      <c r="C602" s="5"/>
      <c r="D602" s="5"/>
      <c r="E602" s="5"/>
      <c r="F602" s="5"/>
      <c r="G602" s="5"/>
      <c r="H602" s="5"/>
    </row>
    <row r="603" ht="15.75" customHeight="1">
      <c r="A603" s="5"/>
      <c r="B603" s="5"/>
      <c r="C603" s="5"/>
      <c r="D603" s="5"/>
      <c r="E603" s="5"/>
      <c r="F603" s="5"/>
      <c r="G603" s="5"/>
      <c r="H603" s="5"/>
    </row>
    <row r="604" ht="15.75" customHeight="1">
      <c r="A604" s="5"/>
      <c r="B604" s="5"/>
      <c r="C604" s="5"/>
      <c r="D604" s="5"/>
      <c r="E604" s="5"/>
      <c r="F604" s="5"/>
      <c r="G604" s="5"/>
      <c r="H604" s="5"/>
    </row>
    <row r="605" ht="15.75" customHeight="1">
      <c r="A605" s="5"/>
      <c r="B605" s="5"/>
      <c r="C605" s="5"/>
      <c r="D605" s="5"/>
      <c r="E605" s="5"/>
      <c r="F605" s="5"/>
      <c r="G605" s="5"/>
      <c r="H605" s="5"/>
    </row>
    <row r="606" ht="15.75" customHeight="1">
      <c r="A606" s="5"/>
      <c r="B606" s="5"/>
      <c r="C606" s="5"/>
      <c r="D606" s="5"/>
      <c r="E606" s="5"/>
      <c r="F606" s="5"/>
      <c r="G606" s="5"/>
      <c r="H606" s="5"/>
    </row>
    <row r="607" ht="15.75" customHeight="1">
      <c r="A607" s="5"/>
      <c r="B607" s="5"/>
      <c r="C607" s="5"/>
      <c r="D607" s="5"/>
      <c r="E607" s="5"/>
      <c r="F607" s="5"/>
      <c r="G607" s="5"/>
      <c r="H607" s="5"/>
    </row>
    <row r="608" ht="15.75" customHeight="1">
      <c r="A608" s="5"/>
      <c r="B608" s="5"/>
      <c r="C608" s="5"/>
      <c r="D608" s="5"/>
      <c r="E608" s="5"/>
      <c r="F608" s="5"/>
      <c r="G608" s="5"/>
      <c r="H608" s="5"/>
    </row>
    <row r="609" ht="15.75" customHeight="1">
      <c r="A609" s="5"/>
      <c r="B609" s="5"/>
      <c r="C609" s="5"/>
      <c r="D609" s="5"/>
      <c r="E609" s="5"/>
      <c r="F609" s="5"/>
      <c r="G609" s="5"/>
      <c r="H609" s="5"/>
    </row>
    <row r="610" ht="15.75" customHeight="1">
      <c r="A610" s="5"/>
      <c r="B610" s="5"/>
      <c r="C610" s="5"/>
      <c r="D610" s="5"/>
      <c r="E610" s="5"/>
      <c r="F610" s="5"/>
      <c r="G610" s="5"/>
      <c r="H610" s="5"/>
    </row>
    <row r="611" ht="15.75" customHeight="1">
      <c r="A611" s="5"/>
      <c r="B611" s="5"/>
      <c r="C611" s="5"/>
      <c r="D611" s="5"/>
      <c r="E611" s="5"/>
      <c r="F611" s="5"/>
      <c r="G611" s="5"/>
      <c r="H611" s="5"/>
    </row>
    <row r="612" ht="15.75" customHeight="1">
      <c r="A612" s="5"/>
      <c r="B612" s="5"/>
      <c r="C612" s="5"/>
      <c r="D612" s="5"/>
      <c r="E612" s="5"/>
      <c r="F612" s="5"/>
      <c r="G612" s="5"/>
      <c r="H612" s="5"/>
    </row>
    <row r="613" ht="15.75" customHeight="1">
      <c r="A613" s="5"/>
      <c r="B613" s="5"/>
      <c r="C613" s="5"/>
      <c r="D613" s="5"/>
      <c r="E613" s="5"/>
      <c r="F613" s="5"/>
      <c r="G613" s="5"/>
      <c r="H613" s="5"/>
    </row>
    <row r="614" ht="15.75" customHeight="1">
      <c r="A614" s="5"/>
      <c r="B614" s="5"/>
      <c r="C614" s="5"/>
      <c r="D614" s="5"/>
      <c r="E614" s="5"/>
      <c r="F614" s="5"/>
      <c r="G614" s="5"/>
      <c r="H614" s="5"/>
    </row>
    <row r="615" ht="15.75" customHeight="1">
      <c r="A615" s="5"/>
      <c r="B615" s="5"/>
      <c r="C615" s="5"/>
      <c r="D615" s="5"/>
      <c r="E615" s="5"/>
      <c r="F615" s="5"/>
      <c r="G615" s="5"/>
      <c r="H615" s="5"/>
    </row>
    <row r="616" ht="15.75" customHeight="1">
      <c r="A616" s="5"/>
      <c r="B616" s="5"/>
      <c r="C616" s="5"/>
      <c r="D616" s="5"/>
      <c r="E616" s="5"/>
      <c r="F616" s="5"/>
      <c r="G616" s="5"/>
      <c r="H616" s="5"/>
    </row>
    <row r="617" ht="15.75" customHeight="1">
      <c r="A617" s="5"/>
      <c r="B617" s="5"/>
      <c r="C617" s="5"/>
      <c r="D617" s="5"/>
      <c r="E617" s="5"/>
      <c r="F617" s="5"/>
      <c r="G617" s="5"/>
      <c r="H617" s="5"/>
    </row>
    <row r="618" ht="15.75" customHeight="1">
      <c r="A618" s="5"/>
      <c r="B618" s="5"/>
      <c r="C618" s="5"/>
      <c r="D618" s="5"/>
      <c r="E618" s="5"/>
      <c r="F618" s="5"/>
      <c r="G618" s="5"/>
      <c r="H618" s="5"/>
    </row>
    <row r="619" ht="15.75" customHeight="1">
      <c r="A619" s="5"/>
      <c r="B619" s="5"/>
      <c r="C619" s="5"/>
      <c r="D619" s="5"/>
      <c r="E619" s="5"/>
      <c r="F619" s="5"/>
      <c r="G619" s="5"/>
      <c r="H619" s="5"/>
    </row>
    <row r="620" ht="15.75" customHeight="1">
      <c r="A620" s="5"/>
      <c r="B620" s="5"/>
      <c r="C620" s="5"/>
      <c r="D620" s="5"/>
      <c r="E620" s="5"/>
      <c r="F620" s="5"/>
      <c r="G620" s="5"/>
      <c r="H620" s="5"/>
    </row>
    <row r="621" ht="15.75" customHeight="1">
      <c r="A621" s="5"/>
      <c r="B621" s="5"/>
      <c r="C621" s="5"/>
      <c r="D621" s="5"/>
      <c r="E621" s="5"/>
      <c r="F621" s="5"/>
      <c r="G621" s="5"/>
      <c r="H621" s="5"/>
    </row>
    <row r="622" ht="15.75" customHeight="1">
      <c r="A622" s="5"/>
      <c r="B622" s="5"/>
      <c r="C622" s="5"/>
      <c r="D622" s="5"/>
      <c r="E622" s="5"/>
      <c r="F622" s="5"/>
      <c r="G622" s="5"/>
      <c r="H622" s="5"/>
    </row>
    <row r="623" ht="15.75" customHeight="1">
      <c r="A623" s="5"/>
      <c r="B623" s="5"/>
      <c r="C623" s="5"/>
      <c r="D623" s="5"/>
      <c r="E623" s="5"/>
      <c r="F623" s="5"/>
      <c r="G623" s="5"/>
      <c r="H623" s="5"/>
    </row>
    <row r="624" ht="15.75" customHeight="1">
      <c r="A624" s="5"/>
      <c r="B624" s="5"/>
      <c r="C624" s="5"/>
      <c r="D624" s="5"/>
      <c r="E624" s="5"/>
      <c r="F624" s="5"/>
      <c r="G624" s="5"/>
      <c r="H624" s="5"/>
    </row>
    <row r="625" ht="15.75" customHeight="1">
      <c r="A625" s="5"/>
      <c r="B625" s="5"/>
      <c r="C625" s="5"/>
      <c r="D625" s="5"/>
      <c r="E625" s="5"/>
      <c r="F625" s="5"/>
      <c r="G625" s="5"/>
      <c r="H625" s="5"/>
    </row>
    <row r="626" ht="15.75" customHeight="1">
      <c r="A626" s="5"/>
      <c r="B626" s="5"/>
      <c r="C626" s="5"/>
      <c r="D626" s="5"/>
      <c r="E626" s="5"/>
      <c r="F626" s="5"/>
      <c r="G626" s="5"/>
      <c r="H626" s="5"/>
    </row>
    <row r="627" ht="15.75" customHeight="1">
      <c r="A627" s="5"/>
      <c r="B627" s="5"/>
      <c r="C627" s="5"/>
      <c r="D627" s="5"/>
      <c r="E627" s="5"/>
      <c r="F627" s="5"/>
      <c r="G627" s="5"/>
      <c r="H627" s="5"/>
    </row>
    <row r="628" ht="15.75" customHeight="1">
      <c r="A628" s="5"/>
      <c r="B628" s="5"/>
      <c r="C628" s="5"/>
      <c r="D628" s="5"/>
      <c r="E628" s="5"/>
      <c r="F628" s="5"/>
      <c r="G628" s="5"/>
      <c r="H628" s="5"/>
    </row>
    <row r="629" ht="15.75" customHeight="1">
      <c r="A629" s="5"/>
      <c r="B629" s="5"/>
      <c r="C629" s="5"/>
      <c r="D629" s="5"/>
      <c r="E629" s="5"/>
      <c r="F629" s="5"/>
      <c r="G629" s="5"/>
      <c r="H629" s="5"/>
    </row>
    <row r="630" ht="15.75" customHeight="1">
      <c r="A630" s="5"/>
      <c r="B630" s="5"/>
      <c r="C630" s="5"/>
      <c r="D630" s="5"/>
      <c r="E630" s="5"/>
      <c r="F630" s="5"/>
      <c r="G630" s="5"/>
      <c r="H630" s="5"/>
    </row>
    <row r="631" ht="15.75" customHeight="1">
      <c r="A631" s="5"/>
      <c r="B631" s="5"/>
      <c r="C631" s="5"/>
      <c r="D631" s="5"/>
      <c r="E631" s="5"/>
      <c r="F631" s="5"/>
      <c r="G631" s="5"/>
      <c r="H631" s="5"/>
    </row>
    <row r="632" ht="15.75" customHeight="1">
      <c r="A632" s="5"/>
      <c r="B632" s="5"/>
      <c r="C632" s="5"/>
      <c r="D632" s="5"/>
      <c r="E632" s="5"/>
      <c r="F632" s="5"/>
      <c r="G632" s="5"/>
      <c r="H632" s="5"/>
    </row>
    <row r="633" ht="15.75" customHeight="1">
      <c r="A633" s="5"/>
      <c r="B633" s="5"/>
      <c r="C633" s="5"/>
      <c r="D633" s="5"/>
      <c r="E633" s="5"/>
      <c r="F633" s="5"/>
      <c r="G633" s="5"/>
      <c r="H633" s="5"/>
    </row>
    <row r="634" ht="15.75" customHeight="1">
      <c r="A634" s="5"/>
      <c r="B634" s="5"/>
      <c r="C634" s="5"/>
      <c r="D634" s="5"/>
      <c r="E634" s="5"/>
      <c r="F634" s="5"/>
      <c r="G634" s="5"/>
      <c r="H634" s="5"/>
    </row>
    <row r="635" ht="15.75" customHeight="1">
      <c r="A635" s="5"/>
      <c r="B635" s="5"/>
      <c r="C635" s="5"/>
      <c r="D635" s="5"/>
      <c r="E635" s="5"/>
      <c r="F635" s="5"/>
      <c r="G635" s="5"/>
      <c r="H635" s="5"/>
    </row>
    <row r="636" ht="15.75" customHeight="1">
      <c r="A636" s="5"/>
      <c r="B636" s="5"/>
      <c r="C636" s="5"/>
      <c r="D636" s="5"/>
      <c r="E636" s="5"/>
      <c r="F636" s="5"/>
      <c r="G636" s="5"/>
      <c r="H636" s="5"/>
    </row>
    <row r="637" ht="15.75" customHeight="1">
      <c r="A637" s="5"/>
      <c r="B637" s="5"/>
      <c r="C637" s="5"/>
      <c r="D637" s="5"/>
      <c r="E637" s="5"/>
      <c r="F637" s="5"/>
      <c r="G637" s="5"/>
      <c r="H637" s="5"/>
    </row>
    <row r="638" ht="15.75" customHeight="1">
      <c r="A638" s="5"/>
      <c r="B638" s="5"/>
      <c r="C638" s="5"/>
      <c r="D638" s="5"/>
      <c r="E638" s="5"/>
      <c r="F638" s="5"/>
      <c r="G638" s="5"/>
      <c r="H638" s="5"/>
    </row>
    <row r="639" ht="15.75" customHeight="1">
      <c r="A639" s="5"/>
      <c r="B639" s="5"/>
      <c r="C639" s="5"/>
      <c r="D639" s="5"/>
      <c r="E639" s="5"/>
      <c r="F639" s="5"/>
      <c r="G639" s="5"/>
      <c r="H639" s="5"/>
    </row>
    <row r="640" ht="15.75" customHeight="1">
      <c r="A640" s="5"/>
      <c r="B640" s="5"/>
      <c r="C640" s="5"/>
      <c r="D640" s="5"/>
      <c r="E640" s="5"/>
      <c r="F640" s="5"/>
      <c r="G640" s="5"/>
      <c r="H640" s="5"/>
    </row>
    <row r="641" ht="15.75" customHeight="1">
      <c r="A641" s="5"/>
      <c r="B641" s="5"/>
      <c r="C641" s="5"/>
      <c r="D641" s="5"/>
      <c r="E641" s="5"/>
      <c r="F641" s="5"/>
      <c r="G641" s="5"/>
      <c r="H641" s="5"/>
    </row>
    <row r="642" ht="15.75" customHeight="1">
      <c r="A642" s="5"/>
      <c r="B642" s="5"/>
      <c r="C642" s="5"/>
      <c r="D642" s="5"/>
      <c r="E642" s="5"/>
      <c r="F642" s="5"/>
      <c r="G642" s="5"/>
      <c r="H642" s="5"/>
    </row>
    <row r="643" ht="15.75" customHeight="1">
      <c r="A643" s="5"/>
      <c r="B643" s="5"/>
      <c r="C643" s="5"/>
      <c r="D643" s="5"/>
      <c r="E643" s="5"/>
      <c r="F643" s="5"/>
      <c r="G643" s="5"/>
      <c r="H643" s="5"/>
    </row>
    <row r="644" ht="15.75" customHeight="1">
      <c r="A644" s="5"/>
      <c r="B644" s="5"/>
      <c r="C644" s="5"/>
      <c r="D644" s="5"/>
      <c r="E644" s="5"/>
      <c r="F644" s="5"/>
      <c r="G644" s="5"/>
      <c r="H644" s="5"/>
    </row>
    <row r="645" ht="15.75" customHeight="1">
      <c r="A645" s="5"/>
      <c r="B645" s="5"/>
      <c r="C645" s="5"/>
      <c r="D645" s="5"/>
      <c r="E645" s="5"/>
      <c r="F645" s="5"/>
      <c r="G645" s="5"/>
      <c r="H645" s="5"/>
    </row>
    <row r="646" ht="15.75" customHeight="1">
      <c r="A646" s="5"/>
      <c r="B646" s="5"/>
      <c r="C646" s="5"/>
      <c r="D646" s="5"/>
      <c r="E646" s="5"/>
      <c r="F646" s="5"/>
      <c r="G646" s="5"/>
      <c r="H646" s="5"/>
    </row>
    <row r="647" ht="15.75" customHeight="1">
      <c r="A647" s="5"/>
      <c r="B647" s="5"/>
      <c r="C647" s="5"/>
      <c r="D647" s="5"/>
      <c r="E647" s="5"/>
      <c r="F647" s="5"/>
      <c r="G647" s="5"/>
      <c r="H647" s="5"/>
    </row>
    <row r="648" ht="15.75" customHeight="1">
      <c r="A648" s="5"/>
      <c r="B648" s="5"/>
      <c r="C648" s="5"/>
      <c r="D648" s="5"/>
      <c r="E648" s="5"/>
      <c r="F648" s="5"/>
      <c r="G648" s="5"/>
      <c r="H648" s="5"/>
    </row>
    <row r="649" ht="15.75" customHeight="1">
      <c r="A649" s="5"/>
      <c r="B649" s="5"/>
      <c r="C649" s="5"/>
      <c r="D649" s="5"/>
      <c r="E649" s="5"/>
      <c r="F649" s="5"/>
      <c r="G649" s="5"/>
      <c r="H649" s="5"/>
    </row>
    <row r="650" ht="15.75" customHeight="1">
      <c r="A650" s="5"/>
      <c r="B650" s="5"/>
      <c r="C650" s="5"/>
      <c r="D650" s="5"/>
      <c r="E650" s="5"/>
      <c r="F650" s="5"/>
      <c r="G650" s="5"/>
      <c r="H650" s="5"/>
    </row>
    <row r="651" ht="15.75" customHeight="1">
      <c r="A651" s="5"/>
      <c r="B651" s="5"/>
      <c r="C651" s="5"/>
      <c r="D651" s="5"/>
      <c r="E651" s="5"/>
      <c r="F651" s="5"/>
      <c r="G651" s="5"/>
      <c r="H651" s="5"/>
    </row>
    <row r="652" ht="15.75" customHeight="1">
      <c r="A652" s="5"/>
      <c r="B652" s="5"/>
      <c r="C652" s="5"/>
      <c r="D652" s="5"/>
      <c r="E652" s="5"/>
      <c r="F652" s="5"/>
      <c r="G652" s="5"/>
      <c r="H652" s="5"/>
    </row>
    <row r="653" ht="15.75" customHeight="1">
      <c r="A653" s="5"/>
      <c r="B653" s="5"/>
      <c r="C653" s="5"/>
      <c r="D653" s="5"/>
      <c r="E653" s="5"/>
      <c r="F653" s="5"/>
      <c r="G653" s="5"/>
      <c r="H653" s="5"/>
    </row>
    <row r="654" ht="15.75" customHeight="1">
      <c r="A654" s="5"/>
      <c r="B654" s="5"/>
      <c r="C654" s="5"/>
      <c r="D654" s="5"/>
      <c r="E654" s="5"/>
      <c r="F654" s="5"/>
      <c r="G654" s="5"/>
      <c r="H654" s="5"/>
    </row>
    <row r="655" ht="15.75" customHeight="1">
      <c r="A655" s="5"/>
      <c r="B655" s="5"/>
      <c r="C655" s="5"/>
      <c r="D655" s="5"/>
      <c r="E655" s="5"/>
      <c r="F655" s="5"/>
      <c r="G655" s="5"/>
      <c r="H655" s="5"/>
    </row>
    <row r="656" ht="15.75" customHeight="1">
      <c r="A656" s="5"/>
      <c r="B656" s="5"/>
      <c r="C656" s="5"/>
      <c r="D656" s="5"/>
      <c r="E656" s="5"/>
      <c r="F656" s="5"/>
      <c r="G656" s="5"/>
      <c r="H656" s="5"/>
    </row>
    <row r="657" ht="15.75" customHeight="1">
      <c r="A657" s="5"/>
      <c r="B657" s="5"/>
      <c r="C657" s="5"/>
      <c r="D657" s="5"/>
      <c r="E657" s="5"/>
      <c r="F657" s="5"/>
      <c r="G657" s="5"/>
      <c r="H657" s="5"/>
    </row>
    <row r="658" ht="15.75" customHeight="1">
      <c r="A658" s="5"/>
      <c r="B658" s="5"/>
      <c r="C658" s="5"/>
      <c r="D658" s="5"/>
      <c r="E658" s="5"/>
      <c r="F658" s="5"/>
      <c r="G658" s="5"/>
      <c r="H658" s="5"/>
    </row>
    <row r="659" ht="15.75" customHeight="1">
      <c r="A659" s="5"/>
      <c r="B659" s="5"/>
      <c r="C659" s="5"/>
      <c r="D659" s="5"/>
      <c r="E659" s="5"/>
      <c r="F659" s="5"/>
      <c r="G659" s="5"/>
      <c r="H659" s="5"/>
    </row>
    <row r="660" ht="15.75" customHeight="1">
      <c r="A660" s="5"/>
      <c r="B660" s="5"/>
      <c r="C660" s="5"/>
      <c r="D660" s="5"/>
      <c r="E660" s="5"/>
      <c r="F660" s="5"/>
      <c r="G660" s="5"/>
      <c r="H660" s="5"/>
    </row>
    <row r="661" ht="15.75" customHeight="1">
      <c r="A661" s="5"/>
      <c r="B661" s="5"/>
      <c r="C661" s="5"/>
      <c r="D661" s="5"/>
      <c r="E661" s="5"/>
      <c r="F661" s="5"/>
      <c r="G661" s="5"/>
      <c r="H661" s="5"/>
    </row>
    <row r="662" ht="15.75" customHeight="1">
      <c r="A662" s="5"/>
      <c r="B662" s="5"/>
      <c r="C662" s="5"/>
      <c r="D662" s="5"/>
      <c r="E662" s="5"/>
      <c r="F662" s="5"/>
      <c r="G662" s="5"/>
      <c r="H662" s="5"/>
    </row>
    <row r="663" ht="15.75" customHeight="1">
      <c r="A663" s="5"/>
      <c r="B663" s="5"/>
      <c r="C663" s="5"/>
      <c r="D663" s="5"/>
      <c r="E663" s="5"/>
      <c r="F663" s="5"/>
      <c r="G663" s="5"/>
      <c r="H663" s="5"/>
    </row>
    <row r="664" ht="15.75" customHeight="1">
      <c r="A664" s="5"/>
      <c r="B664" s="5"/>
      <c r="C664" s="5"/>
      <c r="D664" s="5"/>
      <c r="E664" s="5"/>
      <c r="F664" s="5"/>
      <c r="G664" s="5"/>
      <c r="H664" s="5"/>
    </row>
    <row r="665" ht="15.75" customHeight="1">
      <c r="A665" s="5"/>
      <c r="B665" s="5"/>
      <c r="C665" s="5"/>
      <c r="D665" s="5"/>
      <c r="E665" s="5"/>
      <c r="F665" s="5"/>
      <c r="G665" s="5"/>
      <c r="H665" s="5"/>
    </row>
    <row r="666" ht="15.75" customHeight="1">
      <c r="A666" s="5"/>
      <c r="B666" s="5"/>
      <c r="C666" s="5"/>
      <c r="D666" s="5"/>
      <c r="E666" s="5"/>
      <c r="F666" s="5"/>
      <c r="G666" s="5"/>
      <c r="H666" s="5"/>
    </row>
    <row r="667" ht="15.75" customHeight="1">
      <c r="A667" s="5"/>
      <c r="B667" s="5"/>
      <c r="C667" s="5"/>
      <c r="D667" s="5"/>
      <c r="E667" s="5"/>
      <c r="F667" s="5"/>
      <c r="G667" s="5"/>
      <c r="H667" s="5"/>
    </row>
    <row r="668" ht="15.75" customHeight="1">
      <c r="A668" s="5"/>
      <c r="B668" s="5"/>
      <c r="C668" s="5"/>
      <c r="D668" s="5"/>
      <c r="E668" s="5"/>
      <c r="F668" s="5"/>
      <c r="G668" s="5"/>
      <c r="H668" s="5"/>
    </row>
    <row r="669" ht="15.75" customHeight="1">
      <c r="A669" s="5"/>
      <c r="B669" s="5"/>
      <c r="C669" s="5"/>
      <c r="D669" s="5"/>
      <c r="E669" s="5"/>
      <c r="F669" s="5"/>
      <c r="G669" s="5"/>
      <c r="H669" s="5"/>
    </row>
    <row r="670" ht="15.75" customHeight="1">
      <c r="A670" s="5"/>
      <c r="B670" s="5"/>
      <c r="C670" s="5"/>
      <c r="D670" s="5"/>
      <c r="E670" s="5"/>
      <c r="F670" s="5"/>
      <c r="G670" s="5"/>
      <c r="H670" s="5"/>
    </row>
    <row r="671" ht="15.75" customHeight="1">
      <c r="A671" s="5"/>
      <c r="B671" s="5"/>
      <c r="C671" s="5"/>
      <c r="D671" s="5"/>
      <c r="E671" s="5"/>
      <c r="F671" s="5"/>
      <c r="G671" s="5"/>
      <c r="H671" s="5"/>
    </row>
    <row r="672" ht="15.75" customHeight="1">
      <c r="A672" s="5"/>
      <c r="B672" s="5"/>
      <c r="C672" s="5"/>
      <c r="D672" s="5"/>
      <c r="E672" s="5"/>
      <c r="F672" s="5"/>
      <c r="G672" s="5"/>
      <c r="H672" s="5"/>
    </row>
    <row r="673" ht="15.75" customHeight="1">
      <c r="A673" s="5"/>
      <c r="B673" s="5"/>
      <c r="C673" s="5"/>
      <c r="D673" s="5"/>
      <c r="E673" s="5"/>
      <c r="F673" s="5"/>
      <c r="G673" s="5"/>
      <c r="H673" s="5"/>
    </row>
    <row r="674" ht="15.75" customHeight="1">
      <c r="A674" s="5"/>
      <c r="B674" s="5"/>
      <c r="C674" s="5"/>
      <c r="D674" s="5"/>
      <c r="E674" s="5"/>
      <c r="F674" s="5"/>
      <c r="G674" s="5"/>
      <c r="H674" s="5"/>
    </row>
    <row r="675" ht="15.75" customHeight="1">
      <c r="A675" s="5"/>
      <c r="B675" s="5"/>
      <c r="C675" s="5"/>
      <c r="D675" s="5"/>
      <c r="E675" s="5"/>
      <c r="F675" s="5"/>
      <c r="G675" s="5"/>
      <c r="H675" s="5"/>
    </row>
    <row r="676" ht="15.75" customHeight="1">
      <c r="A676" s="5"/>
      <c r="B676" s="5"/>
      <c r="C676" s="5"/>
      <c r="D676" s="5"/>
      <c r="E676" s="5"/>
      <c r="F676" s="5"/>
      <c r="G676" s="5"/>
      <c r="H676" s="5"/>
    </row>
    <row r="677" ht="15.75" customHeight="1">
      <c r="A677" s="5"/>
      <c r="B677" s="5"/>
      <c r="C677" s="5"/>
      <c r="D677" s="5"/>
      <c r="E677" s="5"/>
      <c r="F677" s="5"/>
      <c r="G677" s="5"/>
      <c r="H677" s="5"/>
    </row>
    <row r="678" ht="15.75" customHeight="1">
      <c r="A678" s="5"/>
      <c r="B678" s="5"/>
      <c r="C678" s="5"/>
      <c r="D678" s="5"/>
      <c r="E678" s="5"/>
      <c r="F678" s="5"/>
      <c r="G678" s="5"/>
      <c r="H678" s="5"/>
    </row>
    <row r="679" ht="15.75" customHeight="1">
      <c r="A679" s="5"/>
      <c r="B679" s="5"/>
      <c r="C679" s="5"/>
      <c r="D679" s="5"/>
      <c r="E679" s="5"/>
      <c r="F679" s="5"/>
      <c r="G679" s="5"/>
      <c r="H679" s="5"/>
    </row>
    <row r="680" ht="15.75" customHeight="1">
      <c r="A680" s="5"/>
      <c r="B680" s="5"/>
      <c r="C680" s="5"/>
      <c r="D680" s="5"/>
      <c r="E680" s="5"/>
      <c r="F680" s="5"/>
      <c r="G680" s="5"/>
      <c r="H680" s="5"/>
    </row>
    <row r="681" ht="15.75" customHeight="1">
      <c r="A681" s="5"/>
      <c r="B681" s="5"/>
      <c r="C681" s="5"/>
      <c r="D681" s="5"/>
      <c r="E681" s="5"/>
      <c r="F681" s="5"/>
      <c r="G681" s="5"/>
      <c r="H681" s="5"/>
    </row>
    <row r="682" ht="15.75" customHeight="1">
      <c r="A682" s="5"/>
      <c r="B682" s="5"/>
      <c r="C682" s="5"/>
      <c r="D682" s="5"/>
      <c r="E682" s="5"/>
      <c r="F682" s="5"/>
      <c r="G682" s="5"/>
      <c r="H682" s="5"/>
    </row>
    <row r="683" ht="15.75" customHeight="1">
      <c r="A683" s="5"/>
      <c r="B683" s="5"/>
      <c r="C683" s="5"/>
      <c r="D683" s="5"/>
      <c r="E683" s="5"/>
      <c r="F683" s="5"/>
      <c r="G683" s="5"/>
      <c r="H683" s="5"/>
    </row>
    <row r="684" ht="15.75" customHeight="1">
      <c r="A684" s="5"/>
      <c r="B684" s="5"/>
      <c r="C684" s="5"/>
      <c r="D684" s="5"/>
      <c r="E684" s="5"/>
      <c r="F684" s="5"/>
      <c r="G684" s="5"/>
      <c r="H684" s="5"/>
    </row>
    <row r="685" ht="15.75" customHeight="1">
      <c r="A685" s="5"/>
      <c r="B685" s="5"/>
      <c r="C685" s="5"/>
      <c r="D685" s="5"/>
      <c r="E685" s="5"/>
      <c r="F685" s="5"/>
      <c r="G685" s="5"/>
      <c r="H685" s="5"/>
    </row>
    <row r="686" ht="15.75" customHeight="1">
      <c r="A686" s="5"/>
      <c r="B686" s="5"/>
      <c r="C686" s="5"/>
      <c r="D686" s="5"/>
      <c r="E686" s="5"/>
      <c r="F686" s="5"/>
      <c r="G686" s="5"/>
      <c r="H686" s="5"/>
    </row>
    <row r="687" ht="15.75" customHeight="1">
      <c r="A687" s="5"/>
      <c r="B687" s="5"/>
      <c r="C687" s="5"/>
      <c r="D687" s="5"/>
      <c r="E687" s="5"/>
      <c r="F687" s="5"/>
      <c r="G687" s="5"/>
      <c r="H687" s="5"/>
    </row>
    <row r="688" ht="15.75" customHeight="1">
      <c r="A688" s="5"/>
      <c r="B688" s="5"/>
      <c r="C688" s="5"/>
      <c r="D688" s="5"/>
      <c r="E688" s="5"/>
      <c r="F688" s="5"/>
      <c r="G688" s="5"/>
      <c r="H688" s="5"/>
    </row>
    <row r="689" ht="15.75" customHeight="1">
      <c r="A689" s="5"/>
      <c r="B689" s="5"/>
      <c r="C689" s="5"/>
      <c r="D689" s="5"/>
      <c r="E689" s="5"/>
      <c r="F689" s="5"/>
      <c r="G689" s="5"/>
      <c r="H689" s="5"/>
    </row>
    <row r="690" ht="15.75" customHeight="1">
      <c r="A690" s="5"/>
      <c r="B690" s="5"/>
      <c r="C690" s="5"/>
      <c r="D690" s="5"/>
      <c r="E690" s="5"/>
      <c r="F690" s="5"/>
      <c r="G690" s="5"/>
      <c r="H690" s="5"/>
    </row>
    <row r="691" ht="15.75" customHeight="1">
      <c r="A691" s="5"/>
      <c r="B691" s="5"/>
      <c r="C691" s="5"/>
      <c r="D691" s="5"/>
      <c r="E691" s="5"/>
      <c r="F691" s="5"/>
      <c r="G691" s="5"/>
      <c r="H691" s="5"/>
    </row>
    <row r="692" ht="15.75" customHeight="1">
      <c r="A692" s="5"/>
      <c r="B692" s="5"/>
      <c r="C692" s="5"/>
      <c r="D692" s="5"/>
      <c r="E692" s="5"/>
      <c r="F692" s="5"/>
      <c r="G692" s="5"/>
      <c r="H692" s="5"/>
    </row>
    <row r="693" ht="15.75" customHeight="1">
      <c r="A693" s="5"/>
      <c r="B693" s="5"/>
      <c r="C693" s="5"/>
      <c r="D693" s="5"/>
      <c r="E693" s="5"/>
      <c r="F693" s="5"/>
      <c r="G693" s="5"/>
      <c r="H693" s="5"/>
    </row>
    <row r="694" ht="15.75" customHeight="1">
      <c r="A694" s="5"/>
      <c r="B694" s="5"/>
      <c r="C694" s="5"/>
      <c r="D694" s="5"/>
      <c r="E694" s="5"/>
      <c r="F694" s="5"/>
      <c r="G694" s="5"/>
      <c r="H694" s="5"/>
    </row>
    <row r="695" ht="15.75" customHeight="1">
      <c r="A695" s="5"/>
      <c r="B695" s="5"/>
      <c r="C695" s="5"/>
      <c r="D695" s="5"/>
      <c r="E695" s="5"/>
      <c r="F695" s="5"/>
      <c r="G695" s="5"/>
      <c r="H695" s="5"/>
    </row>
    <row r="696" ht="15.75" customHeight="1">
      <c r="A696" s="5"/>
      <c r="B696" s="5"/>
      <c r="C696" s="5"/>
      <c r="D696" s="5"/>
      <c r="E696" s="5"/>
      <c r="F696" s="5"/>
      <c r="G696" s="5"/>
      <c r="H696" s="5"/>
    </row>
    <row r="697" ht="15.75" customHeight="1">
      <c r="A697" s="5"/>
      <c r="B697" s="5"/>
      <c r="C697" s="5"/>
      <c r="D697" s="5"/>
      <c r="E697" s="5"/>
      <c r="F697" s="5"/>
      <c r="G697" s="5"/>
      <c r="H697" s="5"/>
    </row>
    <row r="698" ht="15.75" customHeight="1">
      <c r="A698" s="5"/>
      <c r="B698" s="5"/>
      <c r="C698" s="5"/>
      <c r="D698" s="5"/>
      <c r="E698" s="5"/>
      <c r="F698" s="5"/>
      <c r="G698" s="5"/>
      <c r="H698" s="5"/>
    </row>
    <row r="699" ht="15.75" customHeight="1">
      <c r="A699" s="5"/>
      <c r="B699" s="5"/>
      <c r="C699" s="5"/>
      <c r="D699" s="5"/>
      <c r="E699" s="5"/>
      <c r="F699" s="5"/>
      <c r="G699" s="5"/>
      <c r="H699" s="5"/>
    </row>
    <row r="700" ht="15.75" customHeight="1">
      <c r="A700" s="5"/>
      <c r="B700" s="5"/>
      <c r="C700" s="5"/>
      <c r="D700" s="5"/>
      <c r="E700" s="5"/>
      <c r="F700" s="5"/>
      <c r="G700" s="5"/>
      <c r="H700" s="5"/>
    </row>
    <row r="701" ht="15.75" customHeight="1">
      <c r="A701" s="5"/>
      <c r="B701" s="5"/>
      <c r="C701" s="5"/>
      <c r="D701" s="5"/>
      <c r="E701" s="5"/>
      <c r="F701" s="5"/>
      <c r="G701" s="5"/>
      <c r="H701" s="5"/>
    </row>
    <row r="702" ht="15.75" customHeight="1">
      <c r="A702" s="5"/>
      <c r="B702" s="5"/>
      <c r="C702" s="5"/>
      <c r="D702" s="5"/>
      <c r="E702" s="5"/>
      <c r="F702" s="5"/>
      <c r="G702" s="5"/>
      <c r="H702" s="5"/>
    </row>
    <row r="703" ht="15.75" customHeight="1">
      <c r="A703" s="5"/>
      <c r="B703" s="5"/>
      <c r="C703" s="5"/>
      <c r="D703" s="5"/>
      <c r="E703" s="5"/>
      <c r="F703" s="5"/>
      <c r="G703" s="5"/>
      <c r="H703" s="5"/>
    </row>
    <row r="704" ht="15.75" customHeight="1">
      <c r="A704" s="5"/>
      <c r="B704" s="5"/>
      <c r="C704" s="5"/>
      <c r="D704" s="5"/>
      <c r="E704" s="5"/>
      <c r="F704" s="5"/>
      <c r="G704" s="5"/>
      <c r="H704" s="5"/>
    </row>
    <row r="705" ht="15.75" customHeight="1">
      <c r="A705" s="5"/>
      <c r="B705" s="5"/>
      <c r="C705" s="5"/>
      <c r="D705" s="5"/>
      <c r="E705" s="5"/>
      <c r="F705" s="5"/>
      <c r="G705" s="5"/>
      <c r="H705" s="5"/>
    </row>
    <row r="706" ht="15.75" customHeight="1">
      <c r="A706" s="5"/>
      <c r="B706" s="5"/>
      <c r="C706" s="5"/>
      <c r="D706" s="5"/>
      <c r="E706" s="5"/>
      <c r="F706" s="5"/>
      <c r="G706" s="5"/>
      <c r="H706" s="5"/>
    </row>
    <row r="707" ht="15.75" customHeight="1">
      <c r="A707" s="5"/>
      <c r="B707" s="5"/>
      <c r="C707" s="5"/>
      <c r="D707" s="5"/>
      <c r="E707" s="5"/>
      <c r="F707" s="5"/>
      <c r="G707" s="5"/>
      <c r="H707" s="5"/>
    </row>
    <row r="708" ht="15.75" customHeight="1">
      <c r="A708" s="5"/>
      <c r="B708" s="5"/>
      <c r="C708" s="5"/>
      <c r="D708" s="5"/>
      <c r="E708" s="5"/>
      <c r="F708" s="5"/>
      <c r="G708" s="5"/>
      <c r="H708" s="5"/>
    </row>
    <row r="709" ht="15.75" customHeight="1">
      <c r="A709" s="5"/>
      <c r="B709" s="5"/>
      <c r="C709" s="5"/>
      <c r="D709" s="5"/>
      <c r="E709" s="5"/>
      <c r="F709" s="5"/>
      <c r="G709" s="5"/>
      <c r="H709" s="5"/>
    </row>
    <row r="710" ht="15.75" customHeight="1">
      <c r="A710" s="5"/>
      <c r="B710" s="5"/>
      <c r="C710" s="5"/>
      <c r="D710" s="5"/>
      <c r="E710" s="5"/>
      <c r="F710" s="5"/>
      <c r="G710" s="5"/>
      <c r="H710" s="5"/>
    </row>
    <row r="711" ht="15.75" customHeight="1">
      <c r="A711" s="5"/>
      <c r="B711" s="5"/>
      <c r="C711" s="5"/>
      <c r="D711" s="5"/>
      <c r="E711" s="5"/>
      <c r="F711" s="5"/>
      <c r="G711" s="5"/>
      <c r="H711" s="5"/>
    </row>
    <row r="712" ht="15.75" customHeight="1">
      <c r="A712" s="5"/>
      <c r="B712" s="5"/>
      <c r="C712" s="5"/>
      <c r="D712" s="5"/>
      <c r="E712" s="5"/>
      <c r="F712" s="5"/>
      <c r="G712" s="5"/>
      <c r="H712" s="5"/>
    </row>
    <row r="713" ht="15.75" customHeight="1">
      <c r="A713" s="5"/>
      <c r="B713" s="5"/>
      <c r="C713" s="5"/>
      <c r="D713" s="5"/>
      <c r="E713" s="5"/>
      <c r="F713" s="5"/>
      <c r="G713" s="5"/>
      <c r="H713" s="5"/>
    </row>
    <row r="714" ht="15.75" customHeight="1">
      <c r="A714" s="5"/>
      <c r="B714" s="5"/>
      <c r="C714" s="5"/>
      <c r="D714" s="5"/>
      <c r="E714" s="5"/>
      <c r="F714" s="5"/>
      <c r="G714" s="5"/>
      <c r="H714" s="5"/>
    </row>
    <row r="715" ht="15.75" customHeight="1">
      <c r="A715" s="5"/>
      <c r="B715" s="5"/>
      <c r="C715" s="5"/>
      <c r="D715" s="5"/>
      <c r="E715" s="5"/>
      <c r="F715" s="5"/>
      <c r="G715" s="5"/>
      <c r="H715" s="5"/>
    </row>
    <row r="716" ht="15.75" customHeight="1">
      <c r="A716" s="5"/>
      <c r="B716" s="5"/>
      <c r="C716" s="5"/>
      <c r="D716" s="5"/>
      <c r="E716" s="5"/>
      <c r="F716" s="5"/>
      <c r="G716" s="5"/>
      <c r="H716" s="5"/>
    </row>
    <row r="717" ht="15.75" customHeight="1">
      <c r="A717" s="5"/>
      <c r="B717" s="5"/>
      <c r="C717" s="5"/>
      <c r="D717" s="5"/>
      <c r="E717" s="5"/>
      <c r="F717" s="5"/>
      <c r="G717" s="5"/>
      <c r="H717" s="5"/>
    </row>
    <row r="718" ht="15.75" customHeight="1">
      <c r="A718" s="5"/>
      <c r="B718" s="5"/>
      <c r="C718" s="5"/>
      <c r="D718" s="5"/>
      <c r="E718" s="5"/>
      <c r="F718" s="5"/>
      <c r="G718" s="5"/>
      <c r="H718" s="5"/>
    </row>
    <row r="719" ht="15.75" customHeight="1">
      <c r="A719" s="5"/>
      <c r="B719" s="5"/>
      <c r="C719" s="5"/>
      <c r="D719" s="5"/>
      <c r="E719" s="5"/>
      <c r="F719" s="5"/>
      <c r="G719" s="5"/>
      <c r="H719" s="5"/>
    </row>
    <row r="720" ht="15.75" customHeight="1">
      <c r="A720" s="5"/>
      <c r="B720" s="5"/>
      <c r="C720" s="5"/>
      <c r="D720" s="5"/>
      <c r="E720" s="5"/>
      <c r="F720" s="5"/>
      <c r="G720" s="5"/>
      <c r="H720" s="5"/>
    </row>
    <row r="721" ht="15.75" customHeight="1">
      <c r="A721" s="5"/>
      <c r="B721" s="5"/>
      <c r="C721" s="5"/>
      <c r="D721" s="5"/>
      <c r="E721" s="5"/>
      <c r="F721" s="5"/>
      <c r="G721" s="5"/>
      <c r="H721" s="5"/>
    </row>
    <row r="722" ht="15.75" customHeight="1">
      <c r="A722" s="5"/>
      <c r="B722" s="5"/>
      <c r="C722" s="5"/>
      <c r="D722" s="5"/>
      <c r="E722" s="5"/>
      <c r="F722" s="5"/>
      <c r="G722" s="5"/>
      <c r="H722" s="5"/>
    </row>
    <row r="723" ht="15.75" customHeight="1">
      <c r="A723" s="5"/>
      <c r="B723" s="5"/>
      <c r="C723" s="5"/>
      <c r="D723" s="5"/>
      <c r="E723" s="5"/>
      <c r="F723" s="5"/>
      <c r="G723" s="5"/>
      <c r="H723" s="5"/>
    </row>
    <row r="724" ht="15.75" customHeight="1">
      <c r="A724" s="5"/>
      <c r="B724" s="5"/>
      <c r="C724" s="5"/>
      <c r="D724" s="5"/>
      <c r="E724" s="5"/>
      <c r="F724" s="5"/>
      <c r="G724" s="5"/>
      <c r="H724" s="5"/>
    </row>
    <row r="725" ht="15.75" customHeight="1">
      <c r="A725" s="5"/>
      <c r="B725" s="5"/>
      <c r="C725" s="5"/>
      <c r="D725" s="5"/>
      <c r="E725" s="5"/>
      <c r="F725" s="5"/>
      <c r="G725" s="5"/>
      <c r="H725" s="5"/>
    </row>
    <row r="726" ht="15.75" customHeight="1">
      <c r="A726" s="5"/>
      <c r="B726" s="5"/>
      <c r="C726" s="5"/>
      <c r="D726" s="5"/>
      <c r="E726" s="5"/>
      <c r="F726" s="5"/>
      <c r="G726" s="5"/>
      <c r="H726" s="5"/>
    </row>
    <row r="727" ht="15.75" customHeight="1">
      <c r="A727" s="5"/>
      <c r="B727" s="5"/>
      <c r="C727" s="5"/>
      <c r="D727" s="5"/>
      <c r="E727" s="5"/>
      <c r="F727" s="5"/>
      <c r="G727" s="5"/>
      <c r="H727" s="5"/>
    </row>
    <row r="728" ht="15.75" customHeight="1">
      <c r="A728" s="5"/>
      <c r="B728" s="5"/>
      <c r="C728" s="5"/>
      <c r="D728" s="5"/>
      <c r="E728" s="5"/>
      <c r="F728" s="5"/>
      <c r="G728" s="5"/>
      <c r="H728" s="5"/>
    </row>
    <row r="729" ht="15.75" customHeight="1">
      <c r="A729" s="5"/>
      <c r="B729" s="5"/>
      <c r="C729" s="5"/>
      <c r="D729" s="5"/>
      <c r="E729" s="5"/>
      <c r="F729" s="5"/>
      <c r="G729" s="5"/>
      <c r="H729" s="5"/>
    </row>
    <row r="730" ht="15.75" customHeight="1">
      <c r="A730" s="5"/>
      <c r="B730" s="5"/>
      <c r="C730" s="5"/>
      <c r="D730" s="5"/>
      <c r="E730" s="5"/>
      <c r="F730" s="5"/>
      <c r="G730" s="5"/>
      <c r="H730" s="5"/>
    </row>
    <row r="731" ht="15.75" customHeight="1">
      <c r="A731" s="5"/>
      <c r="B731" s="5"/>
      <c r="C731" s="5"/>
      <c r="D731" s="5"/>
      <c r="E731" s="5"/>
      <c r="F731" s="5"/>
      <c r="G731" s="5"/>
      <c r="H731" s="5"/>
    </row>
    <row r="732" ht="15.75" customHeight="1">
      <c r="A732" s="5"/>
      <c r="B732" s="5"/>
      <c r="C732" s="5"/>
      <c r="D732" s="5"/>
      <c r="E732" s="5"/>
      <c r="F732" s="5"/>
      <c r="G732" s="5"/>
      <c r="H732" s="5"/>
    </row>
    <row r="733" ht="15.75" customHeight="1">
      <c r="A733" s="5"/>
      <c r="B733" s="5"/>
      <c r="C733" s="5"/>
      <c r="D733" s="5"/>
      <c r="E733" s="5"/>
      <c r="F733" s="5"/>
      <c r="G733" s="5"/>
      <c r="H733" s="5"/>
    </row>
    <row r="734" ht="15.75" customHeight="1">
      <c r="A734" s="5"/>
      <c r="B734" s="5"/>
      <c r="C734" s="5"/>
      <c r="D734" s="5"/>
      <c r="E734" s="5"/>
      <c r="F734" s="5"/>
      <c r="G734" s="5"/>
      <c r="H734" s="5"/>
    </row>
    <row r="735" ht="15.75" customHeight="1">
      <c r="A735" s="5"/>
      <c r="B735" s="5"/>
      <c r="C735" s="5"/>
      <c r="D735" s="5"/>
      <c r="E735" s="5"/>
      <c r="F735" s="5"/>
      <c r="G735" s="5"/>
      <c r="H735" s="5"/>
    </row>
    <row r="736" ht="15.75" customHeight="1">
      <c r="A736" s="5"/>
      <c r="B736" s="5"/>
      <c r="C736" s="5"/>
      <c r="D736" s="5"/>
      <c r="E736" s="5"/>
      <c r="F736" s="5"/>
      <c r="G736" s="5"/>
      <c r="H736" s="5"/>
    </row>
    <row r="737" ht="15.75" customHeight="1">
      <c r="A737" s="5"/>
      <c r="B737" s="5"/>
      <c r="C737" s="5"/>
      <c r="D737" s="5"/>
      <c r="E737" s="5"/>
      <c r="F737" s="5"/>
      <c r="G737" s="5"/>
      <c r="H737" s="5"/>
    </row>
    <row r="738" ht="15.75" customHeight="1">
      <c r="A738" s="5"/>
      <c r="B738" s="5"/>
      <c r="C738" s="5"/>
      <c r="D738" s="5"/>
      <c r="E738" s="5"/>
      <c r="F738" s="5"/>
      <c r="G738" s="5"/>
      <c r="H738" s="5"/>
    </row>
    <row r="739" ht="15.75" customHeight="1">
      <c r="A739" s="5"/>
      <c r="B739" s="5"/>
      <c r="C739" s="5"/>
      <c r="D739" s="5"/>
      <c r="E739" s="5"/>
      <c r="F739" s="5"/>
      <c r="G739" s="5"/>
      <c r="H739" s="5"/>
    </row>
    <row r="740" ht="15.75" customHeight="1">
      <c r="A740" s="5"/>
      <c r="B740" s="5"/>
      <c r="C740" s="5"/>
      <c r="D740" s="5"/>
      <c r="E740" s="5"/>
      <c r="F740" s="5"/>
      <c r="G740" s="5"/>
      <c r="H740" s="5"/>
    </row>
    <row r="741" ht="15.75" customHeight="1">
      <c r="A741" s="5"/>
      <c r="B741" s="5"/>
      <c r="C741" s="5"/>
      <c r="D741" s="5"/>
      <c r="E741" s="5"/>
      <c r="F741" s="5"/>
      <c r="G741" s="5"/>
      <c r="H741" s="5"/>
    </row>
    <row r="742" ht="15.75" customHeight="1">
      <c r="A742" s="5"/>
      <c r="B742" s="5"/>
      <c r="C742" s="5"/>
      <c r="D742" s="5"/>
      <c r="E742" s="5"/>
      <c r="F742" s="5"/>
      <c r="G742" s="5"/>
      <c r="H742" s="5"/>
    </row>
    <row r="743" ht="15.75" customHeight="1">
      <c r="A743" s="5"/>
      <c r="B743" s="5"/>
      <c r="C743" s="5"/>
      <c r="D743" s="5"/>
      <c r="E743" s="5"/>
      <c r="F743" s="5"/>
      <c r="G743" s="5"/>
      <c r="H743" s="5"/>
    </row>
    <row r="744" ht="15.75" customHeight="1">
      <c r="A744" s="5"/>
      <c r="B744" s="5"/>
      <c r="C744" s="5"/>
      <c r="D744" s="5"/>
      <c r="E744" s="5"/>
      <c r="F744" s="5"/>
      <c r="G744" s="5"/>
      <c r="H744" s="5"/>
    </row>
    <row r="745" ht="15.75" customHeight="1">
      <c r="A745" s="5"/>
      <c r="B745" s="5"/>
      <c r="C745" s="5"/>
      <c r="D745" s="5"/>
      <c r="E745" s="5"/>
      <c r="F745" s="5"/>
      <c r="G745" s="5"/>
      <c r="H745" s="5"/>
    </row>
    <row r="746" ht="15.75" customHeight="1">
      <c r="A746" s="5"/>
      <c r="B746" s="5"/>
      <c r="C746" s="5"/>
      <c r="D746" s="5"/>
      <c r="E746" s="5"/>
      <c r="F746" s="5"/>
      <c r="G746" s="5"/>
      <c r="H746" s="5"/>
    </row>
    <row r="747" ht="15.75" customHeight="1">
      <c r="A747" s="5"/>
      <c r="B747" s="5"/>
      <c r="C747" s="5"/>
      <c r="D747" s="5"/>
      <c r="E747" s="5"/>
      <c r="F747" s="5"/>
      <c r="G747" s="5"/>
      <c r="H747" s="5"/>
    </row>
    <row r="748" ht="15.75" customHeight="1">
      <c r="A748" s="5"/>
      <c r="B748" s="5"/>
      <c r="C748" s="5"/>
      <c r="D748" s="5"/>
      <c r="E748" s="5"/>
      <c r="F748" s="5"/>
      <c r="G748" s="5"/>
      <c r="H748" s="5"/>
    </row>
    <row r="749" ht="15.75" customHeight="1">
      <c r="A749" s="5"/>
      <c r="B749" s="5"/>
      <c r="C749" s="5"/>
      <c r="D749" s="5"/>
      <c r="E749" s="5"/>
      <c r="F749" s="5"/>
      <c r="G749" s="5"/>
      <c r="H749" s="5"/>
    </row>
    <row r="750" ht="15.75" customHeight="1">
      <c r="A750" s="5"/>
      <c r="B750" s="5"/>
      <c r="C750" s="5"/>
      <c r="D750" s="5"/>
      <c r="E750" s="5"/>
      <c r="F750" s="5"/>
      <c r="G750" s="5"/>
      <c r="H750" s="5"/>
    </row>
    <row r="751" ht="15.75" customHeight="1">
      <c r="A751" s="5"/>
      <c r="B751" s="5"/>
      <c r="C751" s="5"/>
      <c r="D751" s="5"/>
      <c r="E751" s="5"/>
      <c r="F751" s="5"/>
      <c r="G751" s="5"/>
      <c r="H751" s="5"/>
    </row>
    <row r="752" ht="15.75" customHeight="1">
      <c r="A752" s="5"/>
      <c r="B752" s="5"/>
      <c r="C752" s="5"/>
      <c r="D752" s="5"/>
      <c r="E752" s="5"/>
      <c r="F752" s="5"/>
      <c r="G752" s="5"/>
      <c r="H752" s="5"/>
    </row>
    <row r="753" ht="15.75" customHeight="1">
      <c r="A753" s="5"/>
      <c r="B753" s="5"/>
      <c r="C753" s="5"/>
      <c r="D753" s="5"/>
      <c r="E753" s="5"/>
      <c r="F753" s="5"/>
      <c r="G753" s="5"/>
      <c r="H753" s="5"/>
    </row>
    <row r="754" ht="15.75" customHeight="1">
      <c r="A754" s="5"/>
      <c r="B754" s="5"/>
      <c r="C754" s="5"/>
      <c r="D754" s="5"/>
      <c r="E754" s="5"/>
      <c r="F754" s="5"/>
      <c r="G754" s="5"/>
      <c r="H754" s="5"/>
    </row>
    <row r="755" ht="15.75" customHeight="1">
      <c r="A755" s="5"/>
      <c r="B755" s="5"/>
      <c r="C755" s="5"/>
      <c r="D755" s="5"/>
      <c r="E755" s="5"/>
      <c r="F755" s="5"/>
      <c r="G755" s="5"/>
      <c r="H755" s="5"/>
    </row>
    <row r="756" ht="15.75" customHeight="1">
      <c r="A756" s="5"/>
      <c r="B756" s="5"/>
      <c r="C756" s="5"/>
      <c r="D756" s="5"/>
      <c r="E756" s="5"/>
      <c r="F756" s="5"/>
      <c r="G756" s="5"/>
      <c r="H756" s="5"/>
    </row>
    <row r="757" ht="15.75" customHeight="1">
      <c r="A757" s="5"/>
      <c r="B757" s="5"/>
      <c r="C757" s="5"/>
      <c r="D757" s="5"/>
      <c r="E757" s="5"/>
      <c r="F757" s="5"/>
      <c r="G757" s="5"/>
      <c r="H757" s="5"/>
    </row>
    <row r="758" ht="15.75" customHeight="1">
      <c r="A758" s="5"/>
      <c r="B758" s="5"/>
      <c r="C758" s="5"/>
      <c r="D758" s="5"/>
      <c r="E758" s="5"/>
      <c r="F758" s="5"/>
      <c r="G758" s="5"/>
      <c r="H758" s="5"/>
    </row>
    <row r="759" ht="15.75" customHeight="1">
      <c r="A759" s="5"/>
      <c r="B759" s="5"/>
      <c r="C759" s="5"/>
      <c r="D759" s="5"/>
      <c r="E759" s="5"/>
      <c r="F759" s="5"/>
      <c r="G759" s="5"/>
      <c r="H759" s="5"/>
    </row>
    <row r="760" ht="15.75" customHeight="1">
      <c r="A760" s="5"/>
      <c r="B760" s="5"/>
      <c r="C760" s="5"/>
      <c r="D760" s="5"/>
      <c r="E760" s="5"/>
      <c r="F760" s="5"/>
      <c r="G760" s="5"/>
      <c r="H760" s="5"/>
    </row>
    <row r="761" ht="15.75" customHeight="1">
      <c r="A761" s="5"/>
      <c r="B761" s="5"/>
      <c r="C761" s="5"/>
      <c r="D761" s="5"/>
      <c r="E761" s="5"/>
      <c r="F761" s="5"/>
      <c r="G761" s="5"/>
      <c r="H761" s="5"/>
    </row>
    <row r="762" ht="15.75" customHeight="1">
      <c r="A762" s="5"/>
      <c r="B762" s="5"/>
      <c r="C762" s="5"/>
      <c r="D762" s="5"/>
      <c r="E762" s="5"/>
      <c r="F762" s="5"/>
      <c r="G762" s="5"/>
      <c r="H762" s="5"/>
    </row>
    <row r="763" ht="15.75" customHeight="1">
      <c r="A763" s="5"/>
      <c r="B763" s="5"/>
      <c r="C763" s="5"/>
      <c r="D763" s="5"/>
      <c r="E763" s="5"/>
      <c r="F763" s="5"/>
      <c r="G763" s="5"/>
      <c r="H763" s="5"/>
    </row>
    <row r="764" ht="15.75" customHeight="1">
      <c r="A764" s="5"/>
      <c r="B764" s="5"/>
      <c r="C764" s="5"/>
      <c r="D764" s="5"/>
      <c r="E764" s="5"/>
      <c r="F764" s="5"/>
      <c r="G764" s="5"/>
      <c r="H764" s="5"/>
    </row>
    <row r="765" ht="15.75" customHeight="1">
      <c r="A765" s="5"/>
      <c r="B765" s="5"/>
      <c r="C765" s="5"/>
      <c r="D765" s="5"/>
      <c r="E765" s="5"/>
      <c r="F765" s="5"/>
      <c r="G765" s="5"/>
      <c r="H765" s="5"/>
    </row>
    <row r="766" ht="15.75" customHeight="1">
      <c r="A766" s="5"/>
      <c r="B766" s="5"/>
      <c r="C766" s="5"/>
      <c r="D766" s="5"/>
      <c r="E766" s="5"/>
      <c r="F766" s="5"/>
      <c r="G766" s="5"/>
      <c r="H766" s="5"/>
    </row>
    <row r="767" ht="15.75" customHeight="1">
      <c r="A767" s="5"/>
      <c r="B767" s="5"/>
      <c r="C767" s="5"/>
      <c r="D767" s="5"/>
      <c r="E767" s="5"/>
      <c r="F767" s="5"/>
      <c r="G767" s="5"/>
      <c r="H767" s="5"/>
    </row>
    <row r="768" ht="15.75" customHeight="1">
      <c r="A768" s="5"/>
      <c r="B768" s="5"/>
      <c r="C768" s="5"/>
      <c r="D768" s="5"/>
      <c r="E768" s="5"/>
      <c r="F768" s="5"/>
      <c r="G768" s="5"/>
      <c r="H768" s="5"/>
    </row>
    <row r="769" ht="15.75" customHeight="1">
      <c r="A769" s="5"/>
      <c r="B769" s="5"/>
      <c r="C769" s="5"/>
      <c r="D769" s="5"/>
      <c r="E769" s="5"/>
      <c r="F769" s="5"/>
      <c r="G769" s="5"/>
      <c r="H769" s="5"/>
    </row>
    <row r="770" ht="15.75" customHeight="1">
      <c r="A770" s="5"/>
      <c r="B770" s="5"/>
      <c r="C770" s="5"/>
      <c r="D770" s="5"/>
      <c r="E770" s="5"/>
      <c r="F770" s="5"/>
      <c r="G770" s="5"/>
      <c r="H770" s="5"/>
    </row>
    <row r="771" ht="15.75" customHeight="1">
      <c r="A771" s="5"/>
      <c r="B771" s="5"/>
      <c r="C771" s="5"/>
      <c r="D771" s="5"/>
      <c r="E771" s="5"/>
      <c r="F771" s="5"/>
      <c r="G771" s="5"/>
      <c r="H771" s="5"/>
    </row>
    <row r="772" ht="15.75" customHeight="1">
      <c r="A772" s="5"/>
      <c r="B772" s="5"/>
      <c r="C772" s="5"/>
      <c r="D772" s="5"/>
      <c r="E772" s="5"/>
      <c r="F772" s="5"/>
      <c r="G772" s="5"/>
      <c r="H772" s="5"/>
    </row>
    <row r="773" ht="15.75" customHeight="1">
      <c r="A773" s="5"/>
      <c r="B773" s="5"/>
      <c r="C773" s="5"/>
      <c r="D773" s="5"/>
      <c r="E773" s="5"/>
      <c r="F773" s="5"/>
      <c r="G773" s="5"/>
      <c r="H773" s="5"/>
    </row>
    <row r="774" ht="15.75" customHeight="1">
      <c r="A774" s="5"/>
      <c r="B774" s="5"/>
      <c r="C774" s="5"/>
      <c r="D774" s="5"/>
      <c r="E774" s="5"/>
      <c r="F774" s="5"/>
      <c r="G774" s="5"/>
      <c r="H774" s="5"/>
    </row>
    <row r="775" ht="15.75" customHeight="1">
      <c r="A775" s="5"/>
      <c r="B775" s="5"/>
      <c r="C775" s="5"/>
      <c r="D775" s="5"/>
      <c r="E775" s="5"/>
      <c r="F775" s="5"/>
      <c r="G775" s="5"/>
      <c r="H775" s="5"/>
    </row>
    <row r="776" ht="15.75" customHeight="1">
      <c r="A776" s="5"/>
      <c r="B776" s="5"/>
      <c r="C776" s="5"/>
      <c r="D776" s="5"/>
      <c r="E776" s="5"/>
      <c r="F776" s="5"/>
      <c r="G776" s="5"/>
      <c r="H776" s="5"/>
    </row>
    <row r="777" ht="15.75" customHeight="1">
      <c r="A777" s="5"/>
      <c r="B777" s="5"/>
      <c r="C777" s="5"/>
      <c r="D777" s="5"/>
      <c r="E777" s="5"/>
      <c r="F777" s="5"/>
      <c r="G777" s="5"/>
      <c r="H777" s="5"/>
    </row>
    <row r="778" ht="15.75" customHeight="1">
      <c r="A778" s="5"/>
      <c r="B778" s="5"/>
      <c r="C778" s="5"/>
      <c r="D778" s="5"/>
      <c r="E778" s="5"/>
      <c r="F778" s="5"/>
      <c r="G778" s="5"/>
      <c r="H778" s="5"/>
    </row>
    <row r="779" ht="15.75" customHeight="1">
      <c r="A779" s="5"/>
      <c r="B779" s="5"/>
      <c r="C779" s="5"/>
      <c r="D779" s="5"/>
      <c r="E779" s="5"/>
      <c r="F779" s="5"/>
      <c r="G779" s="5"/>
      <c r="H779" s="5"/>
    </row>
    <row r="780" ht="15.75" customHeight="1">
      <c r="A780" s="5"/>
      <c r="B780" s="5"/>
      <c r="C780" s="5"/>
      <c r="D780" s="5"/>
      <c r="E780" s="5"/>
      <c r="F780" s="5"/>
      <c r="G780" s="5"/>
      <c r="H780" s="5"/>
    </row>
    <row r="781" ht="15.75" customHeight="1">
      <c r="A781" s="5"/>
      <c r="B781" s="5"/>
      <c r="C781" s="5"/>
      <c r="D781" s="5"/>
      <c r="E781" s="5"/>
      <c r="F781" s="5"/>
      <c r="G781" s="5"/>
      <c r="H781" s="5"/>
    </row>
    <row r="782" ht="15.75" customHeight="1">
      <c r="A782" s="5"/>
      <c r="B782" s="5"/>
      <c r="C782" s="5"/>
      <c r="D782" s="5"/>
      <c r="E782" s="5"/>
      <c r="F782" s="5"/>
      <c r="G782" s="5"/>
      <c r="H782" s="5"/>
    </row>
    <row r="783" ht="15.75" customHeight="1">
      <c r="A783" s="5"/>
      <c r="B783" s="5"/>
      <c r="C783" s="5"/>
      <c r="D783" s="5"/>
      <c r="E783" s="5"/>
      <c r="F783" s="5"/>
      <c r="G783" s="5"/>
      <c r="H783" s="5"/>
    </row>
    <row r="784" ht="15.75" customHeight="1">
      <c r="A784" s="5"/>
      <c r="B784" s="5"/>
      <c r="C784" s="5"/>
      <c r="D784" s="5"/>
      <c r="E784" s="5"/>
      <c r="F784" s="5"/>
      <c r="G784" s="5"/>
      <c r="H784" s="5"/>
    </row>
    <row r="785" ht="15.75" customHeight="1">
      <c r="A785" s="5"/>
      <c r="B785" s="5"/>
      <c r="C785" s="5"/>
      <c r="D785" s="5"/>
      <c r="E785" s="5"/>
      <c r="F785" s="5"/>
      <c r="G785" s="5"/>
      <c r="H785" s="5"/>
    </row>
    <row r="786" ht="15.75" customHeight="1">
      <c r="A786" s="5"/>
      <c r="B786" s="5"/>
      <c r="C786" s="5"/>
      <c r="D786" s="5"/>
      <c r="E786" s="5"/>
      <c r="F786" s="5"/>
      <c r="G786" s="5"/>
      <c r="H786" s="5"/>
    </row>
    <row r="787" ht="15.75" customHeight="1">
      <c r="A787" s="5"/>
      <c r="B787" s="5"/>
      <c r="C787" s="5"/>
      <c r="D787" s="5"/>
      <c r="E787" s="5"/>
      <c r="F787" s="5"/>
      <c r="G787" s="5"/>
      <c r="H787" s="5"/>
    </row>
    <row r="788" ht="15.75" customHeight="1">
      <c r="A788" s="5"/>
      <c r="B788" s="5"/>
      <c r="C788" s="5"/>
      <c r="D788" s="5"/>
      <c r="E788" s="5"/>
      <c r="F788" s="5"/>
      <c r="G788" s="5"/>
      <c r="H788" s="5"/>
    </row>
    <row r="789" ht="15.75" customHeight="1">
      <c r="A789" s="5"/>
      <c r="B789" s="5"/>
      <c r="C789" s="5"/>
      <c r="D789" s="5"/>
      <c r="E789" s="5"/>
      <c r="F789" s="5"/>
      <c r="G789" s="5"/>
      <c r="H789" s="5"/>
    </row>
    <row r="790" ht="15.75" customHeight="1">
      <c r="A790" s="5"/>
      <c r="B790" s="5"/>
      <c r="C790" s="5"/>
      <c r="D790" s="5"/>
      <c r="E790" s="5"/>
      <c r="F790" s="5"/>
      <c r="G790" s="5"/>
      <c r="H790" s="5"/>
    </row>
    <row r="791" ht="15.75" customHeight="1">
      <c r="A791" s="5"/>
      <c r="B791" s="5"/>
      <c r="C791" s="5"/>
      <c r="D791" s="5"/>
      <c r="E791" s="5"/>
      <c r="F791" s="5"/>
      <c r="G791" s="5"/>
      <c r="H791" s="5"/>
    </row>
    <row r="792" ht="15.75" customHeight="1">
      <c r="A792" s="5"/>
      <c r="B792" s="5"/>
      <c r="C792" s="5"/>
      <c r="D792" s="5"/>
      <c r="E792" s="5"/>
      <c r="F792" s="5"/>
      <c r="G792" s="5"/>
      <c r="H792" s="5"/>
    </row>
    <row r="793" ht="15.75" customHeight="1">
      <c r="A793" s="5"/>
      <c r="B793" s="5"/>
      <c r="C793" s="5"/>
      <c r="D793" s="5"/>
      <c r="E793" s="5"/>
      <c r="F793" s="5"/>
      <c r="G793" s="5"/>
      <c r="H793" s="5"/>
    </row>
    <row r="794" ht="15.75" customHeight="1">
      <c r="A794" s="5"/>
      <c r="B794" s="5"/>
      <c r="C794" s="5"/>
      <c r="D794" s="5"/>
      <c r="E794" s="5"/>
      <c r="F794" s="5"/>
      <c r="G794" s="5"/>
      <c r="H794" s="5"/>
    </row>
    <row r="795" ht="15.75" customHeight="1">
      <c r="A795" s="5"/>
      <c r="B795" s="5"/>
      <c r="C795" s="5"/>
      <c r="D795" s="5"/>
      <c r="E795" s="5"/>
      <c r="F795" s="5"/>
      <c r="G795" s="5"/>
      <c r="H795" s="5"/>
    </row>
    <row r="796" ht="15.75" customHeight="1">
      <c r="A796" s="5"/>
      <c r="B796" s="5"/>
      <c r="C796" s="5"/>
      <c r="D796" s="5"/>
      <c r="E796" s="5"/>
      <c r="F796" s="5"/>
      <c r="G796" s="5"/>
      <c r="H796" s="5"/>
    </row>
    <row r="797" ht="15.75" customHeight="1">
      <c r="A797" s="5"/>
      <c r="B797" s="5"/>
      <c r="C797" s="5"/>
      <c r="D797" s="5"/>
      <c r="E797" s="5"/>
      <c r="F797" s="5"/>
      <c r="G797" s="5"/>
      <c r="H797" s="5"/>
    </row>
    <row r="798" ht="15.75" customHeight="1">
      <c r="A798" s="5"/>
      <c r="B798" s="5"/>
      <c r="C798" s="5"/>
      <c r="D798" s="5"/>
      <c r="E798" s="5"/>
      <c r="F798" s="5"/>
      <c r="G798" s="5"/>
      <c r="H798" s="5"/>
    </row>
    <row r="799" ht="15.75" customHeight="1">
      <c r="A799" s="5"/>
      <c r="B799" s="5"/>
      <c r="C799" s="5"/>
      <c r="D799" s="5"/>
      <c r="E799" s="5"/>
      <c r="F799" s="5"/>
      <c r="G799" s="5"/>
      <c r="H799" s="5"/>
    </row>
    <row r="800" ht="15.75" customHeight="1">
      <c r="A800" s="5"/>
      <c r="B800" s="5"/>
      <c r="C800" s="5"/>
      <c r="D800" s="5"/>
      <c r="E800" s="5"/>
      <c r="F800" s="5"/>
      <c r="G800" s="5"/>
      <c r="H800" s="5"/>
    </row>
    <row r="801" ht="15.75" customHeight="1">
      <c r="A801" s="5"/>
      <c r="B801" s="5"/>
      <c r="C801" s="5"/>
      <c r="D801" s="5"/>
      <c r="E801" s="5"/>
      <c r="F801" s="5"/>
      <c r="G801" s="5"/>
      <c r="H801" s="5"/>
    </row>
    <row r="802" ht="15.75" customHeight="1">
      <c r="A802" s="5"/>
      <c r="B802" s="5"/>
      <c r="C802" s="5"/>
      <c r="D802" s="5"/>
      <c r="E802" s="5"/>
      <c r="F802" s="5"/>
      <c r="G802" s="5"/>
      <c r="H802" s="5"/>
    </row>
    <row r="803" ht="15.75" customHeight="1">
      <c r="A803" s="5"/>
      <c r="B803" s="5"/>
      <c r="C803" s="5"/>
      <c r="D803" s="5"/>
      <c r="E803" s="5"/>
      <c r="F803" s="5"/>
      <c r="G803" s="5"/>
      <c r="H803" s="5"/>
    </row>
    <row r="804" ht="15.75" customHeight="1">
      <c r="A804" s="5"/>
      <c r="B804" s="5"/>
      <c r="C804" s="5"/>
      <c r="D804" s="5"/>
      <c r="E804" s="5"/>
      <c r="F804" s="5"/>
      <c r="G804" s="5"/>
      <c r="H804" s="5"/>
    </row>
    <row r="805" ht="15.75" customHeight="1">
      <c r="A805" s="5"/>
      <c r="B805" s="5"/>
      <c r="C805" s="5"/>
      <c r="D805" s="5"/>
      <c r="E805" s="5"/>
      <c r="F805" s="5"/>
      <c r="G805" s="5"/>
      <c r="H805" s="5"/>
    </row>
    <row r="806" ht="15.75" customHeight="1">
      <c r="A806" s="5"/>
      <c r="B806" s="5"/>
      <c r="C806" s="5"/>
      <c r="D806" s="5"/>
      <c r="E806" s="5"/>
      <c r="F806" s="5"/>
      <c r="G806" s="5"/>
      <c r="H806" s="5"/>
    </row>
    <row r="807" ht="15.75" customHeight="1">
      <c r="A807" s="5"/>
      <c r="B807" s="5"/>
      <c r="C807" s="5"/>
      <c r="D807" s="5"/>
      <c r="E807" s="5"/>
      <c r="F807" s="5"/>
      <c r="G807" s="5"/>
      <c r="H807" s="5"/>
    </row>
    <row r="808" ht="15.75" customHeight="1">
      <c r="A808" s="5"/>
      <c r="B808" s="5"/>
      <c r="C808" s="5"/>
      <c r="D808" s="5"/>
      <c r="E808" s="5"/>
      <c r="F808" s="5"/>
      <c r="G808" s="5"/>
      <c r="H808" s="5"/>
    </row>
    <row r="809" ht="15.75" customHeight="1">
      <c r="A809" s="5"/>
      <c r="B809" s="5"/>
      <c r="C809" s="5"/>
      <c r="D809" s="5"/>
      <c r="E809" s="5"/>
      <c r="F809" s="5"/>
      <c r="G809" s="5"/>
      <c r="H809" s="5"/>
    </row>
    <row r="810" ht="15.75" customHeight="1">
      <c r="A810" s="5"/>
      <c r="B810" s="5"/>
      <c r="C810" s="5"/>
      <c r="D810" s="5"/>
      <c r="E810" s="5"/>
      <c r="F810" s="5"/>
      <c r="G810" s="5"/>
      <c r="H810" s="5"/>
    </row>
    <row r="811" ht="15.75" customHeight="1">
      <c r="A811" s="5"/>
      <c r="B811" s="5"/>
      <c r="C811" s="5"/>
      <c r="D811" s="5"/>
      <c r="E811" s="5"/>
      <c r="F811" s="5"/>
      <c r="G811" s="5"/>
      <c r="H811" s="5"/>
    </row>
    <row r="812" ht="15.75" customHeight="1">
      <c r="A812" s="5"/>
      <c r="B812" s="5"/>
      <c r="C812" s="5"/>
      <c r="D812" s="5"/>
      <c r="E812" s="5"/>
      <c r="F812" s="5"/>
      <c r="G812" s="5"/>
      <c r="H812" s="5"/>
    </row>
    <row r="813" ht="15.75" customHeight="1">
      <c r="A813" s="5"/>
      <c r="B813" s="5"/>
      <c r="C813" s="5"/>
      <c r="D813" s="5"/>
      <c r="E813" s="5"/>
      <c r="F813" s="5"/>
      <c r="G813" s="5"/>
      <c r="H813" s="5"/>
    </row>
    <row r="814" ht="15.75" customHeight="1">
      <c r="A814" s="5"/>
      <c r="B814" s="5"/>
      <c r="C814" s="5"/>
      <c r="D814" s="5"/>
      <c r="E814" s="5"/>
      <c r="F814" s="5"/>
      <c r="G814" s="5"/>
      <c r="H814" s="5"/>
    </row>
    <row r="815" ht="15.75" customHeight="1">
      <c r="A815" s="5"/>
      <c r="B815" s="5"/>
      <c r="C815" s="5"/>
      <c r="D815" s="5"/>
      <c r="E815" s="5"/>
      <c r="F815" s="5"/>
      <c r="G815" s="5"/>
      <c r="H815" s="5"/>
    </row>
    <row r="816" ht="15.75" customHeight="1">
      <c r="A816" s="5"/>
      <c r="B816" s="5"/>
      <c r="C816" s="5"/>
      <c r="D816" s="5"/>
      <c r="E816" s="5"/>
      <c r="F816" s="5"/>
      <c r="G816" s="5"/>
      <c r="H816" s="5"/>
    </row>
    <row r="817" ht="15.75" customHeight="1">
      <c r="A817" s="5"/>
      <c r="B817" s="5"/>
      <c r="C817" s="5"/>
      <c r="D817" s="5"/>
      <c r="E817" s="5"/>
      <c r="F817" s="5"/>
      <c r="G817" s="5"/>
      <c r="H817" s="5"/>
    </row>
    <row r="818" ht="15.75" customHeight="1">
      <c r="A818" s="5"/>
      <c r="B818" s="5"/>
      <c r="C818" s="5"/>
      <c r="D818" s="5"/>
      <c r="E818" s="5"/>
      <c r="F818" s="5"/>
      <c r="G818" s="5"/>
      <c r="H818" s="5"/>
    </row>
    <row r="819" ht="15.75" customHeight="1">
      <c r="A819" s="5"/>
      <c r="B819" s="5"/>
      <c r="C819" s="5"/>
      <c r="D819" s="5"/>
      <c r="E819" s="5"/>
      <c r="F819" s="5"/>
      <c r="G819" s="5"/>
      <c r="H819" s="5"/>
    </row>
    <row r="820" ht="15.75" customHeight="1">
      <c r="A820" s="5"/>
      <c r="B820" s="5"/>
      <c r="C820" s="5"/>
      <c r="D820" s="5"/>
      <c r="E820" s="5"/>
      <c r="F820" s="5"/>
      <c r="G820" s="5"/>
      <c r="H820" s="5"/>
    </row>
    <row r="821" ht="15.75" customHeight="1">
      <c r="A821" s="5"/>
      <c r="B821" s="5"/>
      <c r="C821" s="5"/>
      <c r="D821" s="5"/>
      <c r="E821" s="5"/>
      <c r="F821" s="5"/>
      <c r="G821" s="5"/>
      <c r="H821" s="5"/>
    </row>
    <row r="822" ht="15.75" customHeight="1">
      <c r="A822" s="5"/>
      <c r="B822" s="5"/>
      <c r="C822" s="5"/>
      <c r="D822" s="5"/>
      <c r="E822" s="5"/>
      <c r="F822" s="5"/>
      <c r="G822" s="5"/>
      <c r="H822" s="5"/>
    </row>
    <row r="823" ht="15.75" customHeight="1">
      <c r="A823" s="5"/>
      <c r="B823" s="5"/>
      <c r="C823" s="5"/>
      <c r="D823" s="5"/>
      <c r="E823" s="5"/>
      <c r="F823" s="5"/>
      <c r="G823" s="5"/>
      <c r="H823" s="5"/>
    </row>
    <row r="824" ht="15.75" customHeight="1">
      <c r="A824" s="5"/>
      <c r="B824" s="5"/>
      <c r="C824" s="5"/>
      <c r="D824" s="5"/>
      <c r="E824" s="5"/>
      <c r="F824" s="5"/>
      <c r="G824" s="5"/>
      <c r="H824" s="5"/>
    </row>
    <row r="825" ht="15.75" customHeight="1">
      <c r="A825" s="5"/>
      <c r="B825" s="5"/>
      <c r="C825" s="5"/>
      <c r="D825" s="5"/>
      <c r="E825" s="5"/>
      <c r="F825" s="5"/>
      <c r="G825" s="5"/>
      <c r="H825" s="5"/>
    </row>
    <row r="826" ht="15.75" customHeight="1">
      <c r="A826" s="5"/>
      <c r="B826" s="5"/>
      <c r="C826" s="5"/>
      <c r="D826" s="5"/>
      <c r="E826" s="5"/>
      <c r="F826" s="5"/>
      <c r="G826" s="5"/>
      <c r="H826" s="5"/>
    </row>
    <row r="827" ht="15.75" customHeight="1">
      <c r="A827" s="5"/>
      <c r="B827" s="5"/>
      <c r="C827" s="5"/>
      <c r="D827" s="5"/>
      <c r="E827" s="5"/>
      <c r="F827" s="5"/>
      <c r="G827" s="5"/>
      <c r="H827" s="5"/>
    </row>
    <row r="828" ht="15.75" customHeight="1">
      <c r="A828" s="5"/>
      <c r="B828" s="5"/>
      <c r="C828" s="5"/>
      <c r="D828" s="5"/>
      <c r="E828" s="5"/>
      <c r="F828" s="5"/>
      <c r="G828" s="5"/>
      <c r="H828" s="5"/>
    </row>
    <row r="829" ht="15.75" customHeight="1">
      <c r="A829" s="5"/>
      <c r="B829" s="5"/>
      <c r="C829" s="5"/>
      <c r="D829" s="5"/>
      <c r="E829" s="5"/>
      <c r="F829" s="5"/>
      <c r="G829" s="5"/>
      <c r="H829" s="5"/>
    </row>
    <row r="830" ht="15.75" customHeight="1">
      <c r="A830" s="5"/>
      <c r="B830" s="5"/>
      <c r="C830" s="5"/>
      <c r="D830" s="5"/>
      <c r="E830" s="5"/>
      <c r="F830" s="5"/>
      <c r="G830" s="5"/>
      <c r="H830" s="5"/>
    </row>
    <row r="831" ht="15.75" customHeight="1">
      <c r="A831" s="5"/>
      <c r="B831" s="5"/>
      <c r="C831" s="5"/>
      <c r="D831" s="5"/>
      <c r="E831" s="5"/>
      <c r="F831" s="5"/>
      <c r="G831" s="5"/>
      <c r="H831" s="5"/>
    </row>
    <row r="832" ht="15.75" customHeight="1">
      <c r="A832" s="5"/>
      <c r="B832" s="5"/>
      <c r="C832" s="5"/>
      <c r="D832" s="5"/>
      <c r="E832" s="5"/>
      <c r="F832" s="5"/>
      <c r="G832" s="5"/>
      <c r="H832" s="5"/>
    </row>
    <row r="833" ht="15.75" customHeight="1">
      <c r="A833" s="5"/>
      <c r="B833" s="5"/>
      <c r="C833" s="5"/>
      <c r="D833" s="5"/>
      <c r="E833" s="5"/>
      <c r="F833" s="5"/>
      <c r="G833" s="5"/>
      <c r="H833" s="5"/>
    </row>
    <row r="834" ht="15.75" customHeight="1">
      <c r="A834" s="5"/>
      <c r="B834" s="5"/>
      <c r="C834" s="5"/>
      <c r="D834" s="5"/>
      <c r="E834" s="5"/>
      <c r="F834" s="5"/>
      <c r="G834" s="5"/>
      <c r="H834" s="5"/>
    </row>
    <row r="835" ht="15.75" customHeight="1">
      <c r="A835" s="5"/>
      <c r="B835" s="5"/>
      <c r="C835" s="5"/>
      <c r="D835" s="5"/>
      <c r="E835" s="5"/>
      <c r="F835" s="5"/>
      <c r="G835" s="5"/>
      <c r="H835" s="5"/>
    </row>
    <row r="836" ht="15.75" customHeight="1">
      <c r="A836" s="5"/>
      <c r="B836" s="5"/>
      <c r="C836" s="5"/>
      <c r="D836" s="5"/>
      <c r="E836" s="5"/>
      <c r="F836" s="5"/>
      <c r="G836" s="5"/>
      <c r="H836" s="5"/>
    </row>
    <row r="837" ht="15.75" customHeight="1">
      <c r="A837" s="5"/>
      <c r="B837" s="5"/>
      <c r="C837" s="5"/>
      <c r="D837" s="5"/>
      <c r="E837" s="5"/>
      <c r="F837" s="5"/>
      <c r="G837" s="5"/>
      <c r="H837" s="5"/>
    </row>
    <row r="838" ht="15.75" customHeight="1">
      <c r="A838" s="5"/>
      <c r="B838" s="5"/>
      <c r="C838" s="5"/>
      <c r="D838" s="5"/>
      <c r="E838" s="5"/>
      <c r="F838" s="5"/>
      <c r="G838" s="5"/>
      <c r="H838" s="5"/>
    </row>
    <row r="839" ht="15.75" customHeight="1">
      <c r="A839" s="5"/>
      <c r="B839" s="5"/>
      <c r="C839" s="5"/>
      <c r="D839" s="5"/>
      <c r="E839" s="5"/>
      <c r="F839" s="5"/>
      <c r="G839" s="5"/>
      <c r="H839" s="5"/>
    </row>
    <row r="840" ht="15.75" customHeight="1">
      <c r="A840" s="5"/>
      <c r="B840" s="5"/>
      <c r="C840" s="5"/>
      <c r="D840" s="5"/>
      <c r="E840" s="5"/>
      <c r="F840" s="5"/>
      <c r="G840" s="5"/>
      <c r="H840" s="5"/>
    </row>
    <row r="841" ht="15.75" customHeight="1">
      <c r="A841" s="5"/>
      <c r="B841" s="5"/>
      <c r="C841" s="5"/>
      <c r="D841" s="5"/>
      <c r="E841" s="5"/>
      <c r="F841" s="5"/>
      <c r="G841" s="5"/>
      <c r="H841" s="5"/>
    </row>
    <row r="842" ht="15.75" customHeight="1">
      <c r="A842" s="5"/>
      <c r="B842" s="5"/>
      <c r="C842" s="5"/>
      <c r="D842" s="5"/>
      <c r="E842" s="5"/>
      <c r="F842" s="5"/>
      <c r="G842" s="5"/>
      <c r="H842" s="5"/>
    </row>
    <row r="843" ht="15.75" customHeight="1">
      <c r="A843" s="5"/>
      <c r="B843" s="5"/>
      <c r="C843" s="5"/>
      <c r="D843" s="5"/>
      <c r="E843" s="5"/>
      <c r="F843" s="5"/>
      <c r="G843" s="5"/>
      <c r="H843" s="5"/>
    </row>
    <row r="844" ht="15.75" customHeight="1">
      <c r="A844" s="5"/>
      <c r="B844" s="5"/>
      <c r="C844" s="5"/>
      <c r="D844" s="5"/>
      <c r="E844" s="5"/>
      <c r="F844" s="5"/>
      <c r="G844" s="5"/>
      <c r="H844" s="5"/>
    </row>
    <row r="845" ht="15.75" customHeight="1">
      <c r="A845" s="5"/>
      <c r="B845" s="5"/>
      <c r="C845" s="5"/>
      <c r="D845" s="5"/>
      <c r="E845" s="5"/>
      <c r="F845" s="5"/>
      <c r="G845" s="5"/>
      <c r="H845" s="5"/>
    </row>
    <row r="846" ht="15.75" customHeight="1">
      <c r="A846" s="5"/>
      <c r="B846" s="5"/>
      <c r="C846" s="5"/>
      <c r="D846" s="5"/>
      <c r="E846" s="5"/>
      <c r="F846" s="5"/>
      <c r="G846" s="5"/>
      <c r="H846" s="5"/>
    </row>
    <row r="847" ht="15.75" customHeight="1">
      <c r="A847" s="5"/>
      <c r="B847" s="5"/>
      <c r="C847" s="5"/>
      <c r="D847" s="5"/>
      <c r="E847" s="5"/>
      <c r="F847" s="5"/>
      <c r="G847" s="5"/>
      <c r="H847" s="5"/>
    </row>
    <row r="848" ht="15.75" customHeight="1">
      <c r="A848" s="5"/>
      <c r="B848" s="5"/>
      <c r="C848" s="5"/>
      <c r="D848" s="5"/>
      <c r="E848" s="5"/>
      <c r="F848" s="5"/>
      <c r="G848" s="5"/>
      <c r="H848" s="5"/>
    </row>
    <row r="849" ht="15.75" customHeight="1">
      <c r="A849" s="5"/>
      <c r="B849" s="5"/>
      <c r="C849" s="5"/>
      <c r="D849" s="5"/>
      <c r="E849" s="5"/>
      <c r="F849" s="5"/>
      <c r="G849" s="5"/>
      <c r="H849" s="5"/>
    </row>
    <row r="850" ht="15.75" customHeight="1">
      <c r="A850" s="5"/>
      <c r="B850" s="5"/>
      <c r="C850" s="5"/>
      <c r="D850" s="5"/>
      <c r="E850" s="5"/>
      <c r="F850" s="5"/>
      <c r="G850" s="5"/>
      <c r="H850" s="5"/>
    </row>
    <row r="851" ht="15.75" customHeight="1">
      <c r="A851" s="5"/>
      <c r="B851" s="5"/>
      <c r="C851" s="5"/>
      <c r="D851" s="5"/>
      <c r="E851" s="5"/>
      <c r="F851" s="5"/>
      <c r="G851" s="5"/>
      <c r="H851" s="5"/>
    </row>
    <row r="852" ht="15.75" customHeight="1">
      <c r="A852" s="5"/>
      <c r="B852" s="5"/>
      <c r="C852" s="5"/>
      <c r="D852" s="5"/>
      <c r="E852" s="5"/>
      <c r="F852" s="5"/>
      <c r="G852" s="5"/>
      <c r="H852" s="5"/>
    </row>
    <row r="853" ht="15.75" customHeight="1">
      <c r="A853" s="5"/>
      <c r="B853" s="5"/>
      <c r="C853" s="5"/>
      <c r="D853" s="5"/>
      <c r="E853" s="5"/>
      <c r="F853" s="5"/>
      <c r="G853" s="5"/>
      <c r="H853" s="5"/>
    </row>
    <row r="854" ht="15.75" customHeight="1">
      <c r="A854" s="5"/>
      <c r="B854" s="5"/>
      <c r="C854" s="5"/>
      <c r="D854" s="5"/>
      <c r="E854" s="5"/>
      <c r="F854" s="5"/>
      <c r="G854" s="5"/>
      <c r="H854" s="5"/>
    </row>
    <row r="855" ht="15.75" customHeight="1">
      <c r="A855" s="5"/>
      <c r="B855" s="5"/>
      <c r="C855" s="5"/>
      <c r="D855" s="5"/>
      <c r="E855" s="5"/>
      <c r="F855" s="5"/>
      <c r="G855" s="5"/>
      <c r="H855" s="5"/>
    </row>
    <row r="856" ht="15.75" customHeight="1">
      <c r="A856" s="5"/>
      <c r="B856" s="5"/>
      <c r="C856" s="5"/>
      <c r="D856" s="5"/>
      <c r="E856" s="5"/>
      <c r="F856" s="5"/>
      <c r="G856" s="5"/>
      <c r="H856" s="5"/>
    </row>
    <row r="857" ht="15.75" customHeight="1">
      <c r="A857" s="5"/>
      <c r="B857" s="5"/>
      <c r="C857" s="5"/>
      <c r="D857" s="5"/>
      <c r="E857" s="5"/>
      <c r="F857" s="5"/>
      <c r="G857" s="5"/>
      <c r="H857" s="5"/>
    </row>
    <row r="858" ht="15.75" customHeight="1">
      <c r="A858" s="5"/>
      <c r="B858" s="5"/>
      <c r="C858" s="5"/>
      <c r="D858" s="5"/>
      <c r="E858" s="5"/>
      <c r="F858" s="5"/>
      <c r="G858" s="5"/>
      <c r="H858" s="5"/>
    </row>
    <row r="859" ht="15.75" customHeight="1">
      <c r="A859" s="5"/>
      <c r="B859" s="5"/>
      <c r="C859" s="5"/>
      <c r="D859" s="5"/>
      <c r="E859" s="5"/>
      <c r="F859" s="5"/>
      <c r="G859" s="5"/>
      <c r="H859" s="5"/>
    </row>
    <row r="860" ht="15.75" customHeight="1">
      <c r="A860" s="5"/>
      <c r="B860" s="5"/>
      <c r="C860" s="5"/>
      <c r="D860" s="5"/>
      <c r="E860" s="5"/>
      <c r="F860" s="5"/>
      <c r="G860" s="5"/>
      <c r="H860" s="5"/>
    </row>
    <row r="861" ht="15.75" customHeight="1">
      <c r="A861" s="5"/>
      <c r="B861" s="5"/>
      <c r="C861" s="5"/>
      <c r="D861" s="5"/>
      <c r="E861" s="5"/>
      <c r="F861" s="5"/>
      <c r="G861" s="5"/>
      <c r="H861" s="5"/>
    </row>
    <row r="862" ht="15.75" customHeight="1">
      <c r="A862" s="5"/>
      <c r="B862" s="5"/>
      <c r="C862" s="5"/>
      <c r="D862" s="5"/>
      <c r="E862" s="5"/>
      <c r="F862" s="5"/>
      <c r="G862" s="5"/>
      <c r="H862" s="5"/>
    </row>
    <row r="863" ht="15.75" customHeight="1">
      <c r="A863" s="5"/>
      <c r="B863" s="5"/>
      <c r="C863" s="5"/>
      <c r="D863" s="5"/>
      <c r="E863" s="5"/>
      <c r="F863" s="5"/>
      <c r="G863" s="5"/>
      <c r="H863" s="5"/>
    </row>
    <row r="864" ht="15.75" customHeight="1">
      <c r="A864" s="5"/>
      <c r="B864" s="5"/>
      <c r="C864" s="5"/>
      <c r="D864" s="5"/>
      <c r="E864" s="5"/>
      <c r="F864" s="5"/>
      <c r="G864" s="5"/>
      <c r="H864" s="5"/>
    </row>
    <row r="865" ht="15.75" customHeight="1">
      <c r="A865" s="5"/>
      <c r="B865" s="5"/>
      <c r="C865" s="5"/>
      <c r="D865" s="5"/>
      <c r="E865" s="5"/>
      <c r="F865" s="5"/>
      <c r="G865" s="5"/>
      <c r="H865" s="5"/>
    </row>
    <row r="866" ht="15.75" customHeight="1">
      <c r="A866" s="5"/>
      <c r="B866" s="5"/>
      <c r="C866" s="5"/>
      <c r="D866" s="5"/>
      <c r="E866" s="5"/>
      <c r="F866" s="5"/>
      <c r="G866" s="5"/>
      <c r="H866" s="5"/>
    </row>
    <row r="867" ht="15.75" customHeight="1">
      <c r="A867" s="5"/>
      <c r="B867" s="5"/>
      <c r="C867" s="5"/>
      <c r="D867" s="5"/>
      <c r="E867" s="5"/>
      <c r="F867" s="5"/>
      <c r="G867" s="5"/>
      <c r="H867" s="5"/>
    </row>
    <row r="868" ht="15.75" customHeight="1">
      <c r="A868" s="5"/>
      <c r="B868" s="5"/>
      <c r="C868" s="5"/>
      <c r="D868" s="5"/>
      <c r="E868" s="5"/>
      <c r="F868" s="5"/>
      <c r="G868" s="5"/>
      <c r="H868" s="5"/>
    </row>
    <row r="869" ht="15.75" customHeight="1">
      <c r="A869" s="5"/>
      <c r="B869" s="5"/>
      <c r="C869" s="5"/>
      <c r="D869" s="5"/>
      <c r="E869" s="5"/>
      <c r="F869" s="5"/>
      <c r="G869" s="5"/>
      <c r="H869" s="5"/>
    </row>
    <row r="870" ht="15.75" customHeight="1">
      <c r="A870" s="5"/>
      <c r="B870" s="5"/>
      <c r="C870" s="5"/>
      <c r="D870" s="5"/>
      <c r="E870" s="5"/>
      <c r="F870" s="5"/>
      <c r="G870" s="5"/>
      <c r="H870" s="5"/>
    </row>
    <row r="871" ht="15.75" customHeight="1">
      <c r="A871" s="5"/>
      <c r="B871" s="5"/>
      <c r="C871" s="5"/>
      <c r="D871" s="5"/>
      <c r="E871" s="5"/>
      <c r="F871" s="5"/>
      <c r="G871" s="5"/>
      <c r="H871" s="5"/>
    </row>
    <row r="872" ht="15.75" customHeight="1">
      <c r="A872" s="5"/>
      <c r="B872" s="5"/>
      <c r="C872" s="5"/>
      <c r="D872" s="5"/>
      <c r="E872" s="5"/>
      <c r="F872" s="5"/>
      <c r="G872" s="5"/>
      <c r="H872" s="5"/>
    </row>
    <row r="873" ht="15.75" customHeight="1">
      <c r="A873" s="5"/>
      <c r="B873" s="5"/>
      <c r="C873" s="5"/>
      <c r="D873" s="5"/>
      <c r="E873" s="5"/>
      <c r="F873" s="5"/>
      <c r="G873" s="5"/>
      <c r="H873" s="5"/>
    </row>
    <row r="874" ht="15.75" customHeight="1">
      <c r="A874" s="5"/>
      <c r="B874" s="5"/>
      <c r="C874" s="5"/>
      <c r="D874" s="5"/>
      <c r="E874" s="5"/>
      <c r="F874" s="5"/>
      <c r="G874" s="5"/>
      <c r="H874" s="5"/>
    </row>
    <row r="875" ht="15.75" customHeight="1">
      <c r="A875" s="5"/>
      <c r="B875" s="5"/>
      <c r="C875" s="5"/>
      <c r="D875" s="5"/>
      <c r="E875" s="5"/>
      <c r="F875" s="5"/>
      <c r="G875" s="5"/>
      <c r="H875" s="5"/>
    </row>
    <row r="876" ht="15.75" customHeight="1">
      <c r="A876" s="5"/>
      <c r="B876" s="5"/>
      <c r="C876" s="5"/>
      <c r="D876" s="5"/>
      <c r="E876" s="5"/>
      <c r="F876" s="5"/>
      <c r="G876" s="5"/>
      <c r="H876" s="5"/>
    </row>
    <row r="877" ht="15.75" customHeight="1">
      <c r="A877" s="5"/>
      <c r="B877" s="5"/>
      <c r="C877" s="5"/>
      <c r="D877" s="5"/>
      <c r="E877" s="5"/>
      <c r="F877" s="5"/>
      <c r="G877" s="5"/>
      <c r="H877" s="5"/>
    </row>
    <row r="878" ht="15.75" customHeight="1">
      <c r="A878" s="5"/>
      <c r="B878" s="5"/>
      <c r="C878" s="5"/>
      <c r="D878" s="5"/>
      <c r="E878" s="5"/>
      <c r="F878" s="5"/>
      <c r="G878" s="5"/>
      <c r="H878" s="5"/>
    </row>
    <row r="879" ht="15.75" customHeight="1">
      <c r="A879" s="5"/>
      <c r="B879" s="5"/>
      <c r="C879" s="5"/>
      <c r="D879" s="5"/>
      <c r="E879" s="5"/>
      <c r="F879" s="5"/>
      <c r="G879" s="5"/>
      <c r="H879" s="5"/>
    </row>
    <row r="880" ht="15.75" customHeight="1">
      <c r="A880" s="5"/>
      <c r="B880" s="5"/>
      <c r="C880" s="5"/>
      <c r="D880" s="5"/>
      <c r="E880" s="5"/>
      <c r="F880" s="5"/>
      <c r="G880" s="5"/>
      <c r="H880" s="5"/>
    </row>
    <row r="881" ht="15.75" customHeight="1">
      <c r="A881" s="5"/>
      <c r="B881" s="5"/>
      <c r="C881" s="5"/>
      <c r="D881" s="5"/>
      <c r="E881" s="5"/>
      <c r="F881" s="5"/>
      <c r="G881" s="5"/>
      <c r="H881" s="5"/>
    </row>
    <row r="882" ht="15.75" customHeight="1">
      <c r="A882" s="5"/>
      <c r="B882" s="5"/>
      <c r="C882" s="5"/>
      <c r="D882" s="5"/>
      <c r="E882" s="5"/>
      <c r="F882" s="5"/>
      <c r="G882" s="5"/>
      <c r="H882" s="5"/>
    </row>
    <row r="883" ht="15.75" customHeight="1">
      <c r="A883" s="5"/>
      <c r="B883" s="5"/>
      <c r="C883" s="5"/>
      <c r="D883" s="5"/>
      <c r="E883" s="5"/>
      <c r="F883" s="5"/>
      <c r="G883" s="5"/>
      <c r="H883" s="5"/>
    </row>
    <row r="884" ht="15.75" customHeight="1">
      <c r="A884" s="5"/>
      <c r="B884" s="5"/>
      <c r="C884" s="5"/>
      <c r="D884" s="5"/>
      <c r="E884" s="5"/>
      <c r="F884" s="5"/>
      <c r="G884" s="5"/>
      <c r="H884" s="5"/>
    </row>
    <row r="885" ht="15.75" customHeight="1">
      <c r="A885" s="5"/>
      <c r="B885" s="5"/>
      <c r="C885" s="5"/>
      <c r="D885" s="5"/>
      <c r="E885" s="5"/>
      <c r="F885" s="5"/>
      <c r="G885" s="5"/>
      <c r="H885" s="5"/>
    </row>
    <row r="886" ht="15.75" customHeight="1">
      <c r="A886" s="5"/>
      <c r="B886" s="5"/>
      <c r="C886" s="5"/>
      <c r="D886" s="5"/>
      <c r="E886" s="5"/>
      <c r="F886" s="5"/>
      <c r="G886" s="5"/>
      <c r="H886" s="5"/>
    </row>
    <row r="887" ht="15.75" customHeight="1">
      <c r="A887" s="5"/>
      <c r="B887" s="5"/>
      <c r="C887" s="5"/>
      <c r="D887" s="5"/>
      <c r="E887" s="5"/>
      <c r="F887" s="5"/>
      <c r="G887" s="5"/>
      <c r="H887" s="5"/>
    </row>
    <row r="888" ht="15.75" customHeight="1">
      <c r="A888" s="5"/>
      <c r="B888" s="5"/>
      <c r="C888" s="5"/>
      <c r="D888" s="5"/>
      <c r="E888" s="5"/>
      <c r="F888" s="5"/>
      <c r="G888" s="5"/>
      <c r="H888" s="5"/>
    </row>
    <row r="889" ht="15.75" customHeight="1">
      <c r="A889" s="5"/>
      <c r="B889" s="5"/>
      <c r="C889" s="5"/>
      <c r="D889" s="5"/>
      <c r="E889" s="5"/>
      <c r="F889" s="5"/>
      <c r="G889" s="5"/>
      <c r="H889" s="5"/>
    </row>
    <row r="890" ht="15.75" customHeight="1">
      <c r="A890" s="5"/>
      <c r="B890" s="5"/>
      <c r="C890" s="5"/>
      <c r="D890" s="5"/>
      <c r="E890" s="5"/>
      <c r="F890" s="5"/>
      <c r="G890" s="5"/>
      <c r="H890" s="5"/>
    </row>
    <row r="891" ht="15.75" customHeight="1">
      <c r="A891" s="5"/>
      <c r="B891" s="5"/>
      <c r="C891" s="5"/>
      <c r="D891" s="5"/>
      <c r="E891" s="5"/>
      <c r="F891" s="5"/>
      <c r="G891" s="5"/>
      <c r="H891" s="5"/>
    </row>
    <row r="892" ht="15.75" customHeight="1">
      <c r="A892" s="5"/>
      <c r="B892" s="5"/>
      <c r="C892" s="5"/>
      <c r="D892" s="5"/>
      <c r="E892" s="5"/>
      <c r="F892" s="5"/>
      <c r="G892" s="5"/>
      <c r="H892" s="5"/>
    </row>
    <row r="893" ht="15.75" customHeight="1">
      <c r="A893" s="5"/>
      <c r="B893" s="5"/>
      <c r="C893" s="5"/>
      <c r="D893" s="5"/>
      <c r="E893" s="5"/>
      <c r="F893" s="5"/>
      <c r="G893" s="5"/>
      <c r="H893" s="5"/>
    </row>
    <row r="894" ht="15.75" customHeight="1">
      <c r="A894" s="5"/>
      <c r="B894" s="5"/>
      <c r="C894" s="5"/>
      <c r="D894" s="5"/>
      <c r="E894" s="5"/>
      <c r="F894" s="5"/>
      <c r="G894" s="5"/>
      <c r="H894" s="5"/>
    </row>
    <row r="895" ht="15.75" customHeight="1">
      <c r="A895" s="5"/>
      <c r="B895" s="5"/>
      <c r="C895" s="5"/>
      <c r="D895" s="5"/>
      <c r="E895" s="5"/>
      <c r="F895" s="5"/>
      <c r="G895" s="5"/>
      <c r="H895" s="5"/>
    </row>
    <row r="896" ht="15.75" customHeight="1">
      <c r="A896" s="5"/>
      <c r="B896" s="5"/>
      <c r="C896" s="5"/>
      <c r="D896" s="5"/>
      <c r="E896" s="5"/>
      <c r="F896" s="5"/>
      <c r="G896" s="5"/>
      <c r="H896" s="5"/>
    </row>
    <row r="897" ht="15.75" customHeight="1">
      <c r="A897" s="5"/>
      <c r="B897" s="5"/>
      <c r="C897" s="5"/>
      <c r="D897" s="5"/>
      <c r="E897" s="5"/>
      <c r="F897" s="5"/>
      <c r="G897" s="5"/>
      <c r="H897" s="5"/>
    </row>
    <row r="898" ht="15.75" customHeight="1">
      <c r="A898" s="5"/>
      <c r="B898" s="5"/>
      <c r="C898" s="5"/>
      <c r="D898" s="5"/>
      <c r="E898" s="5"/>
      <c r="F898" s="5"/>
      <c r="G898" s="5"/>
      <c r="H898" s="5"/>
    </row>
    <row r="899" ht="15.75" customHeight="1">
      <c r="A899" s="5"/>
      <c r="B899" s="5"/>
      <c r="C899" s="5"/>
      <c r="D899" s="5"/>
      <c r="E899" s="5"/>
      <c r="F899" s="5"/>
      <c r="G899" s="5"/>
      <c r="H899" s="5"/>
    </row>
    <row r="900" ht="15.75" customHeight="1">
      <c r="A900" s="5"/>
      <c r="B900" s="5"/>
      <c r="C900" s="5"/>
      <c r="D900" s="5"/>
      <c r="E900" s="5"/>
      <c r="F900" s="5"/>
      <c r="G900" s="5"/>
      <c r="H900" s="5"/>
    </row>
    <row r="901" ht="15.75" customHeight="1">
      <c r="A901" s="5"/>
      <c r="B901" s="5"/>
      <c r="C901" s="5"/>
      <c r="D901" s="5"/>
      <c r="E901" s="5"/>
      <c r="F901" s="5"/>
      <c r="G901" s="5"/>
      <c r="H901" s="5"/>
    </row>
    <row r="902" ht="15.75" customHeight="1">
      <c r="A902" s="5"/>
      <c r="B902" s="5"/>
      <c r="C902" s="5"/>
      <c r="D902" s="5"/>
      <c r="E902" s="5"/>
      <c r="F902" s="5"/>
      <c r="G902" s="5"/>
      <c r="H902" s="5"/>
    </row>
    <row r="903" ht="15.75" customHeight="1">
      <c r="A903" s="5"/>
      <c r="B903" s="5"/>
      <c r="C903" s="5"/>
      <c r="D903" s="5"/>
      <c r="E903" s="5"/>
      <c r="F903" s="5"/>
      <c r="G903" s="5"/>
      <c r="H903" s="5"/>
    </row>
    <row r="904" ht="15.75" customHeight="1">
      <c r="A904" s="5"/>
      <c r="B904" s="5"/>
      <c r="C904" s="5"/>
      <c r="D904" s="5"/>
      <c r="E904" s="5"/>
      <c r="F904" s="5"/>
      <c r="G904" s="5"/>
      <c r="H904" s="5"/>
    </row>
    <row r="905" ht="15.75" customHeight="1">
      <c r="A905" s="5"/>
      <c r="B905" s="5"/>
      <c r="C905" s="5"/>
      <c r="D905" s="5"/>
      <c r="E905" s="5"/>
      <c r="F905" s="5"/>
      <c r="G905" s="5"/>
      <c r="H905" s="5"/>
    </row>
    <row r="906" ht="15.75" customHeight="1">
      <c r="A906" s="5"/>
      <c r="B906" s="5"/>
      <c r="C906" s="5"/>
      <c r="D906" s="5"/>
      <c r="E906" s="5"/>
      <c r="F906" s="5"/>
      <c r="G906" s="5"/>
      <c r="H906" s="5"/>
    </row>
    <row r="907" ht="15.75" customHeight="1">
      <c r="A907" s="5"/>
      <c r="B907" s="5"/>
      <c r="C907" s="5"/>
      <c r="D907" s="5"/>
      <c r="E907" s="5"/>
      <c r="F907" s="5"/>
      <c r="G907" s="5"/>
      <c r="H907" s="5"/>
    </row>
    <row r="908" ht="15.75" customHeight="1">
      <c r="A908" s="5"/>
      <c r="B908" s="5"/>
      <c r="C908" s="5"/>
      <c r="D908" s="5"/>
      <c r="E908" s="5"/>
      <c r="F908" s="5"/>
      <c r="G908" s="5"/>
      <c r="H908" s="5"/>
    </row>
    <row r="909" ht="15.75" customHeight="1">
      <c r="A909" s="5"/>
      <c r="B909" s="5"/>
      <c r="C909" s="5"/>
      <c r="D909" s="5"/>
      <c r="E909" s="5"/>
      <c r="F909" s="5"/>
      <c r="G909" s="5"/>
      <c r="H909" s="5"/>
    </row>
    <row r="910" ht="15.75" customHeight="1">
      <c r="A910" s="5"/>
      <c r="B910" s="5"/>
      <c r="C910" s="5"/>
      <c r="D910" s="5"/>
      <c r="E910" s="5"/>
      <c r="F910" s="5"/>
      <c r="G910" s="5"/>
      <c r="H910" s="5"/>
    </row>
    <row r="911" ht="15.75" customHeight="1">
      <c r="A911" s="5"/>
      <c r="B911" s="5"/>
      <c r="C911" s="5"/>
      <c r="D911" s="5"/>
      <c r="E911" s="5"/>
      <c r="F911" s="5"/>
      <c r="G911" s="5"/>
      <c r="H911" s="5"/>
    </row>
    <row r="912" ht="15.75" customHeight="1">
      <c r="A912" s="5"/>
      <c r="B912" s="5"/>
      <c r="C912" s="5"/>
      <c r="D912" s="5"/>
      <c r="E912" s="5"/>
      <c r="F912" s="5"/>
      <c r="G912" s="5"/>
      <c r="H912" s="5"/>
    </row>
    <row r="913" ht="15.75" customHeight="1">
      <c r="A913" s="5"/>
      <c r="B913" s="5"/>
      <c r="C913" s="5"/>
      <c r="D913" s="5"/>
      <c r="E913" s="5"/>
      <c r="F913" s="5"/>
      <c r="G913" s="5"/>
      <c r="H913" s="5"/>
    </row>
    <row r="914" ht="15.75" customHeight="1">
      <c r="A914" s="5"/>
      <c r="B914" s="5"/>
      <c r="C914" s="5"/>
      <c r="D914" s="5"/>
      <c r="E914" s="5"/>
      <c r="F914" s="5"/>
      <c r="G914" s="5"/>
      <c r="H914" s="5"/>
    </row>
    <row r="915" ht="15.75" customHeight="1">
      <c r="A915" s="5"/>
      <c r="B915" s="5"/>
      <c r="C915" s="5"/>
      <c r="D915" s="5"/>
      <c r="E915" s="5"/>
      <c r="F915" s="5"/>
      <c r="G915" s="5"/>
      <c r="H915" s="5"/>
    </row>
    <row r="916" ht="15.75" customHeight="1">
      <c r="A916" s="5"/>
      <c r="B916" s="5"/>
      <c r="C916" s="5"/>
      <c r="D916" s="5"/>
      <c r="E916" s="5"/>
      <c r="F916" s="5"/>
      <c r="G916" s="5"/>
      <c r="H916" s="5"/>
    </row>
    <row r="917" ht="15.75" customHeight="1">
      <c r="A917" s="5"/>
      <c r="B917" s="5"/>
      <c r="C917" s="5"/>
      <c r="D917" s="5"/>
      <c r="E917" s="5"/>
      <c r="F917" s="5"/>
      <c r="G917" s="5"/>
      <c r="H917" s="5"/>
    </row>
    <row r="918" ht="15.75" customHeight="1">
      <c r="A918" s="5"/>
      <c r="B918" s="5"/>
      <c r="C918" s="5"/>
      <c r="D918" s="5"/>
      <c r="E918" s="5"/>
      <c r="F918" s="5"/>
      <c r="G918" s="5"/>
      <c r="H918" s="5"/>
    </row>
    <row r="919" ht="15.75" customHeight="1">
      <c r="A919" s="5"/>
      <c r="B919" s="5"/>
      <c r="C919" s="5"/>
      <c r="D919" s="5"/>
      <c r="E919" s="5"/>
      <c r="F919" s="5"/>
      <c r="G919" s="5"/>
      <c r="H919" s="5"/>
    </row>
    <row r="920" ht="15.75" customHeight="1">
      <c r="A920" s="5"/>
      <c r="B920" s="5"/>
      <c r="C920" s="5"/>
      <c r="D920" s="5"/>
      <c r="E920" s="5"/>
      <c r="F920" s="5"/>
      <c r="G920" s="5"/>
      <c r="H920" s="5"/>
    </row>
    <row r="921" ht="15.75" customHeight="1">
      <c r="A921" s="5"/>
      <c r="B921" s="5"/>
      <c r="C921" s="5"/>
      <c r="D921" s="5"/>
      <c r="E921" s="5"/>
      <c r="F921" s="5"/>
      <c r="G921" s="5"/>
      <c r="H921" s="5"/>
    </row>
    <row r="922" ht="15.75" customHeight="1">
      <c r="A922" s="5"/>
      <c r="B922" s="5"/>
      <c r="C922" s="5"/>
      <c r="D922" s="5"/>
      <c r="E922" s="5"/>
      <c r="F922" s="5"/>
      <c r="G922" s="5"/>
      <c r="H922" s="5"/>
    </row>
    <row r="923" ht="15.75" customHeight="1">
      <c r="A923" s="5"/>
      <c r="B923" s="5"/>
      <c r="C923" s="5"/>
      <c r="D923" s="5"/>
      <c r="E923" s="5"/>
      <c r="F923" s="5"/>
      <c r="G923" s="5"/>
      <c r="H923" s="5"/>
    </row>
    <row r="924" ht="15.75" customHeight="1">
      <c r="A924" s="5"/>
      <c r="B924" s="5"/>
      <c r="C924" s="5"/>
      <c r="D924" s="5"/>
      <c r="E924" s="5"/>
      <c r="F924" s="5"/>
      <c r="G924" s="5"/>
      <c r="H924" s="5"/>
    </row>
    <row r="925" ht="15.75" customHeight="1">
      <c r="A925" s="5"/>
      <c r="B925" s="5"/>
      <c r="C925" s="5"/>
      <c r="D925" s="5"/>
      <c r="E925" s="5"/>
      <c r="F925" s="5"/>
      <c r="G925" s="5"/>
      <c r="H925" s="5"/>
    </row>
    <row r="926" ht="15.75" customHeight="1">
      <c r="A926" s="5"/>
      <c r="B926" s="5"/>
      <c r="C926" s="5"/>
      <c r="D926" s="5"/>
      <c r="E926" s="5"/>
      <c r="F926" s="5"/>
      <c r="G926" s="5"/>
      <c r="H926" s="5"/>
    </row>
    <row r="927" ht="15.75" customHeight="1">
      <c r="A927" s="5"/>
      <c r="B927" s="5"/>
      <c r="C927" s="5"/>
      <c r="D927" s="5"/>
      <c r="E927" s="5"/>
      <c r="F927" s="5"/>
      <c r="G927" s="5"/>
      <c r="H927" s="5"/>
    </row>
    <row r="928" ht="15.75" customHeight="1">
      <c r="A928" s="5"/>
      <c r="B928" s="5"/>
      <c r="C928" s="5"/>
      <c r="D928" s="5"/>
      <c r="E928" s="5"/>
      <c r="F928" s="5"/>
      <c r="G928" s="5"/>
      <c r="H928" s="5"/>
    </row>
    <row r="929" ht="15.75" customHeight="1">
      <c r="A929" s="5"/>
      <c r="B929" s="5"/>
      <c r="C929" s="5"/>
      <c r="D929" s="5"/>
      <c r="E929" s="5"/>
      <c r="F929" s="5"/>
      <c r="G929" s="5"/>
      <c r="H929" s="5"/>
    </row>
    <row r="930" ht="15.75" customHeight="1">
      <c r="A930" s="5"/>
      <c r="B930" s="5"/>
      <c r="C930" s="5"/>
      <c r="D930" s="5"/>
      <c r="E930" s="5"/>
      <c r="F930" s="5"/>
      <c r="G930" s="5"/>
      <c r="H930" s="5"/>
    </row>
    <row r="931" ht="15.75" customHeight="1">
      <c r="A931" s="5"/>
      <c r="B931" s="5"/>
      <c r="C931" s="5"/>
      <c r="D931" s="5"/>
      <c r="E931" s="5"/>
      <c r="F931" s="5"/>
      <c r="G931" s="5"/>
      <c r="H931" s="5"/>
    </row>
    <row r="932" ht="15.75" customHeight="1">
      <c r="A932" s="5"/>
      <c r="B932" s="5"/>
      <c r="C932" s="5"/>
      <c r="D932" s="5"/>
      <c r="E932" s="5"/>
      <c r="F932" s="5"/>
      <c r="G932" s="5"/>
      <c r="H932" s="5"/>
    </row>
    <row r="933" ht="15.75" customHeight="1">
      <c r="A933" s="5"/>
      <c r="B933" s="5"/>
      <c r="C933" s="5"/>
      <c r="D933" s="5"/>
      <c r="E933" s="5"/>
      <c r="F933" s="5"/>
      <c r="G933" s="5"/>
      <c r="H933" s="5"/>
    </row>
    <row r="934" ht="15.75" customHeight="1">
      <c r="A934" s="5"/>
      <c r="B934" s="5"/>
      <c r="C934" s="5"/>
      <c r="D934" s="5"/>
      <c r="E934" s="5"/>
      <c r="F934" s="5"/>
      <c r="G934" s="5"/>
      <c r="H934" s="5"/>
    </row>
    <row r="935" ht="15.75" customHeight="1">
      <c r="A935" s="5"/>
      <c r="B935" s="5"/>
      <c r="C935" s="5"/>
      <c r="D935" s="5"/>
      <c r="E935" s="5"/>
      <c r="F935" s="5"/>
      <c r="G935" s="5"/>
      <c r="H935" s="5"/>
    </row>
    <row r="936" ht="15.75" customHeight="1">
      <c r="A936" s="5"/>
      <c r="B936" s="5"/>
      <c r="C936" s="5"/>
      <c r="D936" s="5"/>
      <c r="E936" s="5"/>
      <c r="F936" s="5"/>
      <c r="G936" s="5"/>
      <c r="H936" s="5"/>
    </row>
    <row r="937" ht="15.75" customHeight="1">
      <c r="A937" s="5"/>
      <c r="B937" s="5"/>
      <c r="C937" s="5"/>
      <c r="D937" s="5"/>
      <c r="E937" s="5"/>
      <c r="F937" s="5"/>
      <c r="G937" s="5"/>
      <c r="H937" s="5"/>
    </row>
    <row r="938" ht="15.75" customHeight="1">
      <c r="A938" s="5"/>
      <c r="B938" s="5"/>
      <c r="C938" s="5"/>
      <c r="D938" s="5"/>
      <c r="E938" s="5"/>
      <c r="F938" s="5"/>
      <c r="G938" s="5"/>
      <c r="H938" s="5"/>
    </row>
    <row r="939" ht="15.75" customHeight="1">
      <c r="A939" s="5"/>
      <c r="B939" s="5"/>
      <c r="C939" s="5"/>
      <c r="D939" s="5"/>
      <c r="E939" s="5"/>
      <c r="F939" s="5"/>
      <c r="G939" s="5"/>
      <c r="H939" s="5"/>
    </row>
    <row r="940" ht="15.75" customHeight="1">
      <c r="A940" s="5"/>
      <c r="B940" s="5"/>
      <c r="C940" s="5"/>
      <c r="D940" s="5"/>
      <c r="E940" s="5"/>
      <c r="F940" s="5"/>
      <c r="G940" s="5"/>
      <c r="H940" s="5"/>
    </row>
    <row r="941" ht="15.75" customHeight="1">
      <c r="A941" s="5"/>
      <c r="B941" s="5"/>
      <c r="C941" s="5"/>
      <c r="D941" s="5"/>
      <c r="E941" s="5"/>
      <c r="F941" s="5"/>
      <c r="G941" s="5"/>
      <c r="H941" s="5"/>
    </row>
    <row r="942" ht="15.75" customHeight="1">
      <c r="A942" s="5"/>
      <c r="B942" s="5"/>
      <c r="C942" s="5"/>
      <c r="D942" s="5"/>
      <c r="E942" s="5"/>
      <c r="F942" s="5"/>
      <c r="G942" s="5"/>
      <c r="H942" s="5"/>
    </row>
    <row r="943" ht="15.75" customHeight="1">
      <c r="A943" s="5"/>
      <c r="B943" s="5"/>
      <c r="C943" s="5"/>
      <c r="D943" s="5"/>
      <c r="E943" s="5"/>
      <c r="F943" s="5"/>
      <c r="G943" s="5"/>
      <c r="H943" s="5"/>
    </row>
    <row r="944" ht="15.75" customHeight="1">
      <c r="A944" s="5"/>
      <c r="B944" s="5"/>
      <c r="C944" s="5"/>
      <c r="D944" s="5"/>
      <c r="E944" s="5"/>
      <c r="F944" s="5"/>
      <c r="G944" s="5"/>
      <c r="H944" s="5"/>
    </row>
    <row r="945" ht="15.75" customHeight="1">
      <c r="A945" s="5"/>
      <c r="B945" s="5"/>
      <c r="C945" s="5"/>
      <c r="D945" s="5"/>
      <c r="E945" s="5"/>
      <c r="F945" s="5"/>
      <c r="G945" s="5"/>
      <c r="H945" s="5"/>
    </row>
    <row r="946" ht="15.75" customHeight="1">
      <c r="A946" s="5"/>
      <c r="B946" s="5"/>
      <c r="C946" s="5"/>
      <c r="D946" s="5"/>
      <c r="E946" s="5"/>
      <c r="F946" s="5"/>
      <c r="G946" s="5"/>
      <c r="H946" s="5"/>
    </row>
    <row r="947" ht="15.75" customHeight="1">
      <c r="A947" s="5"/>
      <c r="B947" s="5"/>
      <c r="C947" s="5"/>
      <c r="D947" s="5"/>
      <c r="E947" s="5"/>
      <c r="F947" s="5"/>
      <c r="G947" s="5"/>
      <c r="H947" s="5"/>
    </row>
    <row r="948" ht="15.75" customHeight="1">
      <c r="A948" s="5"/>
      <c r="B948" s="5"/>
      <c r="C948" s="5"/>
      <c r="D948" s="5"/>
      <c r="E948" s="5"/>
      <c r="F948" s="5"/>
      <c r="G948" s="5"/>
      <c r="H948" s="5"/>
    </row>
    <row r="949" ht="15.75" customHeight="1">
      <c r="A949" s="5"/>
      <c r="B949" s="5"/>
      <c r="C949" s="5"/>
      <c r="D949" s="5"/>
      <c r="E949" s="5"/>
      <c r="F949" s="5"/>
      <c r="G949" s="5"/>
      <c r="H949" s="5"/>
    </row>
    <row r="950" ht="15.75" customHeight="1">
      <c r="A950" s="5"/>
      <c r="B950" s="5"/>
      <c r="C950" s="5"/>
      <c r="D950" s="5"/>
      <c r="E950" s="5"/>
      <c r="F950" s="5"/>
      <c r="G950" s="5"/>
      <c r="H950" s="5"/>
    </row>
    <row r="951" ht="15.75" customHeight="1">
      <c r="A951" s="5"/>
      <c r="B951" s="5"/>
      <c r="C951" s="5"/>
      <c r="D951" s="5"/>
      <c r="E951" s="5"/>
      <c r="F951" s="5"/>
      <c r="G951" s="5"/>
      <c r="H951" s="5"/>
    </row>
    <row r="952" ht="15.75" customHeight="1">
      <c r="A952" s="5"/>
      <c r="B952" s="5"/>
      <c r="C952" s="5"/>
      <c r="D952" s="5"/>
      <c r="E952" s="5"/>
      <c r="F952" s="5"/>
      <c r="G952" s="5"/>
      <c r="H952" s="5"/>
    </row>
    <row r="953" ht="15.75" customHeight="1">
      <c r="A953" s="5"/>
      <c r="B953" s="5"/>
      <c r="C953" s="5"/>
      <c r="D953" s="5"/>
      <c r="E953" s="5"/>
      <c r="F953" s="5"/>
      <c r="G953" s="5"/>
      <c r="H953" s="5"/>
    </row>
    <row r="954" ht="15.75" customHeight="1">
      <c r="A954" s="5"/>
      <c r="B954" s="5"/>
      <c r="C954" s="5"/>
      <c r="D954" s="5"/>
      <c r="E954" s="5"/>
      <c r="F954" s="5"/>
      <c r="G954" s="5"/>
      <c r="H954" s="5"/>
    </row>
    <row r="955" ht="15.75" customHeight="1">
      <c r="A955" s="5"/>
      <c r="B955" s="5"/>
      <c r="C955" s="5"/>
      <c r="D955" s="5"/>
      <c r="E955" s="5"/>
      <c r="F955" s="5"/>
      <c r="G955" s="5"/>
      <c r="H955" s="5"/>
    </row>
    <row r="956" ht="15.75" customHeight="1">
      <c r="A956" s="5"/>
      <c r="B956" s="5"/>
      <c r="C956" s="5"/>
      <c r="D956" s="5"/>
      <c r="E956" s="5"/>
      <c r="F956" s="5"/>
      <c r="G956" s="5"/>
      <c r="H956" s="5"/>
    </row>
    <row r="957" ht="15.75" customHeight="1">
      <c r="A957" s="5"/>
      <c r="B957" s="5"/>
      <c r="C957" s="5"/>
      <c r="D957" s="5"/>
      <c r="E957" s="5"/>
      <c r="F957" s="5"/>
      <c r="G957" s="5"/>
      <c r="H957" s="5"/>
    </row>
    <row r="958" ht="15.75" customHeight="1">
      <c r="A958" s="5"/>
      <c r="B958" s="5"/>
      <c r="C958" s="5"/>
      <c r="D958" s="5"/>
      <c r="E958" s="5"/>
      <c r="F958" s="5"/>
      <c r="G958" s="5"/>
      <c r="H958" s="5"/>
    </row>
    <row r="959" ht="15.75" customHeight="1">
      <c r="A959" s="5"/>
      <c r="B959" s="5"/>
      <c r="C959" s="5"/>
      <c r="D959" s="5"/>
      <c r="E959" s="5"/>
      <c r="F959" s="5"/>
      <c r="G959" s="5"/>
      <c r="H959" s="5"/>
    </row>
    <row r="960" ht="15.75" customHeight="1">
      <c r="A960" s="5"/>
      <c r="B960" s="5"/>
      <c r="C960" s="5"/>
      <c r="D960" s="5"/>
      <c r="E960" s="5"/>
      <c r="F960" s="5"/>
      <c r="G960" s="5"/>
      <c r="H960" s="5"/>
    </row>
    <row r="961" ht="15.75" customHeight="1">
      <c r="A961" s="5"/>
      <c r="B961" s="5"/>
      <c r="C961" s="5"/>
      <c r="D961" s="5"/>
      <c r="E961" s="5"/>
      <c r="F961" s="5"/>
      <c r="G961" s="5"/>
      <c r="H961" s="5"/>
    </row>
    <row r="962" ht="15.75" customHeight="1">
      <c r="A962" s="5"/>
      <c r="B962" s="5"/>
      <c r="C962" s="5"/>
      <c r="D962" s="5"/>
      <c r="E962" s="5"/>
      <c r="F962" s="5"/>
      <c r="G962" s="5"/>
      <c r="H962" s="5"/>
    </row>
    <row r="963" ht="15.75" customHeight="1">
      <c r="A963" s="5"/>
      <c r="B963" s="5"/>
      <c r="C963" s="5"/>
      <c r="D963" s="5"/>
      <c r="E963" s="5"/>
      <c r="F963" s="5"/>
      <c r="G963" s="5"/>
      <c r="H963" s="5"/>
    </row>
    <row r="964" ht="15.75" customHeight="1">
      <c r="A964" s="5"/>
      <c r="B964" s="5"/>
      <c r="C964" s="5"/>
      <c r="D964" s="5"/>
      <c r="E964" s="5"/>
      <c r="F964" s="5"/>
      <c r="G964" s="5"/>
      <c r="H964" s="5"/>
    </row>
    <row r="965" ht="15.75" customHeight="1">
      <c r="A965" s="5"/>
      <c r="B965" s="5"/>
      <c r="C965" s="5"/>
      <c r="D965" s="5"/>
      <c r="E965" s="5"/>
      <c r="F965" s="5"/>
      <c r="G965" s="5"/>
      <c r="H965" s="5"/>
    </row>
    <row r="966" ht="15.75" customHeight="1">
      <c r="A966" s="5"/>
      <c r="B966" s="5"/>
      <c r="C966" s="5"/>
      <c r="D966" s="5"/>
      <c r="E966" s="5"/>
      <c r="F966" s="5"/>
      <c r="G966" s="5"/>
      <c r="H966" s="5"/>
    </row>
    <row r="967" ht="15.75" customHeight="1">
      <c r="A967" s="5"/>
      <c r="B967" s="5"/>
      <c r="C967" s="5"/>
      <c r="D967" s="5"/>
      <c r="E967" s="5"/>
      <c r="F967" s="5"/>
      <c r="G967" s="5"/>
      <c r="H967" s="5"/>
    </row>
    <row r="968" ht="15.75" customHeight="1">
      <c r="A968" s="5"/>
      <c r="B968" s="5"/>
      <c r="C968" s="5"/>
      <c r="D968" s="5"/>
      <c r="E968" s="5"/>
      <c r="F968" s="5"/>
      <c r="G968" s="5"/>
      <c r="H968" s="5"/>
    </row>
    <row r="969" ht="15.75" customHeight="1">
      <c r="A969" s="5"/>
      <c r="B969" s="5"/>
      <c r="C969" s="5"/>
      <c r="D969" s="5"/>
      <c r="E969" s="5"/>
      <c r="F969" s="5"/>
      <c r="G969" s="5"/>
      <c r="H969" s="5"/>
    </row>
    <row r="970" ht="15.75" customHeight="1">
      <c r="A970" s="5"/>
      <c r="B970" s="5"/>
      <c r="C970" s="5"/>
      <c r="D970" s="5"/>
      <c r="E970" s="5"/>
      <c r="F970" s="5"/>
      <c r="G970" s="5"/>
      <c r="H970" s="5"/>
    </row>
    <row r="971" ht="15.75" customHeight="1">
      <c r="A971" s="5"/>
      <c r="B971" s="5"/>
      <c r="C971" s="5"/>
      <c r="D971" s="5"/>
      <c r="E971" s="5"/>
      <c r="F971" s="5"/>
      <c r="G971" s="5"/>
      <c r="H971" s="5"/>
    </row>
    <row r="972" ht="15.75" customHeight="1">
      <c r="A972" s="5"/>
      <c r="B972" s="5"/>
      <c r="C972" s="5"/>
      <c r="D972" s="5"/>
      <c r="E972" s="5"/>
      <c r="F972" s="5"/>
      <c r="G972" s="5"/>
      <c r="H972" s="5"/>
    </row>
    <row r="973" ht="15.75" customHeight="1">
      <c r="A973" s="5"/>
      <c r="B973" s="5"/>
      <c r="C973" s="5"/>
      <c r="D973" s="5"/>
      <c r="E973" s="5"/>
      <c r="F973" s="5"/>
      <c r="G973" s="5"/>
      <c r="H973" s="5"/>
    </row>
    <row r="974" ht="15.75" customHeight="1">
      <c r="A974" s="5"/>
      <c r="B974" s="5"/>
      <c r="C974" s="5"/>
      <c r="D974" s="5"/>
      <c r="E974" s="5"/>
      <c r="F974" s="5"/>
      <c r="G974" s="5"/>
      <c r="H974" s="5"/>
    </row>
    <row r="975" ht="15.75" customHeight="1">
      <c r="A975" s="5"/>
      <c r="B975" s="5"/>
      <c r="C975" s="5"/>
      <c r="D975" s="5"/>
      <c r="E975" s="5"/>
      <c r="F975" s="5"/>
      <c r="G975" s="5"/>
      <c r="H975" s="5"/>
    </row>
    <row r="976" ht="15.75" customHeight="1">
      <c r="A976" s="5"/>
      <c r="B976" s="5"/>
      <c r="C976" s="5"/>
      <c r="D976" s="5"/>
      <c r="E976" s="5"/>
      <c r="F976" s="5"/>
      <c r="G976" s="5"/>
      <c r="H976" s="5"/>
    </row>
    <row r="977" ht="15.75" customHeight="1">
      <c r="A977" s="5"/>
      <c r="B977" s="5"/>
      <c r="C977" s="5"/>
      <c r="D977" s="5"/>
      <c r="E977" s="5"/>
      <c r="F977" s="5"/>
      <c r="G977" s="5"/>
      <c r="H977" s="5"/>
    </row>
    <row r="978" ht="15.75" customHeight="1">
      <c r="A978" s="5"/>
      <c r="B978" s="5"/>
      <c r="C978" s="5"/>
      <c r="D978" s="5"/>
      <c r="E978" s="5"/>
      <c r="F978" s="5"/>
      <c r="G978" s="5"/>
      <c r="H978" s="5"/>
    </row>
    <row r="979" ht="15.75" customHeight="1">
      <c r="A979" s="5"/>
      <c r="B979" s="5"/>
      <c r="C979" s="5"/>
      <c r="D979" s="5"/>
      <c r="E979" s="5"/>
      <c r="F979" s="5"/>
      <c r="G979" s="5"/>
      <c r="H979" s="5"/>
    </row>
    <row r="980" ht="15.75" customHeight="1">
      <c r="A980" s="5"/>
      <c r="B980" s="5"/>
      <c r="C980" s="5"/>
      <c r="D980" s="5"/>
      <c r="E980" s="5"/>
      <c r="F980" s="5"/>
      <c r="G980" s="5"/>
      <c r="H980" s="5"/>
    </row>
    <row r="981" ht="15.75" customHeight="1">
      <c r="A981" s="5"/>
      <c r="B981" s="5"/>
      <c r="C981" s="5"/>
      <c r="D981" s="5"/>
      <c r="E981" s="5"/>
      <c r="F981" s="5"/>
      <c r="G981" s="5"/>
      <c r="H981" s="5"/>
    </row>
    <row r="982" ht="15.75" customHeight="1">
      <c r="A982" s="5"/>
      <c r="B982" s="5"/>
      <c r="C982" s="5"/>
      <c r="D982" s="5"/>
      <c r="E982" s="5"/>
      <c r="F982" s="5"/>
      <c r="G982" s="5"/>
      <c r="H982" s="5"/>
    </row>
    <row r="983" ht="15.75" customHeight="1">
      <c r="A983" s="5"/>
      <c r="B983" s="5"/>
      <c r="C983" s="5"/>
      <c r="D983" s="5"/>
      <c r="E983" s="5"/>
      <c r="F983" s="5"/>
      <c r="G983" s="5"/>
      <c r="H983" s="5"/>
    </row>
    <row r="984" ht="15.75" customHeight="1">
      <c r="A984" s="5"/>
      <c r="B984" s="5"/>
      <c r="C984" s="5"/>
      <c r="D984" s="5"/>
      <c r="E984" s="5"/>
      <c r="F984" s="5"/>
      <c r="G984" s="5"/>
      <c r="H984" s="5"/>
    </row>
    <row r="985" ht="15.75" customHeight="1">
      <c r="A985" s="5"/>
      <c r="B985" s="5"/>
      <c r="C985" s="5"/>
      <c r="D985" s="5"/>
      <c r="E985" s="5"/>
      <c r="F985" s="5"/>
      <c r="G985" s="5"/>
      <c r="H985" s="5"/>
    </row>
    <row r="986" ht="15.75" customHeight="1">
      <c r="A986" s="5"/>
      <c r="B986" s="5"/>
      <c r="C986" s="5"/>
      <c r="D986" s="5"/>
      <c r="E986" s="5"/>
      <c r="F986" s="5"/>
      <c r="G986" s="5"/>
      <c r="H986" s="5"/>
    </row>
    <row r="987" ht="15.75" customHeight="1">
      <c r="A987" s="5"/>
      <c r="B987" s="5"/>
      <c r="C987" s="5"/>
      <c r="D987" s="5"/>
      <c r="E987" s="5"/>
      <c r="F987" s="5"/>
      <c r="G987" s="5"/>
      <c r="H987" s="5"/>
    </row>
    <row r="988" ht="15.75" customHeight="1">
      <c r="A988" s="5"/>
      <c r="B988" s="5"/>
      <c r="C988" s="5"/>
      <c r="D988" s="5"/>
      <c r="E988" s="5"/>
      <c r="F988" s="5"/>
      <c r="G988" s="5"/>
      <c r="H988" s="5"/>
    </row>
    <row r="989" ht="15.75" customHeight="1">
      <c r="A989" s="5"/>
      <c r="B989" s="5"/>
      <c r="C989" s="5"/>
      <c r="D989" s="5"/>
      <c r="E989" s="5"/>
      <c r="F989" s="5"/>
      <c r="G989" s="5"/>
      <c r="H989" s="5"/>
    </row>
    <row r="990" ht="15.75" customHeight="1">
      <c r="A990" s="5"/>
      <c r="B990" s="5"/>
      <c r="C990" s="5"/>
      <c r="D990" s="5"/>
      <c r="E990" s="5"/>
      <c r="F990" s="5"/>
      <c r="G990" s="5"/>
      <c r="H990" s="5"/>
    </row>
    <row r="991" ht="15.75" customHeight="1">
      <c r="A991" s="5"/>
      <c r="B991" s="5"/>
      <c r="C991" s="5"/>
      <c r="D991" s="5"/>
      <c r="E991" s="5"/>
      <c r="F991" s="5"/>
      <c r="G991" s="5"/>
      <c r="H991" s="5"/>
    </row>
    <row r="992" ht="15.75" customHeight="1">
      <c r="A992" s="5"/>
      <c r="B992" s="5"/>
      <c r="C992" s="5"/>
      <c r="D992" s="5"/>
      <c r="E992" s="5"/>
      <c r="F992" s="5"/>
      <c r="G992" s="5"/>
      <c r="H992" s="5"/>
    </row>
    <row r="993" ht="15.75" customHeight="1">
      <c r="A993" s="5"/>
      <c r="B993" s="5"/>
      <c r="C993" s="5"/>
      <c r="D993" s="5"/>
      <c r="E993" s="5"/>
      <c r="F993" s="5"/>
      <c r="G993" s="5"/>
      <c r="H993" s="5"/>
    </row>
    <row r="994" ht="15.75" customHeight="1">
      <c r="A994" s="5"/>
      <c r="B994" s="5"/>
      <c r="C994" s="5"/>
      <c r="D994" s="5"/>
      <c r="E994" s="5"/>
      <c r="F994" s="5"/>
      <c r="G994" s="5"/>
      <c r="H994" s="5"/>
    </row>
    <row r="995" ht="15.75" customHeight="1">
      <c r="A995" s="5"/>
      <c r="B995" s="5"/>
      <c r="C995" s="5"/>
      <c r="D995" s="5"/>
      <c r="E995" s="5"/>
      <c r="F995" s="5"/>
      <c r="G995" s="5"/>
      <c r="H995" s="5"/>
    </row>
    <row r="996" ht="15.75" customHeight="1">
      <c r="A996" s="5"/>
      <c r="B996" s="5"/>
      <c r="C996" s="5"/>
      <c r="D996" s="5"/>
      <c r="E996" s="5"/>
      <c r="F996" s="5"/>
      <c r="G996" s="5"/>
      <c r="H996" s="5"/>
    </row>
    <row r="997" ht="15.75" customHeight="1">
      <c r="A997" s="5"/>
      <c r="B997" s="5"/>
      <c r="C997" s="5"/>
      <c r="D997" s="5"/>
      <c r="E997" s="5"/>
      <c r="F997" s="5"/>
      <c r="G997" s="5"/>
      <c r="H997" s="5"/>
    </row>
    <row r="998" ht="15.75" customHeight="1">
      <c r="A998" s="5"/>
      <c r="B998" s="5"/>
      <c r="C998" s="5"/>
      <c r="D998" s="5"/>
      <c r="E998" s="5"/>
      <c r="F998" s="5"/>
      <c r="G998" s="5"/>
      <c r="H998" s="5"/>
    </row>
    <row r="999" ht="15.75" customHeight="1">
      <c r="A999" s="5"/>
      <c r="B999" s="5"/>
      <c r="C999" s="5"/>
      <c r="D999" s="5"/>
      <c r="E999" s="5"/>
      <c r="F999" s="5"/>
      <c r="G999" s="5"/>
      <c r="H999" s="5"/>
    </row>
    <row r="1000" ht="15.75" customHeight="1">
      <c r="A1000" s="5"/>
      <c r="B1000" s="5"/>
      <c r="C1000" s="5"/>
      <c r="D1000" s="5"/>
      <c r="E1000" s="5"/>
      <c r="F1000" s="5"/>
      <c r="G1000" s="5"/>
      <c r="H1000" s="5"/>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5.0" topLeftCell="A6" activePane="bottomLeft" state="frozen"/>
      <selection activeCell="B7" sqref="B7" pane="bottomLeft"/>
    </sheetView>
  </sheetViews>
  <sheetFormatPr customHeight="1" defaultColWidth="14.43" defaultRowHeight="15.0"/>
  <cols>
    <col customWidth="1" min="1" max="1" width="12.0"/>
    <col customWidth="1" min="2" max="2" width="16.29"/>
    <col customWidth="1" min="3" max="3" width="8.0"/>
    <col customWidth="1" min="4" max="4" width="26.0"/>
    <col customWidth="1" min="5" max="5" width="65.43"/>
    <col customWidth="1" min="6" max="7" width="8.0"/>
    <col customWidth="1" min="8" max="8" width="10.14"/>
    <col customWidth="1" min="9" max="9" width="46.0"/>
    <col customWidth="1" min="10" max="10" width="55.43"/>
    <col customWidth="1" min="11" max="11" width="42.0"/>
    <col customWidth="1" min="12" max="12" width="22.57"/>
  </cols>
  <sheetData>
    <row r="1" ht="21.0" customHeight="1">
      <c r="A1" s="1" t="s">
        <v>3</v>
      </c>
      <c r="B1" s="3"/>
      <c r="C1" s="3"/>
      <c r="D1" s="3"/>
      <c r="E1" s="3"/>
      <c r="F1" s="3"/>
      <c r="G1" s="3"/>
      <c r="H1" s="3"/>
      <c r="I1" s="3"/>
      <c r="J1" s="3"/>
      <c r="K1" s="3"/>
      <c r="L1" s="3"/>
      <c r="M1" s="3"/>
      <c r="N1" s="3"/>
      <c r="O1" s="3"/>
      <c r="P1" s="3"/>
      <c r="Q1" s="3"/>
      <c r="R1" s="3"/>
      <c r="S1" s="3"/>
      <c r="T1" s="3"/>
      <c r="U1" s="3"/>
      <c r="V1" s="3"/>
      <c r="W1" s="3"/>
      <c r="X1" s="3"/>
      <c r="Y1" s="3"/>
      <c r="Z1" s="3"/>
    </row>
    <row r="2" ht="15.0" customHeight="1">
      <c r="A2" s="9" t="s">
        <v>7</v>
      </c>
      <c r="B2" s="3"/>
      <c r="C2" s="3"/>
      <c r="D2" s="3"/>
      <c r="E2" s="3"/>
      <c r="F2" s="3"/>
      <c r="G2" s="3"/>
      <c r="H2" s="3"/>
      <c r="I2" s="3"/>
      <c r="J2" s="3"/>
      <c r="K2" s="3"/>
      <c r="L2" s="3"/>
      <c r="M2" s="3"/>
      <c r="N2" s="3"/>
      <c r="O2" s="3"/>
      <c r="P2" s="3"/>
      <c r="Q2" s="3"/>
      <c r="R2" s="3"/>
      <c r="S2" s="3"/>
      <c r="T2" s="3"/>
      <c r="U2" s="3"/>
      <c r="V2" s="3"/>
      <c r="W2" s="3"/>
      <c r="X2" s="3"/>
      <c r="Y2" s="3"/>
      <c r="Z2" s="3"/>
    </row>
    <row r="3" ht="15.0" customHeight="1">
      <c r="A3" s="17" t="s">
        <v>13</v>
      </c>
      <c r="B3" s="3"/>
      <c r="C3" s="3"/>
      <c r="D3" s="3"/>
      <c r="E3" s="3"/>
      <c r="F3" s="3"/>
      <c r="G3" s="3"/>
      <c r="H3" s="3"/>
      <c r="I3" s="3"/>
      <c r="J3" s="3"/>
      <c r="K3" s="3"/>
      <c r="L3" s="3"/>
      <c r="M3" s="3"/>
      <c r="N3" s="3"/>
      <c r="O3" s="3"/>
      <c r="P3" s="3"/>
      <c r="Q3" s="3"/>
      <c r="R3" s="3"/>
      <c r="S3" s="3"/>
      <c r="T3" s="3"/>
      <c r="U3" s="3"/>
      <c r="V3" s="3"/>
      <c r="W3" s="3"/>
      <c r="X3" s="3"/>
      <c r="Y3" s="3"/>
      <c r="Z3" s="3"/>
    </row>
    <row r="4" ht="17.25" customHeight="1">
      <c r="A4" s="15"/>
      <c r="B4" s="15"/>
      <c r="C4" s="15"/>
      <c r="D4" s="15"/>
      <c r="E4" s="15"/>
      <c r="F4" s="15"/>
      <c r="G4" s="15"/>
      <c r="H4" s="15"/>
      <c r="I4" s="15"/>
      <c r="J4" s="15"/>
      <c r="K4" s="15"/>
      <c r="L4" s="25" t="s">
        <v>35</v>
      </c>
      <c r="M4" s="15"/>
      <c r="N4" s="15"/>
      <c r="O4" s="15"/>
      <c r="P4" s="15"/>
      <c r="Q4" s="15"/>
      <c r="R4" s="15"/>
      <c r="S4" s="15"/>
      <c r="T4" s="15"/>
      <c r="U4" s="15"/>
      <c r="V4" s="15"/>
      <c r="W4" s="15"/>
      <c r="X4" s="15"/>
      <c r="Y4" s="15"/>
      <c r="Z4" s="15"/>
    </row>
    <row r="5" ht="31.5" customHeight="1">
      <c r="A5" s="31" t="s">
        <v>22</v>
      </c>
      <c r="B5" s="34" t="s">
        <v>50</v>
      </c>
      <c r="C5" s="31" t="s">
        <v>59</v>
      </c>
      <c r="D5" s="31" t="s">
        <v>60</v>
      </c>
      <c r="E5" s="31" t="s">
        <v>62</v>
      </c>
      <c r="F5" s="31" t="s">
        <v>63</v>
      </c>
      <c r="G5" s="31" t="s">
        <v>21</v>
      </c>
      <c r="H5" s="38" t="s">
        <v>12</v>
      </c>
      <c r="I5" s="31" t="s">
        <v>68</v>
      </c>
      <c r="J5" s="31" t="s">
        <v>69</v>
      </c>
      <c r="K5" s="31" t="s">
        <v>70</v>
      </c>
      <c r="L5" s="41" t="s">
        <v>35</v>
      </c>
      <c r="M5" s="15"/>
      <c r="N5" s="15"/>
      <c r="O5" s="15"/>
      <c r="P5" s="15"/>
      <c r="Q5" s="15"/>
      <c r="R5" s="15"/>
      <c r="S5" s="15"/>
      <c r="T5" s="15"/>
      <c r="U5" s="15"/>
      <c r="V5" s="15"/>
      <c r="W5" s="15"/>
      <c r="X5" s="15"/>
      <c r="Y5" s="15"/>
      <c r="Z5" s="15"/>
    </row>
    <row r="6" ht="45.0" customHeight="1">
      <c r="A6" s="45" t="s">
        <v>72</v>
      </c>
      <c r="B6" s="49" t="s">
        <v>95</v>
      </c>
      <c r="C6" s="51" t="s">
        <v>31</v>
      </c>
      <c r="D6" s="52" t="s">
        <v>118</v>
      </c>
      <c r="E6" s="51" t="s">
        <v>121</v>
      </c>
      <c r="F6" s="53" t="s">
        <v>125</v>
      </c>
      <c r="G6" s="53" t="s">
        <v>130</v>
      </c>
      <c r="H6" s="54" t="s">
        <v>36</v>
      </c>
      <c r="I6" s="52" t="s">
        <v>142</v>
      </c>
      <c r="J6" s="52" t="s">
        <v>145</v>
      </c>
      <c r="K6" s="51" t="s">
        <v>148</v>
      </c>
      <c r="L6" s="53"/>
      <c r="M6" s="15"/>
      <c r="N6" s="15"/>
      <c r="O6" s="15"/>
      <c r="P6" s="15"/>
      <c r="Q6" s="15"/>
      <c r="R6" s="15"/>
      <c r="S6" s="15"/>
      <c r="T6" s="15"/>
      <c r="U6" s="15"/>
      <c r="V6" s="15"/>
      <c r="W6" s="15"/>
      <c r="X6" s="15"/>
      <c r="Y6" s="15"/>
      <c r="Z6" s="15"/>
    </row>
    <row r="7" ht="72.75" customHeight="1">
      <c r="A7" s="45" t="s">
        <v>86</v>
      </c>
      <c r="B7" s="49" t="s">
        <v>95</v>
      </c>
      <c r="C7" s="14" t="s">
        <v>31</v>
      </c>
      <c r="D7" s="29" t="s">
        <v>165</v>
      </c>
      <c r="E7" s="29" t="s">
        <v>168</v>
      </c>
      <c r="F7" s="57" t="s">
        <v>125</v>
      </c>
      <c r="G7" s="57" t="s">
        <v>175</v>
      </c>
      <c r="H7" s="58" t="s">
        <v>181</v>
      </c>
      <c r="I7" s="29" t="s">
        <v>193</v>
      </c>
      <c r="J7" s="29" t="s">
        <v>194</v>
      </c>
      <c r="K7" s="14" t="s">
        <v>196</v>
      </c>
      <c r="L7" s="57"/>
      <c r="M7" s="15"/>
      <c r="N7" s="15"/>
      <c r="O7" s="15"/>
      <c r="P7" s="15"/>
      <c r="Q7" s="15"/>
      <c r="R7" s="15"/>
      <c r="S7" s="15"/>
      <c r="T7" s="15"/>
      <c r="U7" s="15"/>
      <c r="V7" s="15"/>
      <c r="W7" s="15"/>
      <c r="X7" s="15"/>
      <c r="Y7" s="15"/>
      <c r="Z7" s="15"/>
    </row>
    <row r="8" ht="31.5" customHeight="1">
      <c r="A8" s="45" t="s">
        <v>206</v>
      </c>
      <c r="B8" s="49" t="s">
        <v>95</v>
      </c>
      <c r="C8" s="52" t="s">
        <v>208</v>
      </c>
      <c r="D8" s="52" t="s">
        <v>210</v>
      </c>
      <c r="E8" s="51" t="s">
        <v>212</v>
      </c>
      <c r="F8" s="53" t="s">
        <v>125</v>
      </c>
      <c r="G8" s="53" t="s">
        <v>175</v>
      </c>
      <c r="H8" s="58" t="s">
        <v>181</v>
      </c>
      <c r="I8" s="52" t="s">
        <v>217</v>
      </c>
      <c r="J8" s="52" t="s">
        <v>220</v>
      </c>
      <c r="K8" s="51" t="s">
        <v>223</v>
      </c>
      <c r="L8" s="53"/>
      <c r="M8" s="15"/>
      <c r="N8" s="15"/>
      <c r="O8" s="15"/>
      <c r="P8" s="15"/>
      <c r="Q8" s="15"/>
      <c r="R8" s="15"/>
      <c r="S8" s="15"/>
      <c r="T8" s="15"/>
      <c r="U8" s="15"/>
      <c r="V8" s="15"/>
      <c r="W8" s="15"/>
      <c r="X8" s="15"/>
      <c r="Y8" s="15"/>
      <c r="Z8" s="15"/>
    </row>
    <row r="9" ht="58.5" customHeight="1">
      <c r="A9" s="45" t="s">
        <v>238</v>
      </c>
      <c r="B9" s="49" t="s">
        <v>95</v>
      </c>
      <c r="C9" s="14" t="s">
        <v>240</v>
      </c>
      <c r="D9" s="29" t="s">
        <v>242</v>
      </c>
      <c r="E9" s="29" t="s">
        <v>246</v>
      </c>
      <c r="F9" s="57" t="s">
        <v>125</v>
      </c>
      <c r="G9" s="57" t="s">
        <v>175</v>
      </c>
      <c r="H9" s="58" t="s">
        <v>181</v>
      </c>
      <c r="I9" s="29" t="s">
        <v>254</v>
      </c>
      <c r="J9" s="29" t="s">
        <v>257</v>
      </c>
      <c r="K9" s="14" t="s">
        <v>260</v>
      </c>
      <c r="L9" s="57"/>
      <c r="M9" s="15"/>
      <c r="N9" s="15"/>
      <c r="O9" s="15"/>
      <c r="P9" s="15"/>
      <c r="Q9" s="15"/>
      <c r="R9" s="15"/>
      <c r="S9" s="15"/>
      <c r="T9" s="15"/>
      <c r="U9" s="15"/>
      <c r="V9" s="15"/>
      <c r="W9" s="15"/>
      <c r="X9" s="15"/>
      <c r="Y9" s="15"/>
      <c r="Z9" s="15"/>
    </row>
    <row r="10" ht="31.5" customHeight="1">
      <c r="A10" s="45" t="s">
        <v>110</v>
      </c>
      <c r="B10" s="49" t="s">
        <v>95</v>
      </c>
      <c r="C10" s="52" t="s">
        <v>208</v>
      </c>
      <c r="D10" s="52" t="s">
        <v>277</v>
      </c>
      <c r="E10" s="52" t="s">
        <v>278</v>
      </c>
      <c r="F10" s="53" t="s">
        <v>281</v>
      </c>
      <c r="G10" s="53" t="s">
        <v>283</v>
      </c>
      <c r="H10" s="58" t="s">
        <v>181</v>
      </c>
      <c r="I10" s="52" t="s">
        <v>286</v>
      </c>
      <c r="J10" s="52" t="s">
        <v>288</v>
      </c>
      <c r="K10" s="51" t="s">
        <v>289</v>
      </c>
      <c r="L10" s="53"/>
      <c r="M10" s="15"/>
      <c r="N10" s="15"/>
      <c r="O10" s="15"/>
      <c r="P10" s="15"/>
      <c r="Q10" s="15"/>
      <c r="R10" s="15"/>
      <c r="S10" s="15"/>
      <c r="T10" s="15"/>
      <c r="U10" s="15"/>
      <c r="V10" s="15"/>
      <c r="W10" s="15"/>
      <c r="X10" s="15"/>
      <c r="Y10" s="15"/>
      <c r="Z10" s="15"/>
    </row>
    <row r="11" ht="31.5" customHeight="1">
      <c r="A11" s="45" t="s">
        <v>98</v>
      </c>
      <c r="B11" s="49" t="s">
        <v>95</v>
      </c>
      <c r="C11" s="29" t="s">
        <v>208</v>
      </c>
      <c r="D11" s="29" t="s">
        <v>299</v>
      </c>
      <c r="E11" s="29" t="s">
        <v>301</v>
      </c>
      <c r="F11" s="57" t="s">
        <v>125</v>
      </c>
      <c r="G11" s="57" t="s">
        <v>130</v>
      </c>
      <c r="H11" s="54" t="s">
        <v>36</v>
      </c>
      <c r="I11" s="14" t="s">
        <v>306</v>
      </c>
      <c r="J11" s="29" t="s">
        <v>309</v>
      </c>
      <c r="K11" s="14" t="s">
        <v>311</v>
      </c>
      <c r="L11" s="57" t="s">
        <v>314</v>
      </c>
      <c r="M11" s="15"/>
      <c r="N11" s="15"/>
      <c r="O11" s="15"/>
      <c r="P11" s="15"/>
      <c r="Q11" s="15"/>
      <c r="R11" s="15"/>
      <c r="S11" s="15"/>
      <c r="T11" s="15"/>
      <c r="U11" s="15"/>
      <c r="V11" s="15"/>
      <c r="W11" s="15"/>
      <c r="X11" s="15"/>
      <c r="Y11" s="15"/>
      <c r="Z11" s="15"/>
    </row>
    <row r="12" ht="31.5" customHeight="1">
      <c r="A12" s="45" t="s">
        <v>325</v>
      </c>
      <c r="B12" s="49" t="s">
        <v>95</v>
      </c>
      <c r="C12" s="51" t="s">
        <v>31</v>
      </c>
      <c r="D12" s="52" t="s">
        <v>330</v>
      </c>
      <c r="E12" s="52" t="s">
        <v>333</v>
      </c>
      <c r="F12" s="53" t="s">
        <v>335</v>
      </c>
      <c r="G12" s="53" t="s">
        <v>283</v>
      </c>
      <c r="H12" s="58" t="s">
        <v>181</v>
      </c>
      <c r="I12" s="52" t="s">
        <v>342</v>
      </c>
      <c r="J12" s="52" t="s">
        <v>345</v>
      </c>
      <c r="K12" s="51" t="s">
        <v>347</v>
      </c>
      <c r="L12" s="53"/>
      <c r="M12" s="15"/>
      <c r="N12" s="15"/>
      <c r="O12" s="15"/>
      <c r="P12" s="15"/>
      <c r="Q12" s="15"/>
      <c r="R12" s="15"/>
      <c r="S12" s="15"/>
      <c r="T12" s="15"/>
      <c r="U12" s="15"/>
      <c r="V12" s="15"/>
      <c r="W12" s="15"/>
      <c r="X12" s="15"/>
      <c r="Y12" s="15"/>
      <c r="Z12" s="15"/>
    </row>
    <row r="13" ht="31.5" customHeight="1">
      <c r="A13" s="45" t="s">
        <v>358</v>
      </c>
      <c r="B13" s="49" t="s">
        <v>95</v>
      </c>
      <c r="C13" s="14" t="s">
        <v>31</v>
      </c>
      <c r="D13" s="29" t="s">
        <v>365</v>
      </c>
      <c r="E13" s="29" t="s">
        <v>368</v>
      </c>
      <c r="F13" s="57" t="s">
        <v>335</v>
      </c>
      <c r="G13" s="57" t="s">
        <v>283</v>
      </c>
      <c r="H13" s="58" t="s">
        <v>181</v>
      </c>
      <c r="I13" s="29" t="s">
        <v>374</v>
      </c>
      <c r="J13" s="29" t="s">
        <v>377</v>
      </c>
      <c r="K13" s="14"/>
      <c r="L13" s="57"/>
      <c r="M13" s="15"/>
      <c r="N13" s="15"/>
      <c r="O13" s="15"/>
      <c r="P13" s="15"/>
      <c r="Q13" s="15"/>
      <c r="R13" s="15"/>
      <c r="S13" s="15"/>
      <c r="T13" s="15"/>
      <c r="U13" s="15"/>
      <c r="V13" s="15"/>
      <c r="W13" s="15"/>
      <c r="X13" s="15"/>
      <c r="Y13" s="15"/>
      <c r="Z13" s="15"/>
    </row>
    <row r="14" ht="31.5" customHeight="1">
      <c r="A14" s="45" t="s">
        <v>385</v>
      </c>
      <c r="B14" s="49" t="s">
        <v>95</v>
      </c>
      <c r="C14" s="51" t="s">
        <v>31</v>
      </c>
      <c r="D14" s="52" t="s">
        <v>392</v>
      </c>
      <c r="E14" s="52" t="s">
        <v>395</v>
      </c>
      <c r="F14" s="53" t="s">
        <v>335</v>
      </c>
      <c r="G14" s="53" t="s">
        <v>283</v>
      </c>
      <c r="H14" s="58" t="s">
        <v>181</v>
      </c>
      <c r="I14" s="52" t="s">
        <v>402</v>
      </c>
      <c r="J14" s="52" t="s">
        <v>405</v>
      </c>
      <c r="K14" s="51"/>
      <c r="L14" s="53"/>
      <c r="M14" s="15"/>
      <c r="N14" s="15"/>
      <c r="O14" s="15"/>
      <c r="P14" s="15"/>
      <c r="Q14" s="15"/>
      <c r="R14" s="15"/>
      <c r="S14" s="15"/>
      <c r="T14" s="15"/>
      <c r="U14" s="15"/>
      <c r="V14" s="15"/>
      <c r="W14" s="15"/>
      <c r="X14" s="15"/>
      <c r="Y14" s="15"/>
      <c r="Z14" s="15"/>
    </row>
    <row r="15" ht="31.5" customHeight="1">
      <c r="A15" s="64" t="s">
        <v>425</v>
      </c>
      <c r="B15" s="65" t="s">
        <v>442</v>
      </c>
      <c r="C15" s="66" t="s">
        <v>452</v>
      </c>
      <c r="D15" s="67" t="s">
        <v>460</v>
      </c>
      <c r="E15" s="67" t="s">
        <v>465</v>
      </c>
      <c r="F15" s="68" t="s">
        <v>335</v>
      </c>
      <c r="G15" s="68" t="s">
        <v>283</v>
      </c>
      <c r="H15" s="69" t="s">
        <v>181</v>
      </c>
      <c r="I15" s="67" t="s">
        <v>487</v>
      </c>
      <c r="J15" s="67" t="s">
        <v>488</v>
      </c>
      <c r="K15" s="66" t="s">
        <v>489</v>
      </c>
      <c r="L15" s="68"/>
      <c r="M15" s="15"/>
      <c r="N15" s="15"/>
      <c r="O15" s="15"/>
      <c r="P15" s="15"/>
      <c r="Q15" s="15"/>
      <c r="R15" s="15"/>
      <c r="S15" s="15"/>
      <c r="T15" s="15"/>
      <c r="U15" s="15"/>
      <c r="V15" s="15"/>
      <c r="W15" s="15"/>
      <c r="X15" s="15"/>
      <c r="Y15" s="15"/>
      <c r="Z15" s="15"/>
    </row>
    <row r="16" ht="31.5" customHeight="1">
      <c r="A16" s="71" t="s">
        <v>510</v>
      </c>
      <c r="B16" s="72" t="s">
        <v>442</v>
      </c>
      <c r="C16" s="51" t="s">
        <v>452</v>
      </c>
      <c r="D16" s="52" t="s">
        <v>531</v>
      </c>
      <c r="E16" s="52" t="s">
        <v>532</v>
      </c>
      <c r="F16" s="53" t="s">
        <v>335</v>
      </c>
      <c r="G16" s="53" t="s">
        <v>283</v>
      </c>
      <c r="H16" s="58" t="s">
        <v>181</v>
      </c>
      <c r="I16" s="52" t="s">
        <v>545</v>
      </c>
      <c r="J16" s="52" t="s">
        <v>550</v>
      </c>
      <c r="K16" s="51"/>
      <c r="L16" s="53"/>
      <c r="M16" s="15"/>
      <c r="N16" s="15"/>
      <c r="O16" s="15"/>
      <c r="P16" s="15"/>
      <c r="Q16" s="15"/>
      <c r="R16" s="15"/>
      <c r="S16" s="15"/>
      <c r="T16" s="15"/>
      <c r="U16" s="15"/>
      <c r="V16" s="15"/>
      <c r="W16" s="15"/>
      <c r="X16" s="15"/>
      <c r="Y16" s="15"/>
      <c r="Z16" s="15"/>
    </row>
    <row r="17" ht="31.5" customHeight="1">
      <c r="A17" s="71" t="s">
        <v>571</v>
      </c>
      <c r="B17" s="72" t="s">
        <v>442</v>
      </c>
      <c r="C17" s="14" t="s">
        <v>452</v>
      </c>
      <c r="D17" s="29" t="s">
        <v>574</v>
      </c>
      <c r="E17" s="29" t="s">
        <v>577</v>
      </c>
      <c r="F17" s="57" t="s">
        <v>335</v>
      </c>
      <c r="G17" s="57" t="s">
        <v>283</v>
      </c>
      <c r="H17" s="58" t="s">
        <v>181</v>
      </c>
      <c r="I17" s="29" t="s">
        <v>585</v>
      </c>
      <c r="J17" s="29" t="s">
        <v>588</v>
      </c>
      <c r="K17" s="14" t="s">
        <v>591</v>
      </c>
      <c r="L17" s="57"/>
      <c r="M17" s="15"/>
      <c r="N17" s="15"/>
      <c r="O17" s="15"/>
      <c r="P17" s="15"/>
      <c r="Q17" s="15"/>
      <c r="R17" s="15"/>
      <c r="S17" s="15"/>
      <c r="T17" s="15"/>
      <c r="U17" s="15"/>
      <c r="V17" s="15"/>
      <c r="W17" s="15"/>
      <c r="X17" s="15"/>
      <c r="Y17" s="15"/>
      <c r="Z17" s="15"/>
    </row>
    <row r="18" ht="72.75" customHeight="1">
      <c r="A18" s="73" t="s">
        <v>127</v>
      </c>
      <c r="B18" s="74" t="s">
        <v>617</v>
      </c>
      <c r="C18" s="75" t="s">
        <v>208</v>
      </c>
      <c r="D18" s="75" t="s">
        <v>630</v>
      </c>
      <c r="E18" s="75" t="s">
        <v>636</v>
      </c>
      <c r="F18" s="77" t="s">
        <v>125</v>
      </c>
      <c r="G18" s="77" t="s">
        <v>130</v>
      </c>
      <c r="H18" s="78" t="s">
        <v>36</v>
      </c>
      <c r="I18" s="75" t="s">
        <v>645</v>
      </c>
      <c r="J18" s="75" t="s">
        <v>647</v>
      </c>
      <c r="K18" s="79" t="s">
        <v>652</v>
      </c>
      <c r="L18" s="77" t="s">
        <v>654</v>
      </c>
      <c r="M18" s="15"/>
      <c r="N18" s="15"/>
      <c r="O18" s="15"/>
      <c r="P18" s="15"/>
      <c r="Q18" s="15"/>
      <c r="R18" s="15"/>
      <c r="S18" s="15"/>
      <c r="T18" s="15"/>
      <c r="U18" s="15"/>
      <c r="V18" s="15"/>
      <c r="W18" s="15"/>
      <c r="X18" s="15"/>
      <c r="Y18" s="15"/>
      <c r="Z18" s="15"/>
    </row>
    <row r="19" ht="72.75" customHeight="1">
      <c r="A19" s="80" t="s">
        <v>658</v>
      </c>
      <c r="B19" s="81" t="s">
        <v>617</v>
      </c>
      <c r="C19" s="36" t="s">
        <v>208</v>
      </c>
      <c r="D19" s="36" t="s">
        <v>670</v>
      </c>
      <c r="E19" s="36" t="s">
        <v>674</v>
      </c>
      <c r="F19" s="82" t="s">
        <v>281</v>
      </c>
      <c r="G19" s="82" t="s">
        <v>175</v>
      </c>
      <c r="H19" s="83" t="s">
        <v>181</v>
      </c>
      <c r="I19" s="36" t="s">
        <v>686</v>
      </c>
      <c r="J19" s="36" t="s">
        <v>689</v>
      </c>
      <c r="K19" s="22" t="s">
        <v>691</v>
      </c>
      <c r="L19" s="82" t="s">
        <v>694</v>
      </c>
      <c r="M19" s="15"/>
      <c r="N19" s="15"/>
      <c r="O19" s="15"/>
      <c r="P19" s="15"/>
      <c r="Q19" s="15"/>
      <c r="R19" s="15"/>
      <c r="S19" s="15"/>
      <c r="T19" s="15"/>
      <c r="U19" s="15"/>
      <c r="V19" s="15"/>
      <c r="W19" s="15"/>
      <c r="X19" s="15"/>
      <c r="Y19" s="15"/>
      <c r="Z19" s="15"/>
    </row>
    <row r="20" ht="72.75" customHeight="1">
      <c r="A20" s="80" t="s">
        <v>704</v>
      </c>
      <c r="B20" s="81" t="s">
        <v>617</v>
      </c>
      <c r="C20" s="51" t="s">
        <v>45</v>
      </c>
      <c r="D20" s="52" t="s">
        <v>708</v>
      </c>
      <c r="E20" s="52" t="s">
        <v>710</v>
      </c>
      <c r="F20" s="53" t="s">
        <v>281</v>
      </c>
      <c r="G20" s="53" t="s">
        <v>175</v>
      </c>
      <c r="H20" s="58" t="s">
        <v>181</v>
      </c>
      <c r="I20" s="52" t="s">
        <v>715</v>
      </c>
      <c r="J20" s="52" t="s">
        <v>717</v>
      </c>
      <c r="K20" s="51" t="s">
        <v>720</v>
      </c>
      <c r="L20" s="53"/>
      <c r="M20" s="15"/>
      <c r="N20" s="15"/>
      <c r="O20" s="15"/>
      <c r="P20" s="15"/>
      <c r="Q20" s="15"/>
      <c r="R20" s="15"/>
      <c r="S20" s="15"/>
      <c r="T20" s="15"/>
      <c r="U20" s="15"/>
      <c r="V20" s="15"/>
      <c r="W20" s="15"/>
      <c r="X20" s="15"/>
      <c r="Y20" s="15"/>
      <c r="Z20" s="15"/>
    </row>
    <row r="21" ht="72.75" customHeight="1">
      <c r="A21" s="80" t="s">
        <v>726</v>
      </c>
      <c r="B21" s="81" t="s">
        <v>617</v>
      </c>
      <c r="C21" s="14" t="s">
        <v>294</v>
      </c>
      <c r="D21" s="29" t="s">
        <v>731</v>
      </c>
      <c r="E21" s="14" t="s">
        <v>733</v>
      </c>
      <c r="F21" s="57" t="s">
        <v>281</v>
      </c>
      <c r="G21" s="57" t="s">
        <v>175</v>
      </c>
      <c r="H21" s="58" t="s">
        <v>181</v>
      </c>
      <c r="I21" s="14" t="s">
        <v>735</v>
      </c>
      <c r="J21" s="29" t="s">
        <v>737</v>
      </c>
      <c r="K21" s="14" t="s">
        <v>738</v>
      </c>
      <c r="L21" s="57" t="s">
        <v>740</v>
      </c>
      <c r="M21" s="15"/>
      <c r="N21" s="15"/>
      <c r="O21" s="15"/>
      <c r="P21" s="15"/>
      <c r="Q21" s="15"/>
      <c r="R21" s="15"/>
      <c r="S21" s="15"/>
      <c r="T21" s="15"/>
      <c r="U21" s="15"/>
      <c r="V21" s="15"/>
      <c r="W21" s="15"/>
      <c r="X21" s="15"/>
      <c r="Y21" s="15"/>
      <c r="Z21" s="15"/>
    </row>
    <row r="22" ht="114.0" customHeight="1">
      <c r="A22" s="80" t="s">
        <v>749</v>
      </c>
      <c r="B22" s="81" t="s">
        <v>617</v>
      </c>
      <c r="C22" s="22" t="s">
        <v>45</v>
      </c>
      <c r="D22" s="36" t="s">
        <v>751</v>
      </c>
      <c r="E22" s="36" t="s">
        <v>754</v>
      </c>
      <c r="F22" s="82" t="s">
        <v>281</v>
      </c>
      <c r="G22" s="82" t="s">
        <v>175</v>
      </c>
      <c r="H22" s="83" t="s">
        <v>181</v>
      </c>
      <c r="I22" s="22" t="s">
        <v>759</v>
      </c>
      <c r="J22" s="36" t="s">
        <v>760</v>
      </c>
      <c r="K22" s="22" t="s">
        <v>761</v>
      </c>
      <c r="L22" s="82" t="s">
        <v>762</v>
      </c>
      <c r="M22" s="15"/>
      <c r="N22" s="15"/>
      <c r="O22" s="15"/>
      <c r="P22" s="15"/>
      <c r="Q22" s="15"/>
      <c r="R22" s="15"/>
      <c r="S22" s="15"/>
      <c r="T22" s="15"/>
      <c r="U22" s="15"/>
      <c r="V22" s="15"/>
      <c r="W22" s="15"/>
      <c r="X22" s="15"/>
      <c r="Y22" s="15"/>
      <c r="Z22" s="15"/>
    </row>
    <row r="23" ht="58.5" customHeight="1">
      <c r="A23" s="80" t="s">
        <v>765</v>
      </c>
      <c r="B23" s="81" t="s">
        <v>617</v>
      </c>
      <c r="C23" s="22" t="s">
        <v>45</v>
      </c>
      <c r="D23" s="36" t="s">
        <v>766</v>
      </c>
      <c r="E23" s="36" t="s">
        <v>767</v>
      </c>
      <c r="F23" s="82" t="s">
        <v>281</v>
      </c>
      <c r="G23" s="82" t="s">
        <v>175</v>
      </c>
      <c r="H23" s="83" t="s">
        <v>181</v>
      </c>
      <c r="I23" s="36" t="s">
        <v>770</v>
      </c>
      <c r="J23" s="36" t="s">
        <v>771</v>
      </c>
      <c r="K23" s="22" t="s">
        <v>772</v>
      </c>
      <c r="L23" s="82" t="s">
        <v>773</v>
      </c>
      <c r="M23" s="15"/>
      <c r="N23" s="15"/>
      <c r="O23" s="15"/>
      <c r="P23" s="15"/>
      <c r="Q23" s="15"/>
      <c r="R23" s="15"/>
      <c r="S23" s="15"/>
      <c r="T23" s="15"/>
      <c r="U23" s="15"/>
      <c r="V23" s="15"/>
      <c r="W23" s="15"/>
      <c r="X23" s="15"/>
      <c r="Y23" s="15"/>
      <c r="Z23" s="15"/>
    </row>
    <row r="24" ht="72.75" customHeight="1">
      <c r="A24" s="85" t="s">
        <v>776</v>
      </c>
      <c r="B24" s="86" t="s">
        <v>617</v>
      </c>
      <c r="C24" s="87" t="s">
        <v>779</v>
      </c>
      <c r="D24" s="88" t="s">
        <v>780</v>
      </c>
      <c r="E24" s="88" t="s">
        <v>781</v>
      </c>
      <c r="F24" s="89" t="s">
        <v>125</v>
      </c>
      <c r="G24" s="91" t="s">
        <v>73</v>
      </c>
      <c r="H24" s="92" t="s">
        <v>181</v>
      </c>
      <c r="I24" s="88" t="s">
        <v>783</v>
      </c>
      <c r="J24" s="88" t="s">
        <v>784</v>
      </c>
      <c r="K24" s="87" t="s">
        <v>786</v>
      </c>
      <c r="L24" s="93" t="s">
        <v>788</v>
      </c>
      <c r="M24" s="15"/>
      <c r="N24" s="15"/>
      <c r="O24" s="15"/>
      <c r="P24" s="15"/>
      <c r="Q24" s="15"/>
      <c r="R24" s="15"/>
      <c r="S24" s="15"/>
      <c r="T24" s="15"/>
      <c r="U24" s="15"/>
      <c r="V24" s="15"/>
      <c r="W24" s="15"/>
      <c r="X24" s="15"/>
      <c r="Y24" s="15"/>
      <c r="Z24" s="15"/>
    </row>
    <row r="25" ht="86.25" customHeight="1">
      <c r="A25" s="80" t="s">
        <v>791</v>
      </c>
      <c r="B25" s="81" t="s">
        <v>617</v>
      </c>
      <c r="C25" s="22" t="s">
        <v>45</v>
      </c>
      <c r="D25" s="36" t="s">
        <v>792</v>
      </c>
      <c r="E25" s="36" t="s">
        <v>793</v>
      </c>
      <c r="F25" s="82" t="s">
        <v>281</v>
      </c>
      <c r="G25" s="82" t="s">
        <v>175</v>
      </c>
      <c r="H25" s="83" t="s">
        <v>181</v>
      </c>
      <c r="I25" s="36" t="s">
        <v>794</v>
      </c>
      <c r="J25" s="36" t="s">
        <v>796</v>
      </c>
      <c r="K25" s="22" t="s">
        <v>798</v>
      </c>
      <c r="L25" s="82" t="s">
        <v>799</v>
      </c>
      <c r="M25" s="15"/>
      <c r="N25" s="15"/>
      <c r="O25" s="15"/>
      <c r="P25" s="15"/>
      <c r="Q25" s="15"/>
      <c r="R25" s="15"/>
      <c r="S25" s="15"/>
      <c r="T25" s="15"/>
      <c r="U25" s="15"/>
      <c r="V25" s="15"/>
      <c r="W25" s="15"/>
      <c r="X25" s="15"/>
      <c r="Y25" s="15"/>
      <c r="Z25" s="15"/>
    </row>
    <row r="26" ht="86.25" customHeight="1">
      <c r="A26" s="94" t="s">
        <v>802</v>
      </c>
      <c r="B26" s="95" t="s">
        <v>804</v>
      </c>
      <c r="C26" s="96" t="s">
        <v>556</v>
      </c>
      <c r="D26" s="97" t="s">
        <v>808</v>
      </c>
      <c r="E26" s="97" t="s">
        <v>811</v>
      </c>
      <c r="F26" s="98" t="s">
        <v>125</v>
      </c>
      <c r="G26" s="98" t="s">
        <v>175</v>
      </c>
      <c r="H26" s="69" t="s">
        <v>181</v>
      </c>
      <c r="I26" s="97" t="s">
        <v>812</v>
      </c>
      <c r="J26" s="97" t="s">
        <v>814</v>
      </c>
      <c r="K26" s="96" t="s">
        <v>816</v>
      </c>
      <c r="L26" s="98"/>
      <c r="M26" s="15"/>
      <c r="N26" s="15"/>
      <c r="O26" s="15"/>
      <c r="P26" s="15"/>
      <c r="Q26" s="15"/>
      <c r="R26" s="15"/>
      <c r="S26" s="15"/>
      <c r="T26" s="15"/>
      <c r="U26" s="15"/>
      <c r="V26" s="15"/>
      <c r="W26" s="15"/>
      <c r="X26" s="15"/>
      <c r="Y26" s="15"/>
      <c r="Z26" s="15"/>
    </row>
    <row r="27" ht="100.5" customHeight="1">
      <c r="A27" s="99" t="s">
        <v>818</v>
      </c>
      <c r="B27" s="100" t="s">
        <v>804</v>
      </c>
      <c r="C27" s="22" t="s">
        <v>294</v>
      </c>
      <c r="D27" s="36" t="s">
        <v>822</v>
      </c>
      <c r="E27" s="36" t="s">
        <v>823</v>
      </c>
      <c r="F27" s="82" t="s">
        <v>125</v>
      </c>
      <c r="G27" s="82" t="s">
        <v>130</v>
      </c>
      <c r="H27" s="83" t="s">
        <v>36</v>
      </c>
      <c r="I27" s="36" t="s">
        <v>824</v>
      </c>
      <c r="J27" s="36" t="s">
        <v>825</v>
      </c>
      <c r="K27" s="22" t="s">
        <v>827</v>
      </c>
      <c r="L27" s="82" t="s">
        <v>828</v>
      </c>
      <c r="M27" s="15"/>
      <c r="N27" s="15"/>
      <c r="O27" s="15"/>
      <c r="P27" s="15"/>
      <c r="Q27" s="15"/>
      <c r="R27" s="15"/>
      <c r="S27" s="15"/>
      <c r="T27" s="15"/>
      <c r="U27" s="15"/>
      <c r="V27" s="15"/>
      <c r="W27" s="15"/>
      <c r="X27" s="15"/>
      <c r="Y27" s="15"/>
      <c r="Z27" s="15"/>
    </row>
    <row r="28" ht="58.5" customHeight="1">
      <c r="A28" s="99" t="s">
        <v>830</v>
      </c>
      <c r="B28" s="100" t="s">
        <v>804</v>
      </c>
      <c r="C28" s="22" t="s">
        <v>294</v>
      </c>
      <c r="D28" s="22" t="s">
        <v>832</v>
      </c>
      <c r="E28" s="36" t="s">
        <v>834</v>
      </c>
      <c r="F28" s="82" t="s">
        <v>281</v>
      </c>
      <c r="G28" s="82" t="s">
        <v>175</v>
      </c>
      <c r="H28" s="83" t="s">
        <v>181</v>
      </c>
      <c r="I28" s="36" t="s">
        <v>835</v>
      </c>
      <c r="J28" s="22" t="s">
        <v>836</v>
      </c>
      <c r="K28" s="22" t="s">
        <v>837</v>
      </c>
      <c r="L28" s="82" t="s">
        <v>838</v>
      </c>
      <c r="M28" s="15"/>
      <c r="N28" s="15"/>
      <c r="O28" s="15"/>
      <c r="P28" s="15"/>
      <c r="Q28" s="15"/>
      <c r="R28" s="15"/>
      <c r="S28" s="15"/>
      <c r="T28" s="15"/>
      <c r="U28" s="15"/>
      <c r="V28" s="15"/>
      <c r="W28" s="15"/>
      <c r="X28" s="15"/>
      <c r="Y28" s="15"/>
      <c r="Z28" s="15"/>
    </row>
    <row r="29" ht="45.0" customHeight="1">
      <c r="A29" s="99" t="s">
        <v>841</v>
      </c>
      <c r="B29" s="100" t="s">
        <v>804</v>
      </c>
      <c r="C29" s="22" t="s">
        <v>294</v>
      </c>
      <c r="D29" s="36" t="s">
        <v>842</v>
      </c>
      <c r="E29" s="22" t="s">
        <v>843</v>
      </c>
      <c r="F29" s="82" t="s">
        <v>281</v>
      </c>
      <c r="G29" s="82" t="s">
        <v>175</v>
      </c>
      <c r="H29" s="83" t="s">
        <v>181</v>
      </c>
      <c r="I29" s="36" t="s">
        <v>845</v>
      </c>
      <c r="J29" s="22" t="s">
        <v>836</v>
      </c>
      <c r="K29" s="22" t="s">
        <v>847</v>
      </c>
      <c r="L29" s="82" t="s">
        <v>848</v>
      </c>
      <c r="M29" s="15"/>
      <c r="N29" s="15"/>
      <c r="O29" s="15"/>
      <c r="P29" s="15"/>
      <c r="Q29" s="15"/>
      <c r="R29" s="15"/>
      <c r="S29" s="15"/>
      <c r="T29" s="15"/>
      <c r="U29" s="15"/>
      <c r="V29" s="15"/>
      <c r="W29" s="15"/>
      <c r="X29" s="15"/>
      <c r="Y29" s="15"/>
      <c r="Z29" s="15"/>
    </row>
    <row r="30" ht="58.5" customHeight="1">
      <c r="A30" s="99" t="s">
        <v>850</v>
      </c>
      <c r="B30" s="100" t="s">
        <v>804</v>
      </c>
      <c r="C30" s="22" t="s">
        <v>294</v>
      </c>
      <c r="D30" s="36" t="s">
        <v>852</v>
      </c>
      <c r="E30" s="36" t="s">
        <v>853</v>
      </c>
      <c r="F30" s="82" t="s">
        <v>281</v>
      </c>
      <c r="G30" s="82" t="s">
        <v>175</v>
      </c>
      <c r="H30" s="83" t="s">
        <v>181</v>
      </c>
      <c r="I30" s="36" t="s">
        <v>854</v>
      </c>
      <c r="J30" s="36" t="s">
        <v>855</v>
      </c>
      <c r="K30" s="22" t="s">
        <v>856</v>
      </c>
      <c r="L30" s="82" t="s">
        <v>858</v>
      </c>
      <c r="M30" s="15"/>
      <c r="N30" s="15"/>
      <c r="O30" s="15"/>
      <c r="P30" s="15"/>
      <c r="Q30" s="15"/>
      <c r="R30" s="15"/>
      <c r="S30" s="15"/>
      <c r="T30" s="15"/>
      <c r="U30" s="15"/>
      <c r="V30" s="15"/>
      <c r="W30" s="15"/>
      <c r="X30" s="15"/>
      <c r="Y30" s="15"/>
      <c r="Z30" s="15"/>
    </row>
    <row r="31" ht="72.75" customHeight="1">
      <c r="A31" s="99" t="s">
        <v>860</v>
      </c>
      <c r="B31" s="100" t="s">
        <v>804</v>
      </c>
      <c r="C31" s="22" t="s">
        <v>294</v>
      </c>
      <c r="D31" s="36" t="s">
        <v>861</v>
      </c>
      <c r="E31" s="36" t="s">
        <v>863</v>
      </c>
      <c r="F31" s="82" t="s">
        <v>125</v>
      </c>
      <c r="G31" s="82" t="s">
        <v>130</v>
      </c>
      <c r="H31" s="83" t="s">
        <v>36</v>
      </c>
      <c r="I31" s="36" t="s">
        <v>865</v>
      </c>
      <c r="J31" s="36" t="s">
        <v>866</v>
      </c>
      <c r="K31" s="22" t="s">
        <v>867</v>
      </c>
      <c r="L31" s="82" t="s">
        <v>868</v>
      </c>
      <c r="M31" s="15"/>
      <c r="N31" s="15"/>
      <c r="O31" s="15"/>
      <c r="P31" s="15"/>
      <c r="Q31" s="15"/>
      <c r="R31" s="15"/>
      <c r="S31" s="15"/>
      <c r="T31" s="15"/>
      <c r="U31" s="15"/>
      <c r="V31" s="15"/>
      <c r="W31" s="15"/>
      <c r="X31" s="15"/>
      <c r="Y31" s="15"/>
      <c r="Z31" s="15"/>
    </row>
    <row r="32" ht="31.5" customHeight="1">
      <c r="A32" s="99" t="s">
        <v>172</v>
      </c>
      <c r="B32" s="100" t="s">
        <v>804</v>
      </c>
      <c r="C32" s="51" t="s">
        <v>294</v>
      </c>
      <c r="D32" s="52" t="s">
        <v>871</v>
      </c>
      <c r="E32" s="52" t="s">
        <v>872</v>
      </c>
      <c r="F32" s="53" t="s">
        <v>281</v>
      </c>
      <c r="G32" s="53" t="s">
        <v>175</v>
      </c>
      <c r="H32" s="58" t="s">
        <v>181</v>
      </c>
      <c r="I32" s="52" t="s">
        <v>873</v>
      </c>
      <c r="J32" s="52" t="s">
        <v>874</v>
      </c>
      <c r="K32" s="52" t="s">
        <v>875</v>
      </c>
      <c r="L32" s="53"/>
      <c r="M32" s="15"/>
      <c r="N32" s="15"/>
      <c r="O32" s="15"/>
      <c r="P32" s="15"/>
      <c r="Q32" s="15"/>
      <c r="R32" s="15"/>
      <c r="S32" s="15"/>
      <c r="T32" s="15"/>
      <c r="U32" s="15"/>
      <c r="V32" s="15"/>
      <c r="W32" s="15"/>
      <c r="X32" s="15"/>
      <c r="Y32" s="15"/>
      <c r="Z32" s="15"/>
    </row>
    <row r="33" ht="86.25" customHeight="1">
      <c r="A33" s="99" t="s">
        <v>878</v>
      </c>
      <c r="B33" s="100" t="s">
        <v>804</v>
      </c>
      <c r="C33" s="22" t="s">
        <v>436</v>
      </c>
      <c r="D33" s="36" t="s">
        <v>879</v>
      </c>
      <c r="E33" s="36" t="s">
        <v>881</v>
      </c>
      <c r="F33" s="82" t="s">
        <v>125</v>
      </c>
      <c r="G33" s="82" t="s">
        <v>130</v>
      </c>
      <c r="H33" s="83" t="s">
        <v>36</v>
      </c>
      <c r="I33" s="36" t="s">
        <v>883</v>
      </c>
      <c r="J33" s="22" t="s">
        <v>836</v>
      </c>
      <c r="K33" s="22" t="s">
        <v>884</v>
      </c>
      <c r="L33" s="82" t="s">
        <v>885</v>
      </c>
      <c r="M33" s="15"/>
      <c r="N33" s="15"/>
      <c r="O33" s="15"/>
      <c r="P33" s="15"/>
      <c r="Q33" s="15"/>
      <c r="R33" s="15"/>
      <c r="S33" s="15"/>
      <c r="T33" s="15"/>
      <c r="U33" s="15"/>
      <c r="V33" s="15"/>
      <c r="W33" s="15"/>
      <c r="X33" s="15"/>
      <c r="Y33" s="15"/>
      <c r="Z33" s="15"/>
    </row>
    <row r="34" ht="169.5" customHeight="1">
      <c r="A34" s="99" t="s">
        <v>888</v>
      </c>
      <c r="B34" s="100" t="s">
        <v>804</v>
      </c>
      <c r="C34" s="22" t="s">
        <v>436</v>
      </c>
      <c r="D34" s="36" t="s">
        <v>889</v>
      </c>
      <c r="E34" s="36" t="s">
        <v>891</v>
      </c>
      <c r="F34" s="82" t="s">
        <v>125</v>
      </c>
      <c r="G34" s="82" t="s">
        <v>130</v>
      </c>
      <c r="H34" s="83" t="s">
        <v>36</v>
      </c>
      <c r="I34" s="36" t="s">
        <v>892</v>
      </c>
      <c r="J34" s="36" t="s">
        <v>893</v>
      </c>
      <c r="K34" s="22" t="s">
        <v>895</v>
      </c>
      <c r="L34" s="83" t="s">
        <v>896</v>
      </c>
      <c r="M34" s="15"/>
      <c r="N34" s="15"/>
      <c r="O34" s="15"/>
      <c r="P34" s="15"/>
      <c r="Q34" s="15"/>
      <c r="R34" s="15"/>
      <c r="S34" s="15"/>
      <c r="T34" s="15"/>
      <c r="U34" s="15"/>
      <c r="V34" s="15"/>
      <c r="W34" s="15"/>
      <c r="X34" s="15"/>
      <c r="Y34" s="15"/>
      <c r="Z34" s="15"/>
    </row>
    <row r="35" ht="72.75" customHeight="1">
      <c r="A35" s="99" t="s">
        <v>898</v>
      </c>
      <c r="B35" s="100" t="s">
        <v>804</v>
      </c>
      <c r="C35" s="22" t="s">
        <v>359</v>
      </c>
      <c r="D35" s="36" t="s">
        <v>900</v>
      </c>
      <c r="E35" s="36" t="s">
        <v>901</v>
      </c>
      <c r="F35" s="82" t="s">
        <v>125</v>
      </c>
      <c r="G35" s="82" t="s">
        <v>175</v>
      </c>
      <c r="H35" s="83" t="s">
        <v>181</v>
      </c>
      <c r="I35" s="36" t="s">
        <v>902</v>
      </c>
      <c r="J35" s="36" t="s">
        <v>903</v>
      </c>
      <c r="K35" s="22" t="s">
        <v>904</v>
      </c>
      <c r="L35" s="82" t="s">
        <v>905</v>
      </c>
      <c r="M35" s="15"/>
      <c r="N35" s="15"/>
      <c r="O35" s="15"/>
      <c r="P35" s="15"/>
      <c r="Q35" s="15"/>
      <c r="R35" s="15"/>
      <c r="S35" s="15"/>
      <c r="T35" s="15"/>
      <c r="U35" s="15"/>
      <c r="V35" s="15"/>
      <c r="W35" s="15"/>
      <c r="X35" s="15"/>
      <c r="Y35" s="15"/>
      <c r="Z35" s="15"/>
    </row>
    <row r="36" ht="86.25" customHeight="1">
      <c r="A36" s="99" t="s">
        <v>908</v>
      </c>
      <c r="B36" s="100" t="s">
        <v>804</v>
      </c>
      <c r="C36" s="36" t="s">
        <v>909</v>
      </c>
      <c r="D36" s="36" t="s">
        <v>910</v>
      </c>
      <c r="E36" s="36" t="s">
        <v>912</v>
      </c>
      <c r="F36" s="82" t="s">
        <v>281</v>
      </c>
      <c r="G36" s="82" t="s">
        <v>175</v>
      </c>
      <c r="H36" s="83" t="s">
        <v>181</v>
      </c>
      <c r="I36" s="36" t="s">
        <v>914</v>
      </c>
      <c r="J36" s="22" t="s">
        <v>836</v>
      </c>
      <c r="K36" s="22" t="s">
        <v>915</v>
      </c>
      <c r="L36" s="82" t="s">
        <v>916</v>
      </c>
      <c r="M36" s="15"/>
      <c r="N36" s="15"/>
      <c r="O36" s="15"/>
      <c r="P36" s="15"/>
      <c r="Q36" s="15"/>
      <c r="R36" s="15"/>
      <c r="S36" s="15"/>
      <c r="T36" s="15"/>
      <c r="U36" s="15"/>
      <c r="V36" s="15"/>
      <c r="W36" s="15"/>
      <c r="X36" s="15"/>
      <c r="Y36" s="15"/>
      <c r="Z36" s="15"/>
    </row>
    <row r="37" ht="72.75" customHeight="1">
      <c r="A37" s="101" t="s">
        <v>919</v>
      </c>
      <c r="B37" s="102" t="s">
        <v>804</v>
      </c>
      <c r="C37" s="87" t="s">
        <v>126</v>
      </c>
      <c r="D37" s="88" t="s">
        <v>922</v>
      </c>
      <c r="E37" s="88" t="s">
        <v>923</v>
      </c>
      <c r="F37" s="89" t="s">
        <v>125</v>
      </c>
      <c r="G37" s="91" t="s">
        <v>73</v>
      </c>
      <c r="H37" s="92" t="s">
        <v>181</v>
      </c>
      <c r="I37" s="88" t="s">
        <v>924</v>
      </c>
      <c r="J37" s="88" t="s">
        <v>926</v>
      </c>
      <c r="K37" s="87" t="s">
        <v>927</v>
      </c>
      <c r="L37" s="93" t="s">
        <v>929</v>
      </c>
      <c r="M37" s="15"/>
      <c r="N37" s="15"/>
      <c r="O37" s="15"/>
      <c r="P37" s="15"/>
      <c r="Q37" s="15"/>
      <c r="R37" s="15"/>
      <c r="S37" s="15"/>
      <c r="T37" s="15"/>
      <c r="U37" s="15"/>
      <c r="V37" s="15"/>
      <c r="W37" s="15"/>
      <c r="X37" s="15"/>
      <c r="Y37" s="15"/>
      <c r="Z37" s="15"/>
    </row>
    <row r="38" ht="58.5" customHeight="1">
      <c r="A38" s="99" t="s">
        <v>930</v>
      </c>
      <c r="B38" s="100" t="s">
        <v>804</v>
      </c>
      <c r="C38" s="51" t="s">
        <v>294</v>
      </c>
      <c r="D38" s="52" t="s">
        <v>932</v>
      </c>
      <c r="E38" s="52" t="s">
        <v>933</v>
      </c>
      <c r="F38" s="53" t="s">
        <v>281</v>
      </c>
      <c r="G38" s="53" t="s">
        <v>175</v>
      </c>
      <c r="H38" s="58" t="s">
        <v>181</v>
      </c>
      <c r="I38" s="52" t="s">
        <v>934</v>
      </c>
      <c r="J38" s="52" t="s">
        <v>935</v>
      </c>
      <c r="K38" s="51" t="s">
        <v>936</v>
      </c>
      <c r="L38" s="53"/>
      <c r="M38" s="15"/>
      <c r="N38" s="15"/>
      <c r="O38" s="15"/>
      <c r="P38" s="15"/>
      <c r="Q38" s="15"/>
      <c r="R38" s="15"/>
      <c r="S38" s="15"/>
      <c r="T38" s="15"/>
      <c r="U38" s="15"/>
      <c r="V38" s="15"/>
      <c r="W38" s="15"/>
      <c r="X38" s="15"/>
      <c r="Y38" s="15"/>
      <c r="Z38" s="15"/>
    </row>
    <row r="39" ht="127.5" customHeight="1">
      <c r="A39" s="99" t="s">
        <v>939</v>
      </c>
      <c r="B39" s="100" t="s">
        <v>804</v>
      </c>
      <c r="C39" s="63" t="s">
        <v>909</v>
      </c>
      <c r="D39" s="63" t="s">
        <v>940</v>
      </c>
      <c r="E39" s="103" t="s">
        <v>943</v>
      </c>
      <c r="F39" s="103" t="s">
        <v>281</v>
      </c>
      <c r="G39" s="103" t="s">
        <v>175</v>
      </c>
      <c r="H39" s="103" t="s">
        <v>181</v>
      </c>
      <c r="I39" s="63" t="s">
        <v>944</v>
      </c>
      <c r="J39" s="103" t="s">
        <v>945</v>
      </c>
      <c r="K39" s="103" t="s">
        <v>946</v>
      </c>
      <c r="L39" s="103" t="s">
        <v>947</v>
      </c>
      <c r="M39" s="15"/>
      <c r="N39" s="15"/>
      <c r="O39" s="15"/>
      <c r="P39" s="15"/>
      <c r="Q39" s="15"/>
      <c r="R39" s="15"/>
      <c r="S39" s="15"/>
      <c r="T39" s="15"/>
      <c r="U39" s="15"/>
      <c r="V39" s="15"/>
      <c r="W39" s="15"/>
      <c r="X39" s="15"/>
      <c r="Y39" s="15"/>
      <c r="Z39" s="15"/>
    </row>
    <row r="40" ht="45.0" customHeight="1">
      <c r="A40" s="99" t="s">
        <v>950</v>
      </c>
      <c r="B40" s="100" t="s">
        <v>804</v>
      </c>
      <c r="C40" s="63" t="s">
        <v>909</v>
      </c>
      <c r="D40" s="63" t="s">
        <v>951</v>
      </c>
      <c r="E40" s="103" t="s">
        <v>952</v>
      </c>
      <c r="F40" s="103" t="s">
        <v>281</v>
      </c>
      <c r="G40" s="103" t="s">
        <v>175</v>
      </c>
      <c r="H40" s="103" t="s">
        <v>181</v>
      </c>
      <c r="I40" s="63" t="s">
        <v>954</v>
      </c>
      <c r="J40" s="63" t="s">
        <v>956</v>
      </c>
      <c r="K40" s="103" t="s">
        <v>957</v>
      </c>
      <c r="L40" s="103" t="s">
        <v>947</v>
      </c>
      <c r="M40" s="15"/>
      <c r="N40" s="15"/>
      <c r="O40" s="15"/>
      <c r="P40" s="15"/>
      <c r="Q40" s="15"/>
      <c r="R40" s="15"/>
      <c r="S40" s="15"/>
      <c r="T40" s="15"/>
      <c r="U40" s="15"/>
      <c r="V40" s="15"/>
      <c r="W40" s="15"/>
      <c r="X40" s="15"/>
      <c r="Y40" s="15"/>
      <c r="Z40" s="15"/>
    </row>
    <row r="41" ht="45.0" customHeight="1">
      <c r="A41" s="94" t="s">
        <v>958</v>
      </c>
      <c r="B41" s="104" t="s">
        <v>960</v>
      </c>
      <c r="C41" s="79" t="s">
        <v>294</v>
      </c>
      <c r="D41" s="75" t="s">
        <v>962</v>
      </c>
      <c r="E41" s="75" t="s">
        <v>963</v>
      </c>
      <c r="F41" s="77" t="s">
        <v>125</v>
      </c>
      <c r="G41" s="77" t="s">
        <v>130</v>
      </c>
      <c r="H41" s="78" t="s">
        <v>36</v>
      </c>
      <c r="I41" s="75" t="s">
        <v>964</v>
      </c>
      <c r="J41" s="75" t="s">
        <v>965</v>
      </c>
      <c r="K41" s="79" t="s">
        <v>967</v>
      </c>
      <c r="L41" s="77" t="s">
        <v>968</v>
      </c>
      <c r="M41" s="15"/>
      <c r="N41" s="15"/>
      <c r="O41" s="15"/>
      <c r="P41" s="15"/>
      <c r="Q41" s="15"/>
      <c r="R41" s="15"/>
      <c r="S41" s="15"/>
      <c r="T41" s="15"/>
      <c r="U41" s="15"/>
      <c r="V41" s="15"/>
      <c r="W41" s="15"/>
      <c r="X41" s="15"/>
      <c r="Y41" s="15"/>
      <c r="Z41" s="15"/>
    </row>
    <row r="42" ht="31.5" customHeight="1">
      <c r="A42" s="99" t="s">
        <v>970</v>
      </c>
      <c r="B42" s="105" t="s">
        <v>960</v>
      </c>
      <c r="C42" s="51" t="s">
        <v>294</v>
      </c>
      <c r="D42" s="52" t="s">
        <v>973</v>
      </c>
      <c r="E42" s="52" t="s">
        <v>974</v>
      </c>
      <c r="F42" s="53" t="s">
        <v>125</v>
      </c>
      <c r="G42" s="53" t="s">
        <v>130</v>
      </c>
      <c r="H42" s="54" t="s">
        <v>36</v>
      </c>
      <c r="I42" s="52" t="s">
        <v>975</v>
      </c>
      <c r="J42" s="51" t="s">
        <v>472</v>
      </c>
      <c r="K42" s="52" t="s">
        <v>976</v>
      </c>
      <c r="L42" s="53"/>
      <c r="M42" s="15"/>
      <c r="N42" s="15"/>
      <c r="O42" s="15"/>
      <c r="P42" s="15"/>
      <c r="Q42" s="15"/>
      <c r="R42" s="15"/>
      <c r="S42" s="15"/>
      <c r="T42" s="15"/>
      <c r="U42" s="15"/>
      <c r="V42" s="15"/>
      <c r="W42" s="15"/>
      <c r="X42" s="15"/>
      <c r="Y42" s="15"/>
      <c r="Z42" s="15"/>
    </row>
    <row r="43" ht="72.75" customHeight="1">
      <c r="A43" s="99" t="s">
        <v>979</v>
      </c>
      <c r="B43" s="105" t="s">
        <v>960</v>
      </c>
      <c r="C43" s="14" t="s">
        <v>294</v>
      </c>
      <c r="D43" s="29" t="s">
        <v>980</v>
      </c>
      <c r="E43" s="29" t="s">
        <v>981</v>
      </c>
      <c r="F43" s="57" t="s">
        <v>125</v>
      </c>
      <c r="G43" s="57" t="s">
        <v>130</v>
      </c>
      <c r="H43" s="54" t="s">
        <v>36</v>
      </c>
      <c r="I43" s="29" t="s">
        <v>982</v>
      </c>
      <c r="J43" s="29" t="s">
        <v>983</v>
      </c>
      <c r="K43" s="14" t="s">
        <v>984</v>
      </c>
      <c r="L43" s="57"/>
      <c r="M43" s="15"/>
      <c r="N43" s="15"/>
      <c r="O43" s="15"/>
      <c r="P43" s="15"/>
      <c r="Q43" s="15"/>
      <c r="R43" s="15"/>
      <c r="S43" s="15"/>
      <c r="T43" s="15"/>
      <c r="U43" s="15"/>
      <c r="V43" s="15"/>
      <c r="W43" s="15"/>
      <c r="X43" s="15"/>
      <c r="Y43" s="15"/>
      <c r="Z43" s="15"/>
    </row>
    <row r="44" ht="45.0" customHeight="1">
      <c r="A44" s="99" t="s">
        <v>987</v>
      </c>
      <c r="B44" s="105" t="s">
        <v>960</v>
      </c>
      <c r="C44" s="51" t="s">
        <v>294</v>
      </c>
      <c r="D44" s="52" t="s">
        <v>988</v>
      </c>
      <c r="E44" s="52" t="s">
        <v>989</v>
      </c>
      <c r="F44" s="53" t="s">
        <v>125</v>
      </c>
      <c r="G44" s="53" t="s">
        <v>130</v>
      </c>
      <c r="H44" s="54" t="s">
        <v>36</v>
      </c>
      <c r="I44" s="52" t="s">
        <v>992</v>
      </c>
      <c r="J44" s="52" t="s">
        <v>993</v>
      </c>
      <c r="K44" s="51" t="s">
        <v>994</v>
      </c>
      <c r="L44" s="53"/>
      <c r="M44" s="15"/>
      <c r="N44" s="15"/>
      <c r="O44" s="15"/>
      <c r="P44" s="15"/>
      <c r="Q44" s="15"/>
      <c r="R44" s="15"/>
      <c r="S44" s="15"/>
      <c r="T44" s="15"/>
      <c r="U44" s="15"/>
      <c r="V44" s="15"/>
      <c r="W44" s="15"/>
      <c r="X44" s="15"/>
      <c r="Y44" s="15"/>
      <c r="Z44" s="15"/>
    </row>
    <row r="45" ht="72.75" customHeight="1">
      <c r="A45" s="99" t="s">
        <v>996</v>
      </c>
      <c r="B45" s="105" t="s">
        <v>960</v>
      </c>
      <c r="C45" s="14" t="s">
        <v>294</v>
      </c>
      <c r="D45" s="29" t="s">
        <v>998</v>
      </c>
      <c r="E45" s="29" t="s">
        <v>999</v>
      </c>
      <c r="F45" s="57" t="s">
        <v>125</v>
      </c>
      <c r="G45" s="57" t="s">
        <v>130</v>
      </c>
      <c r="H45" s="54" t="s">
        <v>36</v>
      </c>
      <c r="I45" s="29" t="s">
        <v>1000</v>
      </c>
      <c r="J45" s="29" t="s">
        <v>1001</v>
      </c>
      <c r="K45" s="14" t="s">
        <v>1002</v>
      </c>
      <c r="L45" s="57"/>
      <c r="M45" s="15"/>
      <c r="N45" s="15"/>
      <c r="O45" s="15"/>
      <c r="P45" s="15"/>
      <c r="Q45" s="15"/>
      <c r="R45" s="15"/>
      <c r="S45" s="15"/>
      <c r="T45" s="15"/>
      <c r="U45" s="15"/>
      <c r="V45" s="15"/>
      <c r="W45" s="15"/>
      <c r="X45" s="15"/>
      <c r="Y45" s="15"/>
      <c r="Z45" s="15"/>
    </row>
    <row r="46" ht="31.5" customHeight="1">
      <c r="A46" s="99" t="s">
        <v>224</v>
      </c>
      <c r="B46" s="105" t="s">
        <v>960</v>
      </c>
      <c r="C46" s="51" t="s">
        <v>294</v>
      </c>
      <c r="D46" s="52" t="s">
        <v>1005</v>
      </c>
      <c r="E46" s="52" t="s">
        <v>1006</v>
      </c>
      <c r="F46" s="53" t="s">
        <v>125</v>
      </c>
      <c r="G46" s="53" t="s">
        <v>130</v>
      </c>
      <c r="H46" s="54" t="s">
        <v>36</v>
      </c>
      <c r="I46" s="52" t="s">
        <v>1007</v>
      </c>
      <c r="J46" s="52" t="s">
        <v>1009</v>
      </c>
      <c r="K46" s="51"/>
      <c r="L46" s="53"/>
      <c r="M46" s="15"/>
      <c r="N46" s="15"/>
      <c r="O46" s="15"/>
      <c r="P46" s="15"/>
      <c r="Q46" s="15"/>
      <c r="R46" s="15"/>
      <c r="S46" s="15"/>
      <c r="T46" s="15"/>
      <c r="U46" s="15"/>
      <c r="V46" s="15"/>
      <c r="W46" s="15"/>
      <c r="X46" s="15"/>
      <c r="Y46" s="15"/>
      <c r="Z46" s="15"/>
    </row>
    <row r="47" ht="100.5" customHeight="1">
      <c r="A47" s="99" t="s">
        <v>1011</v>
      </c>
      <c r="B47" s="105" t="s">
        <v>960</v>
      </c>
      <c r="C47" s="22" t="s">
        <v>294</v>
      </c>
      <c r="D47" s="36" t="s">
        <v>1013</v>
      </c>
      <c r="E47" s="36" t="s">
        <v>1015</v>
      </c>
      <c r="F47" s="82" t="s">
        <v>281</v>
      </c>
      <c r="G47" s="82" t="s">
        <v>175</v>
      </c>
      <c r="H47" s="83" t="s">
        <v>181</v>
      </c>
      <c r="I47" s="36" t="s">
        <v>1016</v>
      </c>
      <c r="J47" s="36" t="s">
        <v>1017</v>
      </c>
      <c r="K47" s="22" t="s">
        <v>1018</v>
      </c>
      <c r="L47" s="82" t="s">
        <v>1019</v>
      </c>
      <c r="M47" s="15"/>
      <c r="N47" s="15"/>
      <c r="O47" s="15"/>
      <c r="P47" s="15"/>
      <c r="Q47" s="15"/>
      <c r="R47" s="15"/>
      <c r="S47" s="15"/>
      <c r="T47" s="15"/>
      <c r="U47" s="15"/>
      <c r="V47" s="15"/>
      <c r="W47" s="15"/>
      <c r="X47" s="15"/>
      <c r="Y47" s="15"/>
      <c r="Z47" s="15"/>
    </row>
    <row r="48" ht="31.5" customHeight="1">
      <c r="A48" s="99" t="s">
        <v>1022</v>
      </c>
      <c r="B48" s="105" t="s">
        <v>960</v>
      </c>
      <c r="C48" s="22" t="s">
        <v>294</v>
      </c>
      <c r="D48" s="36" t="s">
        <v>1023</v>
      </c>
      <c r="E48" s="36" t="s">
        <v>1024</v>
      </c>
      <c r="F48" s="82" t="s">
        <v>281</v>
      </c>
      <c r="G48" s="82" t="s">
        <v>175</v>
      </c>
      <c r="H48" s="83" t="s">
        <v>181</v>
      </c>
      <c r="I48" s="36" t="s">
        <v>1026</v>
      </c>
      <c r="J48" s="22" t="s">
        <v>472</v>
      </c>
      <c r="K48" s="22" t="s">
        <v>1027</v>
      </c>
      <c r="L48" s="82" t="s">
        <v>1029</v>
      </c>
      <c r="M48" s="15"/>
      <c r="N48" s="15"/>
      <c r="O48" s="15"/>
      <c r="P48" s="15"/>
      <c r="Q48" s="15"/>
      <c r="R48" s="15"/>
      <c r="S48" s="15"/>
      <c r="T48" s="15"/>
      <c r="U48" s="15"/>
      <c r="V48" s="15"/>
      <c r="W48" s="15"/>
      <c r="X48" s="15"/>
      <c r="Y48" s="15"/>
      <c r="Z48" s="15"/>
    </row>
    <row r="49" ht="31.5" customHeight="1">
      <c r="A49" s="99" t="s">
        <v>1030</v>
      </c>
      <c r="B49" s="105" t="s">
        <v>960</v>
      </c>
      <c r="C49" s="22" t="s">
        <v>294</v>
      </c>
      <c r="D49" s="36" t="s">
        <v>1031</v>
      </c>
      <c r="E49" s="36" t="s">
        <v>1033</v>
      </c>
      <c r="F49" s="82" t="s">
        <v>125</v>
      </c>
      <c r="G49" s="82" t="s">
        <v>130</v>
      </c>
      <c r="H49" s="83" t="s">
        <v>36</v>
      </c>
      <c r="I49" s="36" t="s">
        <v>1035</v>
      </c>
      <c r="J49" s="36" t="s">
        <v>1036</v>
      </c>
      <c r="K49" s="22" t="s">
        <v>1037</v>
      </c>
      <c r="L49" s="82" t="s">
        <v>1038</v>
      </c>
      <c r="M49" s="15"/>
      <c r="N49" s="15"/>
      <c r="O49" s="15"/>
      <c r="P49" s="15"/>
      <c r="Q49" s="15"/>
      <c r="R49" s="15"/>
      <c r="S49" s="15"/>
      <c r="T49" s="15"/>
      <c r="U49" s="15"/>
      <c r="V49" s="15"/>
      <c r="W49" s="15"/>
      <c r="X49" s="15"/>
      <c r="Y49" s="15"/>
      <c r="Z49" s="15"/>
    </row>
    <row r="50" ht="58.5" customHeight="1">
      <c r="A50" s="106" t="s">
        <v>1041</v>
      </c>
      <c r="B50" s="107" t="s">
        <v>80</v>
      </c>
      <c r="C50" s="108" t="s">
        <v>99</v>
      </c>
      <c r="D50" s="109" t="s">
        <v>1044</v>
      </c>
      <c r="E50" s="109" t="s">
        <v>1047</v>
      </c>
      <c r="F50" s="110" t="s">
        <v>125</v>
      </c>
      <c r="G50" s="111" t="s">
        <v>73</v>
      </c>
      <c r="H50" s="112" t="s">
        <v>181</v>
      </c>
      <c r="I50" s="109" t="s">
        <v>1050</v>
      </c>
      <c r="J50" s="109" t="s">
        <v>1051</v>
      </c>
      <c r="K50" s="108" t="s">
        <v>1052</v>
      </c>
      <c r="L50" s="113" t="s">
        <v>1053</v>
      </c>
      <c r="M50" s="15"/>
      <c r="N50" s="15"/>
      <c r="O50" s="15"/>
      <c r="P50" s="15"/>
      <c r="Q50" s="15"/>
      <c r="R50" s="15"/>
      <c r="S50" s="15"/>
      <c r="T50" s="15"/>
      <c r="U50" s="15"/>
      <c r="V50" s="15"/>
      <c r="W50" s="15"/>
      <c r="X50" s="15"/>
      <c r="Y50" s="15"/>
      <c r="Z50" s="15"/>
    </row>
    <row r="51" ht="58.5" customHeight="1">
      <c r="A51" s="114" t="s">
        <v>1056</v>
      </c>
      <c r="B51" s="115" t="s">
        <v>80</v>
      </c>
      <c r="C51" s="87" t="s">
        <v>99</v>
      </c>
      <c r="D51" s="88" t="s">
        <v>1059</v>
      </c>
      <c r="E51" s="88" t="s">
        <v>1060</v>
      </c>
      <c r="F51" s="89" t="s">
        <v>125</v>
      </c>
      <c r="G51" s="91" t="s">
        <v>73</v>
      </c>
      <c r="H51" s="92" t="s">
        <v>181</v>
      </c>
      <c r="I51" s="88" t="s">
        <v>1061</v>
      </c>
      <c r="J51" s="87" t="s">
        <v>1062</v>
      </c>
      <c r="K51" s="87" t="s">
        <v>1063</v>
      </c>
      <c r="L51" s="93" t="s">
        <v>1065</v>
      </c>
      <c r="M51" s="15"/>
      <c r="N51" s="15"/>
      <c r="O51" s="15"/>
      <c r="P51" s="15"/>
      <c r="Q51" s="15"/>
      <c r="R51" s="15"/>
      <c r="S51" s="15"/>
      <c r="T51" s="15"/>
      <c r="U51" s="15"/>
      <c r="V51" s="15"/>
      <c r="W51" s="15"/>
      <c r="X51" s="15"/>
      <c r="Y51" s="15"/>
      <c r="Z51" s="15"/>
    </row>
    <row r="52" ht="45.0" customHeight="1">
      <c r="A52" s="114" t="s">
        <v>1067</v>
      </c>
      <c r="B52" s="115" t="s">
        <v>80</v>
      </c>
      <c r="C52" s="87" t="s">
        <v>99</v>
      </c>
      <c r="D52" s="88" t="s">
        <v>1068</v>
      </c>
      <c r="E52" s="88" t="s">
        <v>1069</v>
      </c>
      <c r="F52" s="89" t="s">
        <v>281</v>
      </c>
      <c r="G52" s="91" t="s">
        <v>73</v>
      </c>
      <c r="H52" s="92" t="s">
        <v>181</v>
      </c>
      <c r="I52" s="88" t="s">
        <v>1070</v>
      </c>
      <c r="J52" s="88" t="s">
        <v>1071</v>
      </c>
      <c r="K52" s="87"/>
      <c r="L52" s="93" t="s">
        <v>1072</v>
      </c>
      <c r="M52" s="15"/>
      <c r="N52" s="15"/>
      <c r="O52" s="15"/>
      <c r="P52" s="15"/>
      <c r="Q52" s="15"/>
      <c r="R52" s="15"/>
      <c r="S52" s="15"/>
      <c r="T52" s="15"/>
      <c r="U52" s="15"/>
      <c r="V52" s="15"/>
      <c r="W52" s="15"/>
      <c r="X52" s="15"/>
      <c r="Y52" s="15"/>
      <c r="Z52" s="15"/>
    </row>
    <row r="53" ht="72.75" customHeight="1">
      <c r="A53" s="116" t="s">
        <v>1075</v>
      </c>
      <c r="B53" s="117" t="s">
        <v>1078</v>
      </c>
      <c r="C53" s="79" t="s">
        <v>1079</v>
      </c>
      <c r="D53" s="75" t="s">
        <v>1080</v>
      </c>
      <c r="E53" s="75" t="s">
        <v>1081</v>
      </c>
      <c r="F53" s="77" t="s">
        <v>125</v>
      </c>
      <c r="G53" s="77" t="s">
        <v>130</v>
      </c>
      <c r="H53" s="78" t="s">
        <v>36</v>
      </c>
      <c r="I53" s="79" t="s">
        <v>1082</v>
      </c>
      <c r="J53" s="75" t="s">
        <v>1084</v>
      </c>
      <c r="K53" s="79" t="s">
        <v>1085</v>
      </c>
      <c r="L53" s="77" t="s">
        <v>1087</v>
      </c>
      <c r="M53" s="15"/>
      <c r="N53" s="15"/>
      <c r="O53" s="15"/>
      <c r="P53" s="15"/>
      <c r="Q53" s="15"/>
      <c r="R53" s="15"/>
      <c r="S53" s="15"/>
      <c r="T53" s="15"/>
      <c r="U53" s="15"/>
      <c r="V53" s="15"/>
      <c r="W53" s="15"/>
      <c r="X53" s="15"/>
      <c r="Y53" s="15"/>
      <c r="Z53" s="15"/>
    </row>
    <row r="54" ht="31.5" customHeight="1">
      <c r="A54" s="118" t="s">
        <v>1088</v>
      </c>
      <c r="B54" s="119" t="s">
        <v>117</v>
      </c>
      <c r="C54" s="108" t="s">
        <v>126</v>
      </c>
      <c r="D54" s="109" t="s">
        <v>1089</v>
      </c>
      <c r="E54" s="109" t="s">
        <v>1090</v>
      </c>
      <c r="F54" s="110" t="s">
        <v>125</v>
      </c>
      <c r="G54" s="111" t="s">
        <v>73</v>
      </c>
      <c r="H54" s="112" t="s">
        <v>181</v>
      </c>
      <c r="I54" s="109" t="s">
        <v>1092</v>
      </c>
      <c r="J54" s="109" t="s">
        <v>1093</v>
      </c>
      <c r="K54" s="108" t="s">
        <v>1094</v>
      </c>
      <c r="L54" s="113" t="s">
        <v>1095</v>
      </c>
      <c r="M54" s="15"/>
      <c r="N54" s="15"/>
      <c r="O54" s="15"/>
      <c r="P54" s="15"/>
      <c r="Q54" s="15"/>
      <c r="R54" s="15"/>
      <c r="S54" s="15"/>
      <c r="T54" s="15"/>
      <c r="U54" s="15"/>
      <c r="V54" s="15"/>
      <c r="W54" s="15"/>
      <c r="X54" s="15"/>
      <c r="Y54" s="15"/>
      <c r="Z54" s="15"/>
    </row>
    <row r="55" ht="45.0" customHeight="1">
      <c r="A55" s="120" t="s">
        <v>1098</v>
      </c>
      <c r="B55" s="121" t="s">
        <v>117</v>
      </c>
      <c r="C55" s="87" t="s">
        <v>126</v>
      </c>
      <c r="D55" s="88" t="s">
        <v>1101</v>
      </c>
      <c r="E55" s="88" t="s">
        <v>1102</v>
      </c>
      <c r="F55" s="89" t="s">
        <v>125</v>
      </c>
      <c r="G55" s="91" t="s">
        <v>73</v>
      </c>
      <c r="H55" s="92" t="s">
        <v>181</v>
      </c>
      <c r="I55" s="88" t="s">
        <v>1103</v>
      </c>
      <c r="J55" s="88" t="s">
        <v>1104</v>
      </c>
      <c r="K55" s="87" t="s">
        <v>1105</v>
      </c>
      <c r="L55" s="93" t="s">
        <v>1106</v>
      </c>
      <c r="M55" s="15"/>
      <c r="N55" s="15"/>
      <c r="O55" s="15"/>
      <c r="P55" s="15"/>
      <c r="Q55" s="15"/>
      <c r="R55" s="15"/>
      <c r="S55" s="15"/>
      <c r="T55" s="15"/>
      <c r="U55" s="15"/>
      <c r="V55" s="15"/>
      <c r="W55" s="15"/>
      <c r="X55" s="15"/>
      <c r="Y55" s="15"/>
      <c r="Z55" s="15"/>
    </row>
    <row r="56" ht="31.5" customHeight="1">
      <c r="A56" s="120" t="s">
        <v>1109</v>
      </c>
      <c r="B56" s="121" t="s">
        <v>117</v>
      </c>
      <c r="C56" s="87" t="s">
        <v>126</v>
      </c>
      <c r="D56" s="88" t="s">
        <v>1110</v>
      </c>
      <c r="E56" s="88" t="s">
        <v>1111</v>
      </c>
      <c r="F56" s="89" t="s">
        <v>125</v>
      </c>
      <c r="G56" s="91" t="s">
        <v>73</v>
      </c>
      <c r="H56" s="92" t="s">
        <v>181</v>
      </c>
      <c r="I56" s="88" t="s">
        <v>1114</v>
      </c>
      <c r="J56" s="87" t="s">
        <v>836</v>
      </c>
      <c r="K56" s="87" t="s">
        <v>1115</v>
      </c>
      <c r="L56" s="93" t="s">
        <v>1116</v>
      </c>
      <c r="M56" s="15"/>
      <c r="N56" s="15"/>
      <c r="O56" s="15"/>
      <c r="P56" s="15"/>
      <c r="Q56" s="15"/>
      <c r="R56" s="15"/>
      <c r="S56" s="15"/>
      <c r="T56" s="15"/>
      <c r="U56" s="15"/>
      <c r="V56" s="15"/>
      <c r="W56" s="15"/>
      <c r="X56" s="15"/>
      <c r="Y56" s="15"/>
      <c r="Z56" s="15"/>
    </row>
    <row r="57" ht="45.0" customHeight="1">
      <c r="A57" s="120" t="s">
        <v>1119</v>
      </c>
      <c r="B57" s="121" t="s">
        <v>117</v>
      </c>
      <c r="C57" s="87" t="s">
        <v>126</v>
      </c>
      <c r="D57" s="88" t="s">
        <v>1120</v>
      </c>
      <c r="E57" s="88" t="s">
        <v>1121</v>
      </c>
      <c r="F57" s="89" t="s">
        <v>125</v>
      </c>
      <c r="G57" s="91" t="s">
        <v>73</v>
      </c>
      <c r="H57" s="92" t="s">
        <v>181</v>
      </c>
      <c r="I57" s="88" t="s">
        <v>1122</v>
      </c>
      <c r="J57" s="88" t="s">
        <v>1123</v>
      </c>
      <c r="K57" s="87" t="s">
        <v>1124</v>
      </c>
      <c r="L57" s="93" t="s">
        <v>1116</v>
      </c>
      <c r="M57" s="15"/>
      <c r="N57" s="15"/>
      <c r="O57" s="15"/>
      <c r="P57" s="15"/>
      <c r="Q57" s="15"/>
      <c r="R57" s="15"/>
      <c r="S57" s="15"/>
      <c r="T57" s="15"/>
      <c r="U57" s="15"/>
      <c r="V57" s="15"/>
      <c r="W57" s="15"/>
      <c r="X57" s="15"/>
      <c r="Y57" s="15"/>
      <c r="Z57" s="15"/>
    </row>
    <row r="58" ht="45.0" customHeight="1">
      <c r="A58" s="120" t="s">
        <v>1127</v>
      </c>
      <c r="B58" s="121" t="s">
        <v>117</v>
      </c>
      <c r="C58" s="87" t="s">
        <v>126</v>
      </c>
      <c r="D58" s="88" t="s">
        <v>1128</v>
      </c>
      <c r="E58" s="88" t="s">
        <v>1129</v>
      </c>
      <c r="F58" s="89" t="s">
        <v>125</v>
      </c>
      <c r="G58" s="91" t="s">
        <v>73</v>
      </c>
      <c r="H58" s="92" t="s">
        <v>181</v>
      </c>
      <c r="I58" s="88" t="s">
        <v>1130</v>
      </c>
      <c r="J58" s="88" t="s">
        <v>1131</v>
      </c>
      <c r="K58" s="87" t="s">
        <v>1132</v>
      </c>
      <c r="L58" s="122" t="s">
        <v>1133</v>
      </c>
      <c r="M58" s="15"/>
      <c r="N58" s="15"/>
      <c r="O58" s="15"/>
      <c r="P58" s="15"/>
      <c r="Q58" s="15"/>
      <c r="R58" s="15"/>
      <c r="S58" s="15"/>
      <c r="T58" s="15"/>
      <c r="U58" s="15"/>
      <c r="V58" s="15"/>
      <c r="W58" s="15"/>
      <c r="X58" s="15"/>
      <c r="Y58" s="15"/>
      <c r="Z58" s="15"/>
    </row>
    <row r="59" ht="72.75" customHeight="1">
      <c r="A59" s="120" t="s">
        <v>1136</v>
      </c>
      <c r="B59" s="121" t="s">
        <v>117</v>
      </c>
      <c r="C59" s="87" t="s">
        <v>126</v>
      </c>
      <c r="D59" s="88" t="s">
        <v>1138</v>
      </c>
      <c r="E59" s="88" t="s">
        <v>1139</v>
      </c>
      <c r="F59" s="89" t="s">
        <v>125</v>
      </c>
      <c r="G59" s="91" t="s">
        <v>73</v>
      </c>
      <c r="H59" s="92" t="s">
        <v>181</v>
      </c>
      <c r="I59" s="88" t="s">
        <v>1141</v>
      </c>
      <c r="J59" s="88" t="s">
        <v>1142</v>
      </c>
      <c r="K59" s="87" t="s">
        <v>1143</v>
      </c>
      <c r="L59" s="122" t="s">
        <v>1133</v>
      </c>
      <c r="M59" s="15"/>
      <c r="N59" s="15"/>
      <c r="O59" s="15"/>
      <c r="P59" s="15"/>
      <c r="Q59" s="15"/>
      <c r="R59" s="15"/>
      <c r="S59" s="15"/>
      <c r="T59" s="15"/>
      <c r="U59" s="15"/>
      <c r="V59" s="15"/>
      <c r="W59" s="15"/>
      <c r="X59" s="15"/>
      <c r="Y59" s="15"/>
      <c r="Z59" s="15"/>
    </row>
    <row r="60" ht="100.5" customHeight="1">
      <c r="A60" s="120" t="s">
        <v>1145</v>
      </c>
      <c r="B60" s="121" t="s">
        <v>117</v>
      </c>
      <c r="C60" s="87" t="s">
        <v>126</v>
      </c>
      <c r="D60" s="88" t="s">
        <v>1147</v>
      </c>
      <c r="E60" s="88" t="s">
        <v>1148</v>
      </c>
      <c r="F60" s="89" t="s">
        <v>125</v>
      </c>
      <c r="G60" s="91" t="s">
        <v>73</v>
      </c>
      <c r="H60" s="92" t="s">
        <v>181</v>
      </c>
      <c r="I60" s="88" t="s">
        <v>1149</v>
      </c>
      <c r="J60" s="88" t="s">
        <v>1150</v>
      </c>
      <c r="K60" s="87" t="s">
        <v>1151</v>
      </c>
      <c r="L60" s="122" t="s">
        <v>1152</v>
      </c>
      <c r="M60" s="15"/>
      <c r="N60" s="15"/>
      <c r="O60" s="15"/>
      <c r="P60" s="15"/>
      <c r="Q60" s="15"/>
      <c r="R60" s="15"/>
      <c r="S60" s="15"/>
      <c r="T60" s="15"/>
      <c r="U60" s="15"/>
      <c r="V60" s="15"/>
      <c r="W60" s="15"/>
      <c r="X60" s="15"/>
      <c r="Y60" s="15"/>
      <c r="Z60" s="15"/>
    </row>
    <row r="61" ht="31.5" customHeight="1">
      <c r="A61" s="120" t="s">
        <v>1155</v>
      </c>
      <c r="B61" s="121" t="s">
        <v>117</v>
      </c>
      <c r="C61" s="87" t="s">
        <v>126</v>
      </c>
      <c r="D61" s="88" t="s">
        <v>1156</v>
      </c>
      <c r="E61" s="88" t="s">
        <v>1157</v>
      </c>
      <c r="F61" s="89" t="s">
        <v>125</v>
      </c>
      <c r="G61" s="91" t="s">
        <v>73</v>
      </c>
      <c r="H61" s="92" t="s">
        <v>181</v>
      </c>
      <c r="I61" s="88" t="s">
        <v>1158</v>
      </c>
      <c r="J61" s="88" t="s">
        <v>1159</v>
      </c>
      <c r="K61" s="87" t="s">
        <v>1160</v>
      </c>
      <c r="L61" s="93" t="s">
        <v>1116</v>
      </c>
      <c r="M61" s="15"/>
      <c r="N61" s="15"/>
      <c r="O61" s="15"/>
      <c r="P61" s="15"/>
      <c r="Q61" s="15"/>
      <c r="R61" s="15"/>
      <c r="S61" s="15"/>
      <c r="T61" s="15"/>
      <c r="U61" s="15"/>
      <c r="V61" s="15"/>
      <c r="W61" s="15"/>
      <c r="X61" s="15"/>
      <c r="Y61" s="15"/>
      <c r="Z61" s="15"/>
    </row>
    <row r="62" ht="31.5" customHeight="1">
      <c r="A62" s="120" t="s">
        <v>1161</v>
      </c>
      <c r="B62" s="121" t="s">
        <v>117</v>
      </c>
      <c r="C62" s="87" t="s">
        <v>126</v>
      </c>
      <c r="D62" s="88" t="s">
        <v>1162</v>
      </c>
      <c r="E62" s="88" t="s">
        <v>1163</v>
      </c>
      <c r="F62" s="89" t="s">
        <v>281</v>
      </c>
      <c r="G62" s="91" t="s">
        <v>73</v>
      </c>
      <c r="H62" s="92" t="s">
        <v>181</v>
      </c>
      <c r="I62" s="88" t="s">
        <v>1165</v>
      </c>
      <c r="J62" s="87" t="s">
        <v>836</v>
      </c>
      <c r="K62" s="87" t="s">
        <v>1160</v>
      </c>
      <c r="L62" s="93" t="s">
        <v>1116</v>
      </c>
      <c r="M62" s="15"/>
      <c r="N62" s="15"/>
      <c r="O62" s="15"/>
      <c r="P62" s="15"/>
      <c r="Q62" s="15"/>
      <c r="R62" s="15"/>
      <c r="S62" s="15"/>
      <c r="T62" s="15"/>
      <c r="U62" s="15"/>
      <c r="V62" s="15"/>
      <c r="W62" s="15"/>
      <c r="X62" s="15"/>
      <c r="Y62" s="15"/>
      <c r="Z62" s="15"/>
    </row>
    <row r="63" ht="45.0" customHeight="1">
      <c r="A63" s="120" t="s">
        <v>1167</v>
      </c>
      <c r="B63" s="121" t="s">
        <v>117</v>
      </c>
      <c r="C63" s="87" t="s">
        <v>126</v>
      </c>
      <c r="D63" s="88" t="s">
        <v>1168</v>
      </c>
      <c r="E63" s="88" t="s">
        <v>1170</v>
      </c>
      <c r="F63" s="89" t="s">
        <v>125</v>
      </c>
      <c r="G63" s="91" t="s">
        <v>73</v>
      </c>
      <c r="H63" s="92" t="s">
        <v>181</v>
      </c>
      <c r="I63" s="88" t="s">
        <v>1171</v>
      </c>
      <c r="J63" s="87" t="s">
        <v>1172</v>
      </c>
      <c r="K63" s="87" t="s">
        <v>1173</v>
      </c>
      <c r="L63" s="122" t="s">
        <v>1133</v>
      </c>
      <c r="M63" s="15"/>
      <c r="N63" s="15"/>
      <c r="O63" s="15"/>
      <c r="P63" s="15"/>
      <c r="Q63" s="15"/>
      <c r="R63" s="15"/>
      <c r="S63" s="15"/>
      <c r="T63" s="15"/>
      <c r="U63" s="15"/>
      <c r="V63" s="15"/>
      <c r="W63" s="15"/>
      <c r="X63" s="15"/>
      <c r="Y63" s="15"/>
      <c r="Z63" s="15"/>
    </row>
    <row r="64" ht="86.25" customHeight="1">
      <c r="A64" s="120" t="s">
        <v>1176</v>
      </c>
      <c r="B64" s="121" t="s">
        <v>117</v>
      </c>
      <c r="C64" s="87" t="s">
        <v>126</v>
      </c>
      <c r="D64" s="88" t="s">
        <v>1177</v>
      </c>
      <c r="E64" s="88" t="s">
        <v>1178</v>
      </c>
      <c r="F64" s="89" t="s">
        <v>281</v>
      </c>
      <c r="G64" s="91" t="s">
        <v>73</v>
      </c>
      <c r="H64" s="92" t="s">
        <v>181</v>
      </c>
      <c r="I64" s="88" t="s">
        <v>1179</v>
      </c>
      <c r="J64" s="88" t="s">
        <v>1180</v>
      </c>
      <c r="K64" s="87" t="s">
        <v>1181</v>
      </c>
      <c r="L64" s="123" t="s">
        <v>1183</v>
      </c>
      <c r="M64" s="15"/>
      <c r="N64" s="15"/>
      <c r="O64" s="15"/>
      <c r="P64" s="15"/>
      <c r="Q64" s="15"/>
      <c r="R64" s="15"/>
      <c r="S64" s="15"/>
      <c r="T64" s="15"/>
      <c r="U64" s="15"/>
      <c r="V64" s="15"/>
      <c r="W64" s="15"/>
      <c r="X64" s="15"/>
      <c r="Y64" s="15"/>
      <c r="Z64" s="15"/>
    </row>
    <row r="65" ht="45.0" customHeight="1">
      <c r="A65" s="120" t="s">
        <v>1185</v>
      </c>
      <c r="B65" s="121" t="s">
        <v>117</v>
      </c>
      <c r="C65" s="87" t="s">
        <v>126</v>
      </c>
      <c r="D65" s="87" t="s">
        <v>1188</v>
      </c>
      <c r="E65" s="87" t="s">
        <v>1189</v>
      </c>
      <c r="F65" s="89" t="s">
        <v>281</v>
      </c>
      <c r="G65" s="91" t="s">
        <v>73</v>
      </c>
      <c r="H65" s="92" t="s">
        <v>181</v>
      </c>
      <c r="I65" s="88" t="s">
        <v>1190</v>
      </c>
      <c r="J65" s="88" t="s">
        <v>1191</v>
      </c>
      <c r="K65" s="88" t="s">
        <v>1192</v>
      </c>
      <c r="L65" s="93" t="s">
        <v>1193</v>
      </c>
      <c r="M65" s="15"/>
      <c r="N65" s="15"/>
      <c r="O65" s="15"/>
      <c r="P65" s="15"/>
      <c r="Q65" s="15"/>
      <c r="R65" s="15"/>
      <c r="S65" s="15"/>
      <c r="T65" s="15"/>
      <c r="U65" s="15"/>
      <c r="V65" s="15"/>
      <c r="W65" s="15"/>
      <c r="X65" s="15"/>
      <c r="Y65" s="15"/>
      <c r="Z65" s="15"/>
    </row>
    <row r="66" ht="45.0" customHeight="1">
      <c r="A66" s="120" t="s">
        <v>1195</v>
      </c>
      <c r="B66" s="121" t="s">
        <v>117</v>
      </c>
      <c r="C66" s="87" t="s">
        <v>126</v>
      </c>
      <c r="D66" s="87" t="s">
        <v>1197</v>
      </c>
      <c r="E66" s="88" t="s">
        <v>1198</v>
      </c>
      <c r="F66" s="89" t="s">
        <v>281</v>
      </c>
      <c r="G66" s="91" t="s">
        <v>73</v>
      </c>
      <c r="H66" s="92" t="s">
        <v>181</v>
      </c>
      <c r="I66" s="88" t="s">
        <v>1199</v>
      </c>
      <c r="J66" s="88" t="s">
        <v>1200</v>
      </c>
      <c r="K66" s="87"/>
      <c r="L66" s="93" t="s">
        <v>1201</v>
      </c>
      <c r="M66" s="15"/>
      <c r="N66" s="15"/>
      <c r="O66" s="15"/>
      <c r="P66" s="15"/>
      <c r="Q66" s="15"/>
      <c r="R66" s="15"/>
      <c r="S66" s="15"/>
      <c r="T66" s="15"/>
      <c r="U66" s="15"/>
      <c r="V66" s="15"/>
      <c r="W66" s="15"/>
      <c r="X66" s="15"/>
      <c r="Y66" s="15"/>
      <c r="Z66" s="15"/>
    </row>
    <row r="67" ht="45.0" customHeight="1">
      <c r="A67" s="120" t="s">
        <v>1204</v>
      </c>
      <c r="B67" s="121" t="s">
        <v>117</v>
      </c>
      <c r="C67" s="87" t="s">
        <v>126</v>
      </c>
      <c r="D67" s="87" t="s">
        <v>1205</v>
      </c>
      <c r="E67" s="87" t="s">
        <v>1206</v>
      </c>
      <c r="F67" s="89" t="s">
        <v>281</v>
      </c>
      <c r="G67" s="91" t="s">
        <v>73</v>
      </c>
      <c r="H67" s="92" t="s">
        <v>181</v>
      </c>
      <c r="I67" s="88" t="s">
        <v>1207</v>
      </c>
      <c r="J67" s="88" t="s">
        <v>1208</v>
      </c>
      <c r="K67" s="87" t="s">
        <v>1209</v>
      </c>
      <c r="L67" s="93" t="s">
        <v>1201</v>
      </c>
      <c r="M67" s="15"/>
      <c r="N67" s="15"/>
      <c r="O67" s="15"/>
      <c r="P67" s="15"/>
      <c r="Q67" s="15"/>
      <c r="R67" s="15"/>
      <c r="S67" s="15"/>
      <c r="T67" s="15"/>
      <c r="U67" s="15"/>
      <c r="V67" s="15"/>
      <c r="W67" s="15"/>
      <c r="X67" s="15"/>
      <c r="Y67" s="15"/>
      <c r="Z67" s="15"/>
    </row>
    <row r="68" ht="86.25" customHeight="1">
      <c r="A68" s="120" t="s">
        <v>1212</v>
      </c>
      <c r="B68" s="121" t="s">
        <v>117</v>
      </c>
      <c r="C68" s="87" t="s">
        <v>126</v>
      </c>
      <c r="D68" s="88" t="s">
        <v>1213</v>
      </c>
      <c r="E68" s="87" t="s">
        <v>1214</v>
      </c>
      <c r="F68" s="89" t="s">
        <v>125</v>
      </c>
      <c r="G68" s="91" t="s">
        <v>73</v>
      </c>
      <c r="H68" s="92" t="s">
        <v>181</v>
      </c>
      <c r="I68" s="87" t="s">
        <v>1216</v>
      </c>
      <c r="J68" s="88" t="s">
        <v>1217</v>
      </c>
      <c r="K68" s="87" t="s">
        <v>1219</v>
      </c>
      <c r="L68" s="93" t="s">
        <v>1220</v>
      </c>
      <c r="M68" s="15"/>
      <c r="N68" s="15"/>
      <c r="O68" s="15"/>
      <c r="P68" s="15"/>
      <c r="Q68" s="15"/>
      <c r="R68" s="15"/>
      <c r="S68" s="15"/>
      <c r="T68" s="15"/>
      <c r="U68" s="15"/>
      <c r="V68" s="15"/>
      <c r="W68" s="15"/>
      <c r="X68" s="15"/>
      <c r="Y68" s="15"/>
      <c r="Z68" s="15"/>
    </row>
    <row r="69" ht="58.5" customHeight="1">
      <c r="A69" s="120" t="s">
        <v>1221</v>
      </c>
      <c r="B69" s="121" t="s">
        <v>117</v>
      </c>
      <c r="C69" s="87" t="s">
        <v>126</v>
      </c>
      <c r="D69" s="88" t="s">
        <v>1222</v>
      </c>
      <c r="E69" s="87" t="s">
        <v>1223</v>
      </c>
      <c r="F69" s="89" t="s">
        <v>281</v>
      </c>
      <c r="G69" s="91" t="s">
        <v>73</v>
      </c>
      <c r="H69" s="92" t="s">
        <v>181</v>
      </c>
      <c r="I69" s="88" t="s">
        <v>1226</v>
      </c>
      <c r="J69" s="88" t="s">
        <v>1227</v>
      </c>
      <c r="K69" s="87" t="s">
        <v>1228</v>
      </c>
      <c r="L69" s="93" t="s">
        <v>1229</v>
      </c>
      <c r="M69" s="15"/>
      <c r="N69" s="15"/>
      <c r="O69" s="15"/>
      <c r="P69" s="15"/>
      <c r="Q69" s="15"/>
      <c r="R69" s="15"/>
      <c r="S69" s="15"/>
      <c r="T69" s="15"/>
      <c r="U69" s="15"/>
      <c r="V69" s="15"/>
      <c r="W69" s="15"/>
      <c r="X69" s="15"/>
      <c r="Y69" s="15"/>
      <c r="Z69" s="15"/>
    </row>
    <row r="70" ht="45.0" customHeight="1">
      <c r="A70" s="120" t="s">
        <v>1230</v>
      </c>
      <c r="B70" s="121" t="s">
        <v>117</v>
      </c>
      <c r="C70" s="87" t="s">
        <v>126</v>
      </c>
      <c r="D70" s="88" t="s">
        <v>1232</v>
      </c>
      <c r="E70" s="88" t="s">
        <v>1234</v>
      </c>
      <c r="F70" s="89" t="s">
        <v>281</v>
      </c>
      <c r="G70" s="91" t="s">
        <v>73</v>
      </c>
      <c r="H70" s="92" t="s">
        <v>181</v>
      </c>
      <c r="I70" s="88" t="s">
        <v>1235</v>
      </c>
      <c r="J70" s="88" t="s">
        <v>1236</v>
      </c>
      <c r="K70" s="87" t="s">
        <v>1237</v>
      </c>
      <c r="L70" s="93" t="s">
        <v>1238</v>
      </c>
      <c r="M70" s="15"/>
      <c r="N70" s="15"/>
      <c r="O70" s="15"/>
      <c r="P70" s="15"/>
      <c r="Q70" s="15"/>
      <c r="R70" s="15"/>
      <c r="S70" s="15"/>
      <c r="T70" s="15"/>
      <c r="U70" s="15"/>
      <c r="V70" s="15"/>
      <c r="W70" s="15"/>
      <c r="X70" s="15"/>
      <c r="Y70" s="15"/>
      <c r="Z70" s="15"/>
    </row>
    <row r="71" ht="31.5" customHeight="1">
      <c r="A71" s="120" t="s">
        <v>1240</v>
      </c>
      <c r="B71" s="121" t="s">
        <v>117</v>
      </c>
      <c r="C71" s="87" t="s">
        <v>126</v>
      </c>
      <c r="D71" s="88" t="s">
        <v>1242</v>
      </c>
      <c r="E71" s="88" t="s">
        <v>1243</v>
      </c>
      <c r="F71" s="89" t="s">
        <v>125</v>
      </c>
      <c r="G71" s="91" t="s">
        <v>73</v>
      </c>
      <c r="H71" s="92" t="s">
        <v>181</v>
      </c>
      <c r="I71" s="88" t="s">
        <v>1244</v>
      </c>
      <c r="J71" s="88" t="s">
        <v>1245</v>
      </c>
      <c r="K71" s="87"/>
      <c r="L71" s="93" t="s">
        <v>1246</v>
      </c>
      <c r="M71" s="15"/>
      <c r="N71" s="15"/>
      <c r="O71" s="15"/>
      <c r="P71" s="15"/>
      <c r="Q71" s="15"/>
      <c r="R71" s="15"/>
      <c r="S71" s="15"/>
      <c r="T71" s="15"/>
      <c r="U71" s="15"/>
      <c r="V71" s="15"/>
      <c r="W71" s="15"/>
      <c r="X71" s="15"/>
      <c r="Y71" s="15"/>
      <c r="Z71" s="15"/>
    </row>
    <row r="72" ht="100.5" customHeight="1">
      <c r="A72" s="124" t="s">
        <v>1249</v>
      </c>
      <c r="B72" s="125" t="s">
        <v>1250</v>
      </c>
      <c r="C72" s="75" t="s">
        <v>1251</v>
      </c>
      <c r="D72" s="75" t="s">
        <v>1252</v>
      </c>
      <c r="E72" s="126" t="s">
        <v>1253</v>
      </c>
      <c r="F72" s="77" t="s">
        <v>125</v>
      </c>
      <c r="G72" s="77" t="s">
        <v>130</v>
      </c>
      <c r="H72" s="78" t="s">
        <v>36</v>
      </c>
      <c r="I72" s="75" t="s">
        <v>1254</v>
      </c>
      <c r="J72" s="75" t="s">
        <v>1255</v>
      </c>
      <c r="K72" s="79" t="s">
        <v>1256</v>
      </c>
      <c r="L72" s="77" t="s">
        <v>1257</v>
      </c>
      <c r="M72" s="15"/>
      <c r="N72" s="15"/>
      <c r="O72" s="15"/>
      <c r="P72" s="15"/>
      <c r="Q72" s="15"/>
      <c r="R72" s="15"/>
      <c r="S72" s="15"/>
      <c r="T72" s="15"/>
      <c r="U72" s="15"/>
      <c r="V72" s="15"/>
      <c r="W72" s="15"/>
      <c r="X72" s="15"/>
      <c r="Y72" s="15"/>
      <c r="Z72" s="15"/>
    </row>
    <row r="73" ht="72.75" customHeight="1">
      <c r="A73" s="127" t="s">
        <v>1259</v>
      </c>
      <c r="B73" s="128" t="s">
        <v>1250</v>
      </c>
      <c r="C73" s="22" t="s">
        <v>386</v>
      </c>
      <c r="D73" s="36" t="s">
        <v>1262</v>
      </c>
      <c r="E73" s="129" t="s">
        <v>1263</v>
      </c>
      <c r="F73" s="82" t="s">
        <v>125</v>
      </c>
      <c r="G73" s="82" t="s">
        <v>130</v>
      </c>
      <c r="H73" s="83" t="s">
        <v>36</v>
      </c>
      <c r="I73" s="36" t="s">
        <v>1264</v>
      </c>
      <c r="J73" s="36" t="s">
        <v>1266</v>
      </c>
      <c r="K73" s="22" t="s">
        <v>1267</v>
      </c>
      <c r="L73" s="83" t="s">
        <v>1269</v>
      </c>
      <c r="M73" s="15"/>
      <c r="N73" s="15"/>
      <c r="O73" s="15"/>
      <c r="P73" s="15"/>
      <c r="Q73" s="15"/>
      <c r="R73" s="15"/>
      <c r="S73" s="15"/>
      <c r="T73" s="15"/>
      <c r="U73" s="15"/>
      <c r="V73" s="15"/>
      <c r="W73" s="15"/>
      <c r="X73" s="15"/>
      <c r="Y73" s="15"/>
      <c r="Z73" s="15"/>
    </row>
    <row r="74" ht="155.25" customHeight="1">
      <c r="A74" s="127" t="s">
        <v>412</v>
      </c>
      <c r="B74" s="128" t="s">
        <v>1250</v>
      </c>
      <c r="C74" s="22" t="s">
        <v>386</v>
      </c>
      <c r="D74" s="36" t="s">
        <v>1270</v>
      </c>
      <c r="E74" s="36" t="s">
        <v>1271</v>
      </c>
      <c r="F74" s="82" t="s">
        <v>125</v>
      </c>
      <c r="G74" s="82" t="s">
        <v>130</v>
      </c>
      <c r="H74" s="83" t="s">
        <v>36</v>
      </c>
      <c r="I74" s="36" t="s">
        <v>1272</v>
      </c>
      <c r="J74" s="36" t="s">
        <v>1273</v>
      </c>
      <c r="K74" s="22" t="s">
        <v>1274</v>
      </c>
      <c r="L74" s="83" t="s">
        <v>1275</v>
      </c>
      <c r="M74" s="15"/>
      <c r="N74" s="15"/>
      <c r="O74" s="15"/>
      <c r="P74" s="15"/>
      <c r="Q74" s="15"/>
      <c r="R74" s="15"/>
      <c r="S74" s="15"/>
      <c r="T74" s="15"/>
      <c r="U74" s="15"/>
      <c r="V74" s="15"/>
      <c r="W74" s="15"/>
      <c r="X74" s="15"/>
      <c r="Y74" s="15"/>
      <c r="Z74" s="15"/>
    </row>
    <row r="75" ht="100.5" customHeight="1">
      <c r="A75" s="127" t="s">
        <v>1277</v>
      </c>
      <c r="B75" s="128" t="s">
        <v>1250</v>
      </c>
      <c r="C75" s="36" t="s">
        <v>1251</v>
      </c>
      <c r="D75" s="36" t="s">
        <v>1278</v>
      </c>
      <c r="E75" s="36" t="s">
        <v>1279</v>
      </c>
      <c r="F75" s="82" t="s">
        <v>125</v>
      </c>
      <c r="G75" s="82" t="s">
        <v>130</v>
      </c>
      <c r="H75" s="83" t="s">
        <v>36</v>
      </c>
      <c r="I75" s="36" t="s">
        <v>1280</v>
      </c>
      <c r="J75" s="36" t="s">
        <v>1281</v>
      </c>
      <c r="K75" s="22" t="s">
        <v>1282</v>
      </c>
      <c r="L75" s="83" t="s">
        <v>1283</v>
      </c>
      <c r="M75" s="15"/>
      <c r="N75" s="15"/>
      <c r="O75" s="15"/>
      <c r="P75" s="15"/>
      <c r="Q75" s="15"/>
      <c r="R75" s="15"/>
      <c r="S75" s="15"/>
      <c r="T75" s="15"/>
      <c r="U75" s="15"/>
      <c r="V75" s="15"/>
      <c r="W75" s="15"/>
      <c r="X75" s="15"/>
      <c r="Y75" s="15"/>
      <c r="Z75" s="15"/>
    </row>
    <row r="76" ht="196.5" customHeight="1">
      <c r="A76" s="127" t="s">
        <v>576</v>
      </c>
      <c r="B76" s="128" t="s">
        <v>1250</v>
      </c>
      <c r="C76" s="22" t="s">
        <v>411</v>
      </c>
      <c r="D76" s="36" t="s">
        <v>1286</v>
      </c>
      <c r="E76" s="36" t="s">
        <v>1287</v>
      </c>
      <c r="F76" s="82" t="s">
        <v>281</v>
      </c>
      <c r="G76" s="82" t="s">
        <v>175</v>
      </c>
      <c r="H76" s="83" t="s">
        <v>181</v>
      </c>
      <c r="I76" s="36" t="s">
        <v>1288</v>
      </c>
      <c r="J76" s="36" t="s">
        <v>1289</v>
      </c>
      <c r="K76" s="22" t="s">
        <v>1290</v>
      </c>
      <c r="L76" s="131" t="s">
        <v>1291</v>
      </c>
      <c r="M76" s="15"/>
      <c r="N76" s="15"/>
      <c r="O76" s="15"/>
      <c r="P76" s="15"/>
      <c r="Q76" s="15"/>
      <c r="R76" s="15"/>
      <c r="S76" s="15"/>
      <c r="T76" s="15"/>
      <c r="U76" s="15"/>
      <c r="V76" s="15"/>
      <c r="W76" s="15"/>
      <c r="X76" s="15"/>
      <c r="Y76" s="15"/>
      <c r="Z76" s="15"/>
    </row>
    <row r="77" ht="86.25" customHeight="1">
      <c r="A77" s="127" t="s">
        <v>264</v>
      </c>
      <c r="B77" s="128" t="s">
        <v>1250</v>
      </c>
      <c r="C77" s="36" t="s">
        <v>1251</v>
      </c>
      <c r="D77" s="36" t="s">
        <v>1294</v>
      </c>
      <c r="E77" s="36" t="s">
        <v>1295</v>
      </c>
      <c r="F77" s="82" t="s">
        <v>125</v>
      </c>
      <c r="G77" s="82" t="s">
        <v>130</v>
      </c>
      <c r="H77" s="83" t="s">
        <v>36</v>
      </c>
      <c r="I77" s="36" t="s">
        <v>1296</v>
      </c>
      <c r="J77" s="36" t="s">
        <v>1297</v>
      </c>
      <c r="K77" s="22" t="s">
        <v>1299</v>
      </c>
      <c r="L77" s="83" t="s">
        <v>1301</v>
      </c>
      <c r="M77" s="15"/>
      <c r="N77" s="15"/>
      <c r="O77" s="15"/>
      <c r="P77" s="15"/>
      <c r="Q77" s="15"/>
      <c r="R77" s="15"/>
      <c r="S77" s="15"/>
      <c r="T77" s="15"/>
      <c r="U77" s="15"/>
      <c r="V77" s="15"/>
      <c r="W77" s="15"/>
      <c r="X77" s="15"/>
      <c r="Y77" s="15"/>
      <c r="Z77" s="15"/>
    </row>
    <row r="78" ht="72.75" customHeight="1">
      <c r="A78" s="127" t="s">
        <v>1302</v>
      </c>
      <c r="B78" s="128" t="s">
        <v>1250</v>
      </c>
      <c r="C78" s="22" t="s">
        <v>386</v>
      </c>
      <c r="D78" s="36" t="s">
        <v>1303</v>
      </c>
      <c r="E78" s="36" t="s">
        <v>1304</v>
      </c>
      <c r="F78" s="82" t="s">
        <v>125</v>
      </c>
      <c r="G78" s="82" t="s">
        <v>130</v>
      </c>
      <c r="H78" s="83" t="s">
        <v>36</v>
      </c>
      <c r="I78" s="36" t="s">
        <v>1305</v>
      </c>
      <c r="J78" s="36" t="s">
        <v>1306</v>
      </c>
      <c r="K78" s="22" t="s">
        <v>1307</v>
      </c>
      <c r="L78" s="82" t="s">
        <v>1308</v>
      </c>
      <c r="M78" s="15"/>
      <c r="N78" s="15"/>
      <c r="O78" s="15"/>
      <c r="P78" s="15"/>
      <c r="Q78" s="15"/>
      <c r="R78" s="15"/>
      <c r="S78" s="15"/>
      <c r="T78" s="15"/>
      <c r="U78" s="15"/>
      <c r="V78" s="15"/>
      <c r="W78" s="15"/>
      <c r="X78" s="15"/>
      <c r="Y78" s="15"/>
      <c r="Z78" s="15"/>
    </row>
    <row r="79" ht="45.0" customHeight="1">
      <c r="A79" s="127" t="s">
        <v>1309</v>
      </c>
      <c r="B79" s="128" t="s">
        <v>1250</v>
      </c>
      <c r="C79" s="14" t="s">
        <v>386</v>
      </c>
      <c r="D79" s="29" t="s">
        <v>1310</v>
      </c>
      <c r="E79" s="29" t="s">
        <v>1311</v>
      </c>
      <c r="F79" s="57" t="s">
        <v>125</v>
      </c>
      <c r="G79" s="57" t="s">
        <v>130</v>
      </c>
      <c r="H79" s="54" t="s">
        <v>36</v>
      </c>
      <c r="I79" s="29" t="s">
        <v>1312</v>
      </c>
      <c r="J79" s="29" t="s">
        <v>1313</v>
      </c>
      <c r="K79" s="14" t="s">
        <v>856</v>
      </c>
      <c r="L79" s="57"/>
      <c r="M79" s="15"/>
      <c r="N79" s="15"/>
      <c r="O79" s="15"/>
      <c r="P79" s="15"/>
      <c r="Q79" s="15"/>
      <c r="R79" s="15"/>
      <c r="S79" s="15"/>
      <c r="T79" s="15"/>
      <c r="U79" s="15"/>
      <c r="V79" s="15"/>
      <c r="W79" s="15"/>
      <c r="X79" s="15"/>
      <c r="Y79" s="15"/>
      <c r="Z79" s="15"/>
    </row>
    <row r="80" ht="114.0" customHeight="1">
      <c r="A80" s="132" t="s">
        <v>1314</v>
      </c>
      <c r="B80" s="133" t="s">
        <v>1250</v>
      </c>
      <c r="C80" s="87" t="s">
        <v>147</v>
      </c>
      <c r="D80" s="88" t="s">
        <v>1315</v>
      </c>
      <c r="E80" s="88" t="s">
        <v>1316</v>
      </c>
      <c r="F80" s="89" t="s">
        <v>125</v>
      </c>
      <c r="G80" s="91" t="s">
        <v>73</v>
      </c>
      <c r="H80" s="92" t="s">
        <v>181</v>
      </c>
      <c r="I80" s="88" t="s">
        <v>1317</v>
      </c>
      <c r="J80" s="88" t="s">
        <v>1318</v>
      </c>
      <c r="K80" s="87" t="s">
        <v>1319</v>
      </c>
      <c r="L80" s="93" t="s">
        <v>1320</v>
      </c>
      <c r="M80" s="15"/>
      <c r="N80" s="15"/>
      <c r="O80" s="15"/>
      <c r="P80" s="15"/>
      <c r="Q80" s="15"/>
      <c r="R80" s="15"/>
      <c r="S80" s="15"/>
      <c r="T80" s="15"/>
      <c r="U80" s="15"/>
      <c r="V80" s="15"/>
      <c r="W80" s="15"/>
      <c r="X80" s="15"/>
      <c r="Y80" s="15"/>
      <c r="Z80" s="15"/>
    </row>
    <row r="81" ht="72.75" customHeight="1">
      <c r="A81" s="127" t="s">
        <v>1321</v>
      </c>
      <c r="B81" s="128" t="s">
        <v>1250</v>
      </c>
      <c r="C81" s="36" t="s">
        <v>1251</v>
      </c>
      <c r="D81" s="22" t="s">
        <v>1322</v>
      </c>
      <c r="E81" s="36" t="s">
        <v>1323</v>
      </c>
      <c r="F81" s="82" t="s">
        <v>125</v>
      </c>
      <c r="G81" s="82" t="s">
        <v>130</v>
      </c>
      <c r="H81" s="83" t="s">
        <v>36</v>
      </c>
      <c r="I81" s="36" t="s">
        <v>1324</v>
      </c>
      <c r="J81" s="36" t="s">
        <v>1325</v>
      </c>
      <c r="K81" s="36" t="s">
        <v>1326</v>
      </c>
      <c r="L81" s="82" t="s">
        <v>1327</v>
      </c>
      <c r="M81" s="15"/>
      <c r="N81" s="15"/>
      <c r="O81" s="15"/>
      <c r="P81" s="15"/>
      <c r="Q81" s="15"/>
      <c r="R81" s="15"/>
      <c r="S81" s="15"/>
      <c r="T81" s="15"/>
      <c r="U81" s="15"/>
      <c r="V81" s="15"/>
      <c r="W81" s="15"/>
      <c r="X81" s="15"/>
      <c r="Y81" s="15"/>
      <c r="Z81" s="15"/>
    </row>
    <row r="82" ht="86.25" customHeight="1">
      <c r="A82" s="132" t="s">
        <v>1328</v>
      </c>
      <c r="B82" s="133" t="s">
        <v>1250</v>
      </c>
      <c r="C82" s="87" t="s">
        <v>147</v>
      </c>
      <c r="D82" s="88" t="s">
        <v>1329</v>
      </c>
      <c r="E82" s="88" t="s">
        <v>1330</v>
      </c>
      <c r="F82" s="89" t="s">
        <v>125</v>
      </c>
      <c r="G82" s="91" t="s">
        <v>73</v>
      </c>
      <c r="H82" s="92" t="s">
        <v>181</v>
      </c>
      <c r="I82" s="88" t="s">
        <v>1331</v>
      </c>
      <c r="J82" s="88" t="s">
        <v>1332</v>
      </c>
      <c r="K82" s="87" t="s">
        <v>904</v>
      </c>
      <c r="L82" s="93" t="s">
        <v>1333</v>
      </c>
      <c r="M82" s="15"/>
      <c r="N82" s="15"/>
      <c r="O82" s="15"/>
      <c r="P82" s="15"/>
      <c r="Q82" s="15"/>
      <c r="R82" s="15"/>
      <c r="S82" s="15"/>
      <c r="T82" s="15"/>
      <c r="U82" s="15"/>
      <c r="V82" s="15"/>
      <c r="W82" s="15"/>
      <c r="X82" s="15"/>
      <c r="Y82" s="15"/>
      <c r="Z82" s="15"/>
    </row>
    <row r="83" ht="45.0" customHeight="1">
      <c r="A83" s="134" t="s">
        <v>1334</v>
      </c>
      <c r="B83" s="135" t="s">
        <v>414</v>
      </c>
      <c r="C83" s="136" t="s">
        <v>1251</v>
      </c>
      <c r="D83" s="136" t="s">
        <v>1335</v>
      </c>
      <c r="E83" s="136" t="s">
        <v>1336</v>
      </c>
      <c r="F83" s="137" t="s">
        <v>125</v>
      </c>
      <c r="G83" s="137" t="s">
        <v>130</v>
      </c>
      <c r="H83" s="137" t="s">
        <v>36</v>
      </c>
      <c r="I83" s="137" t="s">
        <v>1337</v>
      </c>
      <c r="J83" s="136" t="s">
        <v>1338</v>
      </c>
      <c r="K83" s="137" t="s">
        <v>1339</v>
      </c>
      <c r="L83" s="137" t="s">
        <v>947</v>
      </c>
      <c r="M83" s="15"/>
      <c r="N83" s="15"/>
      <c r="O83" s="15"/>
      <c r="P83" s="15"/>
      <c r="Q83" s="15"/>
      <c r="R83" s="15"/>
      <c r="S83" s="15"/>
      <c r="T83" s="15"/>
      <c r="U83" s="15"/>
      <c r="V83" s="15"/>
      <c r="W83" s="15"/>
      <c r="X83" s="15"/>
      <c r="Y83" s="15"/>
      <c r="Z83" s="15"/>
    </row>
    <row r="84" ht="17.25" customHeight="1">
      <c r="A84" s="138" t="s">
        <v>1340</v>
      </c>
      <c r="B84" s="139" t="s">
        <v>414</v>
      </c>
      <c r="C84" s="63" t="s">
        <v>1251</v>
      </c>
      <c r="D84" s="63" t="s">
        <v>1341</v>
      </c>
      <c r="E84" s="63" t="s">
        <v>1342</v>
      </c>
      <c r="F84" s="103" t="s">
        <v>125</v>
      </c>
      <c r="G84" s="103" t="s">
        <v>130</v>
      </c>
      <c r="H84" s="103" t="s">
        <v>36</v>
      </c>
      <c r="I84" s="103" t="s">
        <v>1343</v>
      </c>
      <c r="J84" s="103" t="s">
        <v>836</v>
      </c>
      <c r="K84" s="103" t="s">
        <v>1344</v>
      </c>
      <c r="L84" s="103" t="s">
        <v>947</v>
      </c>
      <c r="M84" s="15"/>
      <c r="N84" s="15"/>
      <c r="O84" s="15"/>
      <c r="P84" s="15"/>
      <c r="Q84" s="15"/>
      <c r="R84" s="15"/>
      <c r="S84" s="15"/>
      <c r="T84" s="15"/>
      <c r="U84" s="15"/>
      <c r="V84" s="15"/>
      <c r="W84" s="15"/>
      <c r="X84" s="15"/>
      <c r="Y84" s="15"/>
      <c r="Z84" s="15"/>
    </row>
    <row r="85" ht="17.25" customHeight="1">
      <c r="A85" s="138" t="s">
        <v>1345</v>
      </c>
      <c r="B85" s="139" t="s">
        <v>414</v>
      </c>
      <c r="C85" s="63" t="s">
        <v>1251</v>
      </c>
      <c r="D85" s="63" t="s">
        <v>1346</v>
      </c>
      <c r="E85" s="63" t="s">
        <v>1347</v>
      </c>
      <c r="F85" s="103" t="s">
        <v>125</v>
      </c>
      <c r="G85" s="103" t="s">
        <v>130</v>
      </c>
      <c r="H85" s="103" t="s">
        <v>36</v>
      </c>
      <c r="I85" s="63" t="s">
        <v>1348</v>
      </c>
      <c r="J85" s="103" t="s">
        <v>836</v>
      </c>
      <c r="K85" s="103" t="s">
        <v>1344</v>
      </c>
      <c r="L85" s="103" t="s">
        <v>947</v>
      </c>
      <c r="M85" s="15"/>
      <c r="N85" s="15"/>
      <c r="O85" s="15"/>
      <c r="P85" s="15"/>
      <c r="Q85" s="15"/>
      <c r="R85" s="15"/>
      <c r="S85" s="15"/>
      <c r="T85" s="15"/>
      <c r="U85" s="15"/>
      <c r="V85" s="15"/>
      <c r="W85" s="15"/>
      <c r="X85" s="15"/>
      <c r="Y85" s="15"/>
      <c r="Z85" s="15"/>
    </row>
    <row r="86" ht="17.25" customHeight="1">
      <c r="A86" s="138" t="s">
        <v>1349</v>
      </c>
      <c r="B86" s="139" t="s">
        <v>414</v>
      </c>
      <c r="C86" s="63" t="s">
        <v>1251</v>
      </c>
      <c r="D86" s="63" t="s">
        <v>1350</v>
      </c>
      <c r="E86" s="63" t="s">
        <v>1351</v>
      </c>
      <c r="F86" s="103" t="s">
        <v>281</v>
      </c>
      <c r="G86" s="103" t="s">
        <v>175</v>
      </c>
      <c r="H86" s="103" t="s">
        <v>181</v>
      </c>
      <c r="I86" s="63" t="s">
        <v>1352</v>
      </c>
      <c r="J86" s="63" t="s">
        <v>1353</v>
      </c>
      <c r="K86" s="103" t="s">
        <v>1354</v>
      </c>
      <c r="L86" s="103" t="s">
        <v>947</v>
      </c>
      <c r="M86" s="15"/>
      <c r="N86" s="15"/>
      <c r="O86" s="15"/>
      <c r="P86" s="15"/>
      <c r="Q86" s="15"/>
      <c r="R86" s="15"/>
      <c r="S86" s="15"/>
      <c r="T86" s="15"/>
      <c r="U86" s="15"/>
      <c r="V86" s="15"/>
      <c r="W86" s="15"/>
      <c r="X86" s="15"/>
      <c r="Y86" s="15"/>
      <c r="Z86" s="15"/>
    </row>
    <row r="87" ht="58.5" customHeight="1">
      <c r="A87" s="138" t="s">
        <v>1355</v>
      </c>
      <c r="B87" s="139" t="s">
        <v>414</v>
      </c>
      <c r="C87" s="63" t="s">
        <v>1251</v>
      </c>
      <c r="D87" s="63" t="s">
        <v>1356</v>
      </c>
      <c r="E87" s="63" t="s">
        <v>1357</v>
      </c>
      <c r="F87" s="103" t="s">
        <v>125</v>
      </c>
      <c r="G87" s="103" t="s">
        <v>130</v>
      </c>
      <c r="H87" s="103" t="s">
        <v>36</v>
      </c>
      <c r="I87" s="63" t="s">
        <v>1358</v>
      </c>
      <c r="J87" s="103" t="s">
        <v>836</v>
      </c>
      <c r="K87" s="103" t="s">
        <v>1359</v>
      </c>
      <c r="L87" s="103" t="s">
        <v>947</v>
      </c>
      <c r="M87" s="15"/>
      <c r="N87" s="15"/>
      <c r="O87" s="15"/>
      <c r="P87" s="15"/>
      <c r="Q87" s="15"/>
      <c r="R87" s="15"/>
      <c r="S87" s="15"/>
      <c r="T87" s="15"/>
      <c r="U87" s="15"/>
      <c r="V87" s="15"/>
      <c r="W87" s="15"/>
      <c r="X87" s="15"/>
      <c r="Y87" s="15"/>
      <c r="Z87" s="15"/>
    </row>
    <row r="88" ht="45.0" customHeight="1">
      <c r="A88" s="140" t="s">
        <v>1360</v>
      </c>
      <c r="B88" s="141" t="s">
        <v>1361</v>
      </c>
      <c r="C88" s="75" t="s">
        <v>1251</v>
      </c>
      <c r="D88" s="75" t="s">
        <v>1362</v>
      </c>
      <c r="E88" s="75" t="s">
        <v>1363</v>
      </c>
      <c r="F88" s="77" t="s">
        <v>125</v>
      </c>
      <c r="G88" s="77" t="s">
        <v>130</v>
      </c>
      <c r="H88" s="78" t="s">
        <v>36</v>
      </c>
      <c r="I88" s="75" t="s">
        <v>1364</v>
      </c>
      <c r="J88" s="79" t="s">
        <v>836</v>
      </c>
      <c r="K88" s="79" t="s">
        <v>1365</v>
      </c>
      <c r="L88" s="77" t="s">
        <v>1366</v>
      </c>
      <c r="M88" s="15"/>
      <c r="N88" s="15"/>
      <c r="O88" s="15"/>
      <c r="P88" s="15"/>
      <c r="Q88" s="15"/>
      <c r="R88" s="15"/>
      <c r="S88" s="15"/>
      <c r="T88" s="15"/>
      <c r="U88" s="15"/>
      <c r="V88" s="15"/>
      <c r="W88" s="15"/>
      <c r="X88" s="15"/>
      <c r="Y88" s="15"/>
      <c r="Z88" s="15"/>
    </row>
    <row r="89" ht="100.5" customHeight="1">
      <c r="A89" s="142" t="s">
        <v>1367</v>
      </c>
      <c r="B89" s="143" t="s">
        <v>1361</v>
      </c>
      <c r="C89" s="87" t="s">
        <v>147</v>
      </c>
      <c r="D89" s="88" t="s">
        <v>1368</v>
      </c>
      <c r="E89" s="88" t="s">
        <v>1369</v>
      </c>
      <c r="F89" s="89" t="s">
        <v>281</v>
      </c>
      <c r="G89" s="91" t="s">
        <v>73</v>
      </c>
      <c r="H89" s="92" t="s">
        <v>181</v>
      </c>
      <c r="I89" s="88" t="s">
        <v>1370</v>
      </c>
      <c r="J89" s="88" t="s">
        <v>1371</v>
      </c>
      <c r="K89" s="88" t="s">
        <v>1372</v>
      </c>
      <c r="L89" s="93" t="s">
        <v>1373</v>
      </c>
      <c r="M89" s="15"/>
      <c r="N89" s="15"/>
      <c r="O89" s="15"/>
      <c r="P89" s="15"/>
      <c r="Q89" s="15"/>
      <c r="R89" s="15"/>
      <c r="S89" s="15"/>
      <c r="T89" s="15"/>
      <c r="U89" s="15"/>
      <c r="V89" s="15"/>
      <c r="W89" s="15"/>
      <c r="X89" s="15"/>
      <c r="Y89" s="15"/>
      <c r="Z89" s="15"/>
    </row>
    <row r="90" ht="45.0" customHeight="1">
      <c r="A90" s="142" t="s">
        <v>1374</v>
      </c>
      <c r="B90" s="143" t="s">
        <v>1361</v>
      </c>
      <c r="C90" s="87" t="s">
        <v>147</v>
      </c>
      <c r="D90" s="88" t="s">
        <v>1375</v>
      </c>
      <c r="E90" s="88" t="s">
        <v>1376</v>
      </c>
      <c r="F90" s="89" t="s">
        <v>281</v>
      </c>
      <c r="G90" s="91" t="s">
        <v>73</v>
      </c>
      <c r="H90" s="92" t="s">
        <v>181</v>
      </c>
      <c r="I90" s="88" t="s">
        <v>1377</v>
      </c>
      <c r="J90" s="88" t="s">
        <v>1378</v>
      </c>
      <c r="K90" s="87"/>
      <c r="L90" s="93" t="s">
        <v>1379</v>
      </c>
      <c r="M90" s="15"/>
      <c r="N90" s="15"/>
      <c r="O90" s="15"/>
      <c r="P90" s="15"/>
      <c r="Q90" s="15"/>
      <c r="R90" s="15"/>
      <c r="S90" s="15"/>
      <c r="T90" s="15"/>
      <c r="U90" s="15"/>
      <c r="V90" s="15"/>
      <c r="W90" s="15"/>
      <c r="X90" s="15"/>
      <c r="Y90" s="15"/>
      <c r="Z90" s="15"/>
    </row>
    <row r="91" ht="45.0" customHeight="1">
      <c r="A91" s="142" t="s">
        <v>1380</v>
      </c>
      <c r="B91" s="143" t="s">
        <v>1361</v>
      </c>
      <c r="C91" s="87" t="s">
        <v>147</v>
      </c>
      <c r="D91" s="88" t="s">
        <v>1381</v>
      </c>
      <c r="E91" s="88" t="s">
        <v>1382</v>
      </c>
      <c r="F91" s="89" t="s">
        <v>281</v>
      </c>
      <c r="G91" s="91" t="s">
        <v>73</v>
      </c>
      <c r="H91" s="92" t="s">
        <v>181</v>
      </c>
      <c r="I91" s="88" t="s">
        <v>1383</v>
      </c>
      <c r="J91" s="88" t="s">
        <v>1384</v>
      </c>
      <c r="K91" s="88" t="s">
        <v>1385</v>
      </c>
      <c r="L91" s="93" t="s">
        <v>1386</v>
      </c>
      <c r="M91" s="15"/>
      <c r="N91" s="15"/>
      <c r="O91" s="15"/>
      <c r="P91" s="15"/>
      <c r="Q91" s="15"/>
      <c r="R91" s="15"/>
      <c r="S91" s="15"/>
      <c r="T91" s="15"/>
      <c r="U91" s="15"/>
      <c r="V91" s="15"/>
      <c r="W91" s="15"/>
      <c r="X91" s="15"/>
      <c r="Y91" s="15"/>
      <c r="Z91" s="15"/>
    </row>
    <row r="92" ht="45.0" customHeight="1">
      <c r="A92" s="142" t="s">
        <v>1387</v>
      </c>
      <c r="B92" s="143" t="s">
        <v>1361</v>
      </c>
      <c r="C92" s="87" t="s">
        <v>147</v>
      </c>
      <c r="D92" s="88" t="s">
        <v>1388</v>
      </c>
      <c r="E92" s="88" t="s">
        <v>1389</v>
      </c>
      <c r="F92" s="89" t="s">
        <v>281</v>
      </c>
      <c r="G92" s="91" t="s">
        <v>73</v>
      </c>
      <c r="H92" s="92" t="s">
        <v>181</v>
      </c>
      <c r="I92" s="88" t="s">
        <v>1390</v>
      </c>
      <c r="J92" s="88" t="s">
        <v>1391</v>
      </c>
      <c r="K92" s="87"/>
      <c r="L92" s="93" t="s">
        <v>1392</v>
      </c>
      <c r="M92" s="15"/>
      <c r="N92" s="15"/>
      <c r="O92" s="15"/>
      <c r="P92" s="15"/>
      <c r="Q92" s="15"/>
      <c r="R92" s="15"/>
      <c r="S92" s="15"/>
      <c r="T92" s="15"/>
      <c r="U92" s="15"/>
      <c r="V92" s="15"/>
      <c r="W92" s="15"/>
      <c r="X92" s="15"/>
      <c r="Y92" s="15"/>
      <c r="Z92" s="15"/>
    </row>
    <row r="93" ht="58.5" customHeight="1">
      <c r="A93" s="142" t="s">
        <v>1393</v>
      </c>
      <c r="B93" s="143" t="s">
        <v>1361</v>
      </c>
      <c r="C93" s="87" t="s">
        <v>147</v>
      </c>
      <c r="D93" s="88" t="s">
        <v>1394</v>
      </c>
      <c r="E93" s="88" t="s">
        <v>1395</v>
      </c>
      <c r="F93" s="89" t="s">
        <v>281</v>
      </c>
      <c r="G93" s="91" t="s">
        <v>73</v>
      </c>
      <c r="H93" s="92" t="s">
        <v>181</v>
      </c>
      <c r="I93" s="88" t="s">
        <v>1396</v>
      </c>
      <c r="J93" s="88" t="s">
        <v>1397</v>
      </c>
      <c r="K93" s="87" t="s">
        <v>1398</v>
      </c>
      <c r="L93" s="93" t="s">
        <v>1399</v>
      </c>
      <c r="M93" s="15"/>
      <c r="N93" s="15"/>
      <c r="O93" s="15"/>
      <c r="P93" s="15"/>
      <c r="Q93" s="15"/>
      <c r="R93" s="15"/>
      <c r="S93" s="15"/>
      <c r="T93" s="15"/>
      <c r="U93" s="15"/>
      <c r="V93" s="15"/>
      <c r="W93" s="15"/>
      <c r="X93" s="15"/>
      <c r="Y93" s="15"/>
      <c r="Z93" s="15"/>
    </row>
    <row r="94" ht="72.75" customHeight="1">
      <c r="A94" s="144" t="s">
        <v>182</v>
      </c>
      <c r="B94" s="145" t="s">
        <v>157</v>
      </c>
      <c r="C94" s="79" t="s">
        <v>294</v>
      </c>
      <c r="D94" s="75" t="s">
        <v>1400</v>
      </c>
      <c r="E94" s="75" t="s">
        <v>1401</v>
      </c>
      <c r="F94" s="77" t="s">
        <v>125</v>
      </c>
      <c r="G94" s="77" t="s">
        <v>130</v>
      </c>
      <c r="H94" s="78" t="s">
        <v>36</v>
      </c>
      <c r="I94" s="75" t="s">
        <v>1402</v>
      </c>
      <c r="J94" s="75" t="s">
        <v>1403</v>
      </c>
      <c r="K94" s="79" t="s">
        <v>1404</v>
      </c>
      <c r="L94" s="77" t="s">
        <v>1405</v>
      </c>
      <c r="M94" s="15"/>
      <c r="N94" s="15"/>
      <c r="O94" s="15"/>
      <c r="P94" s="15"/>
      <c r="Q94" s="15"/>
      <c r="R94" s="15"/>
      <c r="S94" s="15"/>
      <c r="T94" s="15"/>
      <c r="U94" s="15"/>
      <c r="V94" s="15"/>
      <c r="W94" s="15"/>
      <c r="X94" s="15"/>
      <c r="Y94" s="15"/>
      <c r="Z94" s="15"/>
    </row>
    <row r="95" ht="58.5" customHeight="1">
      <c r="A95" s="146" t="s">
        <v>201</v>
      </c>
      <c r="B95" s="147" t="s">
        <v>157</v>
      </c>
      <c r="C95" s="22" t="s">
        <v>294</v>
      </c>
      <c r="D95" s="36" t="s">
        <v>1406</v>
      </c>
      <c r="E95" s="36" t="s">
        <v>1407</v>
      </c>
      <c r="F95" s="82" t="s">
        <v>125</v>
      </c>
      <c r="G95" s="82" t="s">
        <v>130</v>
      </c>
      <c r="H95" s="83" t="s">
        <v>36</v>
      </c>
      <c r="I95" s="36" t="s">
        <v>1408</v>
      </c>
      <c r="J95" s="36" t="s">
        <v>1409</v>
      </c>
      <c r="K95" s="22" t="s">
        <v>1410</v>
      </c>
      <c r="L95" s="82" t="s">
        <v>1411</v>
      </c>
      <c r="M95" s="15"/>
      <c r="N95" s="15"/>
      <c r="O95" s="15"/>
      <c r="P95" s="15"/>
      <c r="Q95" s="15"/>
      <c r="R95" s="15"/>
      <c r="S95" s="15"/>
      <c r="T95" s="15"/>
      <c r="U95" s="15"/>
      <c r="V95" s="15"/>
      <c r="W95" s="15"/>
      <c r="X95" s="15"/>
      <c r="Y95" s="15"/>
      <c r="Z95" s="15"/>
    </row>
    <row r="96">
      <c r="A96" s="146" t="s">
        <v>192</v>
      </c>
      <c r="B96" s="147" t="s">
        <v>157</v>
      </c>
      <c r="C96" s="22" t="s">
        <v>294</v>
      </c>
      <c r="D96" s="36" t="s">
        <v>1412</v>
      </c>
      <c r="E96" s="36" t="s">
        <v>1413</v>
      </c>
      <c r="F96" s="82" t="s">
        <v>125</v>
      </c>
      <c r="G96" s="82" t="s">
        <v>130</v>
      </c>
      <c r="H96" s="83" t="s">
        <v>36</v>
      </c>
      <c r="I96" s="36" t="s">
        <v>1414</v>
      </c>
      <c r="J96" s="36" t="s">
        <v>1415</v>
      </c>
      <c r="K96" s="22" t="s">
        <v>1416</v>
      </c>
      <c r="L96" s="148" t="s">
        <v>1417</v>
      </c>
      <c r="M96" s="15"/>
      <c r="N96" s="15"/>
      <c r="O96" s="15"/>
      <c r="P96" s="15"/>
      <c r="Q96" s="15"/>
      <c r="R96" s="15"/>
      <c r="S96" s="15"/>
      <c r="T96" s="15"/>
      <c r="U96" s="15"/>
      <c r="V96" s="15"/>
      <c r="W96" s="15"/>
      <c r="X96" s="15"/>
      <c r="Y96" s="15"/>
      <c r="Z96" s="15"/>
    </row>
    <row r="97" ht="58.5" customHeight="1">
      <c r="A97" s="149" t="s">
        <v>270</v>
      </c>
      <c r="B97" s="150" t="s">
        <v>296</v>
      </c>
      <c r="C97" s="136" t="s">
        <v>1251</v>
      </c>
      <c r="D97" s="136" t="s">
        <v>1418</v>
      </c>
      <c r="E97" s="136" t="s">
        <v>1419</v>
      </c>
      <c r="F97" s="137" t="s">
        <v>125</v>
      </c>
      <c r="G97" s="137" t="s">
        <v>130</v>
      </c>
      <c r="H97" s="137" t="s">
        <v>36</v>
      </c>
      <c r="I97" s="136" t="s">
        <v>1420</v>
      </c>
      <c r="J97" s="136" t="s">
        <v>1421</v>
      </c>
      <c r="K97" s="137" t="s">
        <v>1422</v>
      </c>
      <c r="L97" s="137" t="s">
        <v>947</v>
      </c>
      <c r="M97" s="15"/>
      <c r="N97" s="15"/>
      <c r="O97" s="15"/>
      <c r="P97" s="15"/>
      <c r="Q97" s="15"/>
      <c r="R97" s="15"/>
      <c r="S97" s="15"/>
      <c r="T97" s="15"/>
      <c r="U97" s="15"/>
      <c r="V97" s="15"/>
      <c r="W97" s="15"/>
      <c r="X97" s="15"/>
      <c r="Y97" s="15"/>
      <c r="Z97" s="15"/>
    </row>
    <row r="98" ht="72.75" customHeight="1">
      <c r="A98" s="151" t="s">
        <v>305</v>
      </c>
      <c r="B98" s="152" t="s">
        <v>296</v>
      </c>
      <c r="C98" s="103" t="s">
        <v>359</v>
      </c>
      <c r="D98" s="63" t="s">
        <v>1423</v>
      </c>
      <c r="E98" s="63" t="s">
        <v>1424</v>
      </c>
      <c r="F98" s="103" t="s">
        <v>125</v>
      </c>
      <c r="G98" s="103" t="s">
        <v>130</v>
      </c>
      <c r="H98" s="103" t="s">
        <v>36</v>
      </c>
      <c r="I98" s="63" t="s">
        <v>1425</v>
      </c>
      <c r="J98" s="63" t="s">
        <v>1426</v>
      </c>
      <c r="K98" s="103" t="s">
        <v>1427</v>
      </c>
      <c r="L98" s="103" t="s">
        <v>947</v>
      </c>
      <c r="M98" s="15"/>
      <c r="N98" s="15"/>
      <c r="O98" s="15"/>
      <c r="P98" s="15"/>
      <c r="Q98" s="15"/>
      <c r="R98" s="15"/>
      <c r="S98" s="15"/>
      <c r="T98" s="15"/>
      <c r="U98" s="15"/>
      <c r="V98" s="15"/>
      <c r="W98" s="15"/>
      <c r="X98" s="15"/>
      <c r="Y98" s="15"/>
      <c r="Z98" s="15"/>
    </row>
    <row r="99" ht="72.75" customHeight="1">
      <c r="A99" s="151" t="s">
        <v>315</v>
      </c>
      <c r="B99" s="152" t="s">
        <v>296</v>
      </c>
      <c r="C99" s="103" t="s">
        <v>359</v>
      </c>
      <c r="D99" s="63" t="s">
        <v>1428</v>
      </c>
      <c r="E99" s="63" t="s">
        <v>1429</v>
      </c>
      <c r="F99" s="103" t="s">
        <v>125</v>
      </c>
      <c r="G99" s="103" t="s">
        <v>130</v>
      </c>
      <c r="H99" s="103" t="s">
        <v>36</v>
      </c>
      <c r="I99" s="63" t="s">
        <v>1430</v>
      </c>
      <c r="J99" s="103" t="s">
        <v>836</v>
      </c>
      <c r="K99" s="103" t="s">
        <v>1431</v>
      </c>
      <c r="L99" s="103" t="s">
        <v>947</v>
      </c>
      <c r="M99" s="15"/>
      <c r="N99" s="15"/>
      <c r="O99" s="15"/>
      <c r="P99" s="15"/>
      <c r="Q99" s="15"/>
      <c r="R99" s="15"/>
      <c r="S99" s="15"/>
      <c r="T99" s="15"/>
      <c r="U99" s="15"/>
      <c r="V99" s="15"/>
      <c r="W99" s="15"/>
      <c r="X99" s="15"/>
      <c r="Y99" s="15"/>
      <c r="Z99" s="15"/>
    </row>
    <row r="100" ht="141.75" customHeight="1">
      <c r="A100" s="151" t="s">
        <v>353</v>
      </c>
      <c r="B100" s="152" t="s">
        <v>296</v>
      </c>
      <c r="C100" s="103" t="s">
        <v>359</v>
      </c>
      <c r="D100" s="63" t="s">
        <v>1432</v>
      </c>
      <c r="E100" s="63" t="s">
        <v>1433</v>
      </c>
      <c r="F100" s="103" t="s">
        <v>125</v>
      </c>
      <c r="G100" s="103" t="s">
        <v>130</v>
      </c>
      <c r="H100" s="103" t="s">
        <v>36</v>
      </c>
      <c r="I100" s="63" t="s">
        <v>1434</v>
      </c>
      <c r="J100" s="63" t="s">
        <v>1435</v>
      </c>
      <c r="K100" s="103" t="s">
        <v>1436</v>
      </c>
      <c r="L100" s="103" t="s">
        <v>947</v>
      </c>
      <c r="M100" s="15"/>
      <c r="N100" s="15"/>
      <c r="O100" s="15"/>
      <c r="P100" s="15"/>
      <c r="Q100" s="15"/>
      <c r="R100" s="15"/>
      <c r="S100" s="15"/>
      <c r="T100" s="15"/>
      <c r="U100" s="15"/>
      <c r="V100" s="15"/>
      <c r="W100" s="15"/>
      <c r="X100" s="15"/>
      <c r="Y100" s="15"/>
      <c r="Z100" s="15"/>
    </row>
    <row r="101">
      <c r="A101" s="151" t="s">
        <v>367</v>
      </c>
      <c r="B101" s="152" t="s">
        <v>296</v>
      </c>
      <c r="C101" s="103" t="s">
        <v>359</v>
      </c>
      <c r="D101" s="63" t="s">
        <v>1437</v>
      </c>
      <c r="E101" s="63" t="s">
        <v>1438</v>
      </c>
      <c r="F101" s="103" t="s">
        <v>125</v>
      </c>
      <c r="G101" s="103" t="s">
        <v>130</v>
      </c>
      <c r="H101" s="103" t="s">
        <v>36</v>
      </c>
      <c r="I101" s="63" t="s">
        <v>1439</v>
      </c>
      <c r="J101" s="103" t="s">
        <v>836</v>
      </c>
      <c r="K101" s="103" t="s">
        <v>1440</v>
      </c>
      <c r="L101" s="103" t="s">
        <v>947</v>
      </c>
      <c r="M101" s="15"/>
      <c r="N101" s="15"/>
      <c r="O101" s="15"/>
      <c r="P101" s="15"/>
      <c r="Q101" s="15"/>
      <c r="R101" s="15"/>
      <c r="S101" s="15"/>
      <c r="T101" s="15"/>
      <c r="U101" s="15"/>
      <c r="V101" s="15"/>
      <c r="W101" s="15"/>
      <c r="X101" s="15"/>
      <c r="Y101" s="15"/>
      <c r="Z101" s="15"/>
    </row>
    <row r="102" ht="86.25" customHeight="1">
      <c r="A102" s="151" t="s">
        <v>379</v>
      </c>
      <c r="B102" s="152" t="s">
        <v>296</v>
      </c>
      <c r="C102" s="103" t="s">
        <v>359</v>
      </c>
      <c r="D102" s="63" t="s">
        <v>1441</v>
      </c>
      <c r="E102" s="63" t="s">
        <v>1442</v>
      </c>
      <c r="F102" s="103" t="s">
        <v>125</v>
      </c>
      <c r="G102" s="103" t="s">
        <v>130</v>
      </c>
      <c r="H102" s="103" t="s">
        <v>36</v>
      </c>
      <c r="I102" s="103" t="s">
        <v>1443</v>
      </c>
      <c r="J102" s="103" t="s">
        <v>836</v>
      </c>
      <c r="K102" s="103" t="s">
        <v>1444</v>
      </c>
      <c r="L102" s="103" t="s">
        <v>947</v>
      </c>
      <c r="M102" s="15"/>
      <c r="N102" s="15"/>
      <c r="O102" s="15"/>
      <c r="P102" s="15"/>
      <c r="Q102" s="15"/>
      <c r="R102" s="15"/>
      <c r="S102" s="15"/>
      <c r="T102" s="15"/>
      <c r="U102" s="15"/>
      <c r="V102" s="15"/>
      <c r="W102" s="15"/>
      <c r="X102" s="15"/>
      <c r="Y102" s="15"/>
      <c r="Z102" s="15"/>
    </row>
    <row r="103" ht="58.5" customHeight="1">
      <c r="A103" s="151" t="s">
        <v>390</v>
      </c>
      <c r="B103" s="152" t="s">
        <v>296</v>
      </c>
      <c r="C103" s="63" t="s">
        <v>1251</v>
      </c>
      <c r="D103" s="63" t="s">
        <v>1445</v>
      </c>
      <c r="E103" s="63" t="s">
        <v>1446</v>
      </c>
      <c r="F103" s="103" t="s">
        <v>125</v>
      </c>
      <c r="G103" s="103" t="s">
        <v>130</v>
      </c>
      <c r="H103" s="103" t="s">
        <v>36</v>
      </c>
      <c r="I103" s="63" t="s">
        <v>1447</v>
      </c>
      <c r="J103" s="103" t="s">
        <v>836</v>
      </c>
      <c r="K103" s="103" t="s">
        <v>947</v>
      </c>
      <c r="L103" s="103" t="s">
        <v>947</v>
      </c>
      <c r="M103" s="15"/>
      <c r="N103" s="15"/>
      <c r="O103" s="15"/>
      <c r="P103" s="15"/>
      <c r="Q103" s="15"/>
      <c r="R103" s="15"/>
      <c r="S103" s="15"/>
      <c r="T103" s="15"/>
      <c r="U103" s="15"/>
      <c r="V103" s="15"/>
      <c r="W103" s="15"/>
      <c r="X103" s="15"/>
      <c r="Y103" s="15"/>
      <c r="Z103" s="15"/>
    </row>
    <row r="104" ht="72.75" customHeight="1">
      <c r="A104" s="151" t="s">
        <v>1448</v>
      </c>
      <c r="B104" s="152" t="s">
        <v>296</v>
      </c>
      <c r="C104" s="22" t="s">
        <v>359</v>
      </c>
      <c r="D104" s="36" t="s">
        <v>1449</v>
      </c>
      <c r="E104" s="36" t="s">
        <v>1450</v>
      </c>
      <c r="F104" s="82" t="s">
        <v>125</v>
      </c>
      <c r="G104" s="82" t="s">
        <v>130</v>
      </c>
      <c r="H104" s="83" t="s">
        <v>36</v>
      </c>
      <c r="I104" s="36" t="s">
        <v>1451</v>
      </c>
      <c r="J104" s="36" t="s">
        <v>1452</v>
      </c>
      <c r="K104" s="22" t="s">
        <v>1453</v>
      </c>
      <c r="L104" s="82" t="s">
        <v>1454</v>
      </c>
      <c r="M104" s="15"/>
      <c r="N104" s="15"/>
      <c r="O104" s="15"/>
      <c r="P104" s="15"/>
      <c r="Q104" s="15"/>
      <c r="R104" s="15"/>
      <c r="S104" s="15"/>
      <c r="T104" s="15"/>
      <c r="U104" s="15"/>
      <c r="V104" s="15"/>
      <c r="W104" s="15"/>
      <c r="X104" s="15"/>
      <c r="Y104" s="15"/>
      <c r="Z104" s="15"/>
    </row>
    <row r="105" ht="72.75" customHeight="1">
      <c r="A105" s="153" t="s">
        <v>1455</v>
      </c>
      <c r="B105" s="154" t="s">
        <v>1456</v>
      </c>
      <c r="C105" s="108" t="s">
        <v>173</v>
      </c>
      <c r="D105" s="109" t="s">
        <v>1457</v>
      </c>
      <c r="E105" s="109" t="s">
        <v>1458</v>
      </c>
      <c r="F105" s="110" t="s">
        <v>125</v>
      </c>
      <c r="G105" s="111" t="s">
        <v>73</v>
      </c>
      <c r="H105" s="112" t="s">
        <v>181</v>
      </c>
      <c r="I105" s="109" t="s">
        <v>1459</v>
      </c>
      <c r="J105" s="109" t="s">
        <v>1460</v>
      </c>
      <c r="K105" s="109" t="s">
        <v>1461</v>
      </c>
      <c r="L105" s="113" t="s">
        <v>1462</v>
      </c>
      <c r="M105" s="15"/>
      <c r="N105" s="15"/>
      <c r="O105" s="15"/>
      <c r="P105" s="15"/>
      <c r="Q105" s="15"/>
      <c r="R105" s="15"/>
      <c r="S105" s="15"/>
      <c r="T105" s="15"/>
      <c r="U105" s="15"/>
      <c r="V105" s="15"/>
      <c r="W105" s="15"/>
      <c r="X105" s="15"/>
      <c r="Y105" s="15"/>
      <c r="Z105" s="15"/>
    </row>
    <row r="106" ht="72.75" customHeight="1">
      <c r="A106" s="155" t="s">
        <v>1463</v>
      </c>
      <c r="B106" s="156" t="s">
        <v>1456</v>
      </c>
      <c r="C106" s="87" t="s">
        <v>173</v>
      </c>
      <c r="D106" s="88" t="s">
        <v>1464</v>
      </c>
      <c r="E106" s="88" t="s">
        <v>1465</v>
      </c>
      <c r="F106" s="89" t="s">
        <v>125</v>
      </c>
      <c r="G106" s="91" t="s">
        <v>73</v>
      </c>
      <c r="H106" s="92" t="s">
        <v>181</v>
      </c>
      <c r="I106" s="88" t="s">
        <v>1466</v>
      </c>
      <c r="J106" s="88" t="s">
        <v>1467</v>
      </c>
      <c r="K106" s="88" t="s">
        <v>1468</v>
      </c>
      <c r="L106" s="93" t="s">
        <v>1469</v>
      </c>
      <c r="M106" s="15"/>
      <c r="N106" s="15"/>
      <c r="O106" s="15"/>
      <c r="P106" s="15"/>
      <c r="Q106" s="15"/>
      <c r="R106" s="15"/>
      <c r="S106" s="15"/>
      <c r="T106" s="15"/>
      <c r="U106" s="15"/>
      <c r="V106" s="15"/>
      <c r="W106" s="15"/>
      <c r="X106" s="15"/>
      <c r="Y106" s="15"/>
      <c r="Z106" s="15"/>
    </row>
    <row r="107" ht="45.0" customHeight="1">
      <c r="A107" s="155" t="s">
        <v>1470</v>
      </c>
      <c r="B107" s="156" t="s">
        <v>1456</v>
      </c>
      <c r="C107" s="87" t="s">
        <v>173</v>
      </c>
      <c r="D107" s="88" t="s">
        <v>1471</v>
      </c>
      <c r="E107" s="87" t="s">
        <v>1472</v>
      </c>
      <c r="F107" s="89" t="s">
        <v>125</v>
      </c>
      <c r="G107" s="91" t="s">
        <v>73</v>
      </c>
      <c r="H107" s="92" t="s">
        <v>181</v>
      </c>
      <c r="I107" s="88" t="s">
        <v>1473</v>
      </c>
      <c r="J107" s="88" t="s">
        <v>1474</v>
      </c>
      <c r="K107" s="87"/>
      <c r="L107" s="93" t="s">
        <v>1475</v>
      </c>
      <c r="M107" s="15"/>
      <c r="N107" s="15"/>
      <c r="O107" s="15"/>
      <c r="P107" s="15"/>
      <c r="Q107" s="15"/>
      <c r="R107" s="15"/>
      <c r="S107" s="15"/>
      <c r="T107" s="15"/>
      <c r="U107" s="15"/>
      <c r="V107" s="15"/>
      <c r="W107" s="15"/>
      <c r="X107" s="15"/>
      <c r="Y107" s="15"/>
      <c r="Z107" s="15"/>
    </row>
    <row r="108" ht="58.5" customHeight="1">
      <c r="A108" s="155" t="s">
        <v>1476</v>
      </c>
      <c r="B108" s="156" t="s">
        <v>1456</v>
      </c>
      <c r="C108" s="87" t="s">
        <v>173</v>
      </c>
      <c r="D108" s="88" t="s">
        <v>1477</v>
      </c>
      <c r="E108" s="88" t="s">
        <v>1478</v>
      </c>
      <c r="F108" s="89" t="s">
        <v>125</v>
      </c>
      <c r="G108" s="91" t="s">
        <v>73</v>
      </c>
      <c r="H108" s="92" t="s">
        <v>181</v>
      </c>
      <c r="I108" s="88" t="s">
        <v>1479</v>
      </c>
      <c r="J108" s="88" t="s">
        <v>1480</v>
      </c>
      <c r="K108" s="87" t="s">
        <v>1481</v>
      </c>
      <c r="L108" s="93" t="s">
        <v>1482</v>
      </c>
      <c r="M108" s="15"/>
      <c r="N108" s="15"/>
      <c r="O108" s="15"/>
      <c r="P108" s="15"/>
      <c r="Q108" s="15"/>
      <c r="R108" s="15"/>
      <c r="S108" s="15"/>
      <c r="T108" s="15"/>
      <c r="U108" s="15"/>
      <c r="V108" s="15"/>
      <c r="W108" s="15"/>
      <c r="X108" s="15"/>
      <c r="Y108" s="15"/>
      <c r="Z108" s="15"/>
    </row>
    <row r="109" ht="58.5" customHeight="1">
      <c r="A109" s="155" t="s">
        <v>1483</v>
      </c>
      <c r="B109" s="156" t="s">
        <v>1456</v>
      </c>
      <c r="C109" s="87" t="s">
        <v>173</v>
      </c>
      <c r="D109" s="88" t="s">
        <v>1484</v>
      </c>
      <c r="E109" s="88" t="s">
        <v>1485</v>
      </c>
      <c r="F109" s="89" t="s">
        <v>125</v>
      </c>
      <c r="G109" s="91" t="s">
        <v>73</v>
      </c>
      <c r="H109" s="92" t="s">
        <v>181</v>
      </c>
      <c r="I109" s="88" t="s">
        <v>1486</v>
      </c>
      <c r="J109" s="88" t="s">
        <v>1487</v>
      </c>
      <c r="K109" s="87"/>
      <c r="L109" s="93" t="s">
        <v>1488</v>
      </c>
      <c r="M109" s="15"/>
      <c r="N109" s="15"/>
      <c r="O109" s="15"/>
      <c r="P109" s="15"/>
      <c r="Q109" s="15"/>
      <c r="R109" s="15"/>
      <c r="S109" s="15"/>
      <c r="T109" s="15"/>
      <c r="U109" s="15"/>
      <c r="V109" s="15"/>
      <c r="W109" s="15"/>
      <c r="X109" s="15"/>
      <c r="Y109" s="15"/>
      <c r="Z109" s="15"/>
    </row>
    <row r="110" ht="58.5" customHeight="1">
      <c r="A110" s="155" t="s">
        <v>1489</v>
      </c>
      <c r="B110" s="156" t="s">
        <v>1456</v>
      </c>
      <c r="C110" s="87" t="s">
        <v>173</v>
      </c>
      <c r="D110" s="88" t="s">
        <v>1490</v>
      </c>
      <c r="E110" s="88" t="s">
        <v>1491</v>
      </c>
      <c r="F110" s="89" t="s">
        <v>281</v>
      </c>
      <c r="G110" s="91" t="s">
        <v>73</v>
      </c>
      <c r="H110" s="92" t="s">
        <v>181</v>
      </c>
      <c r="I110" s="88" t="s">
        <v>1492</v>
      </c>
      <c r="J110" s="87" t="s">
        <v>836</v>
      </c>
      <c r="K110" s="87" t="s">
        <v>1493</v>
      </c>
      <c r="L110" s="93" t="s">
        <v>1494</v>
      </c>
      <c r="M110" s="15"/>
      <c r="N110" s="15"/>
      <c r="O110" s="15"/>
      <c r="P110" s="15"/>
      <c r="Q110" s="15"/>
      <c r="R110" s="15"/>
      <c r="S110" s="15"/>
      <c r="T110" s="15"/>
      <c r="U110" s="15"/>
      <c r="V110" s="15"/>
      <c r="W110" s="15"/>
      <c r="X110" s="15"/>
      <c r="Y110" s="15"/>
      <c r="Z110" s="15"/>
    </row>
    <row r="111" ht="58.5" customHeight="1">
      <c r="A111" s="155" t="s">
        <v>1495</v>
      </c>
      <c r="B111" s="156" t="s">
        <v>1456</v>
      </c>
      <c r="C111" s="87" t="s">
        <v>1496</v>
      </c>
      <c r="D111" s="88" t="s">
        <v>1497</v>
      </c>
      <c r="E111" s="88" t="s">
        <v>1498</v>
      </c>
      <c r="F111" s="89" t="s">
        <v>125</v>
      </c>
      <c r="G111" s="91" t="s">
        <v>73</v>
      </c>
      <c r="H111" s="92" t="s">
        <v>181</v>
      </c>
      <c r="I111" s="88" t="s">
        <v>1499</v>
      </c>
      <c r="J111" s="87" t="s">
        <v>1500</v>
      </c>
      <c r="K111" s="87" t="s">
        <v>1501</v>
      </c>
      <c r="L111" s="93" t="s">
        <v>1502</v>
      </c>
      <c r="M111" s="15"/>
      <c r="N111" s="15"/>
      <c r="O111" s="15"/>
      <c r="P111" s="15"/>
      <c r="Q111" s="15"/>
      <c r="R111" s="15"/>
      <c r="S111" s="15"/>
      <c r="T111" s="15"/>
      <c r="U111" s="15"/>
      <c r="V111" s="15"/>
      <c r="W111" s="15"/>
      <c r="X111" s="15"/>
      <c r="Y111" s="15"/>
      <c r="Z111" s="15"/>
    </row>
    <row r="112" ht="45.0" customHeight="1">
      <c r="A112" s="157" t="s">
        <v>256</v>
      </c>
      <c r="B112" s="158" t="s">
        <v>372</v>
      </c>
      <c r="C112" s="79" t="s">
        <v>1503</v>
      </c>
      <c r="D112" s="75" t="s">
        <v>1504</v>
      </c>
      <c r="E112" s="75" t="s">
        <v>1505</v>
      </c>
      <c r="F112" s="77" t="s">
        <v>125</v>
      </c>
      <c r="G112" s="77" t="s">
        <v>130</v>
      </c>
      <c r="H112" s="78" t="s">
        <v>36</v>
      </c>
      <c r="I112" s="75" t="s">
        <v>1506</v>
      </c>
      <c r="J112" s="75" t="s">
        <v>1507</v>
      </c>
      <c r="K112" s="79"/>
      <c r="L112" s="77" t="s">
        <v>1508</v>
      </c>
      <c r="M112" s="15"/>
      <c r="N112" s="15"/>
      <c r="O112" s="15"/>
      <c r="P112" s="15"/>
      <c r="Q112" s="15"/>
      <c r="R112" s="15"/>
      <c r="S112" s="15"/>
      <c r="T112" s="15"/>
      <c r="U112" s="15"/>
      <c r="V112" s="15"/>
      <c r="W112" s="15"/>
      <c r="X112" s="15"/>
      <c r="Y112" s="15"/>
      <c r="Z112" s="15"/>
    </row>
    <row r="113" ht="58.5" customHeight="1">
      <c r="A113" s="159" t="s">
        <v>1509</v>
      </c>
      <c r="B113" s="160" t="s">
        <v>372</v>
      </c>
      <c r="C113" s="51" t="s">
        <v>386</v>
      </c>
      <c r="D113" s="51" t="s">
        <v>1510</v>
      </c>
      <c r="E113" s="52" t="s">
        <v>1511</v>
      </c>
      <c r="F113" s="53" t="s">
        <v>125</v>
      </c>
      <c r="G113" s="53" t="s">
        <v>130</v>
      </c>
      <c r="H113" s="54" t="s">
        <v>36</v>
      </c>
      <c r="I113" s="52" t="s">
        <v>1512</v>
      </c>
      <c r="J113" s="52" t="s">
        <v>1513</v>
      </c>
      <c r="K113" s="51" t="s">
        <v>1514</v>
      </c>
      <c r="L113" s="53"/>
      <c r="M113" s="15"/>
      <c r="N113" s="15"/>
      <c r="O113" s="15"/>
      <c r="P113" s="15"/>
      <c r="Q113" s="15"/>
      <c r="R113" s="15"/>
      <c r="S113" s="15"/>
      <c r="T113" s="15"/>
      <c r="U113" s="15"/>
      <c r="V113" s="15"/>
      <c r="W113" s="15"/>
      <c r="X113" s="15"/>
      <c r="Y113" s="15"/>
      <c r="Z113" s="15"/>
    </row>
    <row r="114" ht="58.5" customHeight="1">
      <c r="A114" s="159" t="s">
        <v>1515</v>
      </c>
      <c r="B114" s="160" t="s">
        <v>372</v>
      </c>
      <c r="C114" s="36" t="s">
        <v>1251</v>
      </c>
      <c r="D114" s="36" t="s">
        <v>1516</v>
      </c>
      <c r="E114" s="36" t="s">
        <v>1517</v>
      </c>
      <c r="F114" s="82" t="s">
        <v>125</v>
      </c>
      <c r="G114" s="82" t="s">
        <v>130</v>
      </c>
      <c r="H114" s="83" t="s">
        <v>36</v>
      </c>
      <c r="I114" s="36" t="s">
        <v>1518</v>
      </c>
      <c r="J114" s="36" t="s">
        <v>836</v>
      </c>
      <c r="K114" s="22" t="s">
        <v>1519</v>
      </c>
      <c r="L114" s="82" t="s">
        <v>1520</v>
      </c>
      <c r="M114" s="15"/>
      <c r="N114" s="15"/>
      <c r="O114" s="15"/>
      <c r="P114" s="15"/>
      <c r="Q114" s="15"/>
      <c r="R114" s="15"/>
      <c r="S114" s="15"/>
      <c r="T114" s="15"/>
      <c r="U114" s="15"/>
      <c r="V114" s="15"/>
      <c r="W114" s="15"/>
      <c r="X114" s="15"/>
      <c r="Y114" s="15"/>
      <c r="Z114" s="15"/>
    </row>
    <row r="115" ht="45.0" customHeight="1">
      <c r="A115" s="159" t="s">
        <v>1521</v>
      </c>
      <c r="B115" s="160" t="s">
        <v>372</v>
      </c>
      <c r="C115" s="51" t="s">
        <v>386</v>
      </c>
      <c r="D115" s="52" t="s">
        <v>1522</v>
      </c>
      <c r="E115" s="51" t="s">
        <v>1523</v>
      </c>
      <c r="F115" s="53" t="s">
        <v>125</v>
      </c>
      <c r="G115" s="53" t="s">
        <v>130</v>
      </c>
      <c r="H115" s="54" t="s">
        <v>36</v>
      </c>
      <c r="I115" s="52" t="s">
        <v>1524</v>
      </c>
      <c r="J115" s="52" t="s">
        <v>1525</v>
      </c>
      <c r="K115" s="51" t="s">
        <v>1526</v>
      </c>
      <c r="L115" s="53"/>
      <c r="M115" s="15"/>
      <c r="N115" s="15"/>
      <c r="O115" s="15"/>
      <c r="P115" s="15"/>
      <c r="Q115" s="15"/>
      <c r="R115" s="15"/>
      <c r="S115" s="15"/>
      <c r="T115" s="15"/>
      <c r="U115" s="15"/>
      <c r="V115" s="15"/>
      <c r="W115" s="15"/>
      <c r="X115" s="15"/>
      <c r="Y115" s="15"/>
      <c r="Z115" s="15"/>
    </row>
    <row r="116" ht="72.75" customHeight="1">
      <c r="A116" s="159" t="s">
        <v>1527</v>
      </c>
      <c r="B116" s="160" t="s">
        <v>372</v>
      </c>
      <c r="C116" s="14" t="s">
        <v>386</v>
      </c>
      <c r="D116" s="29" t="s">
        <v>1528</v>
      </c>
      <c r="E116" s="29" t="s">
        <v>1529</v>
      </c>
      <c r="F116" s="57" t="s">
        <v>125</v>
      </c>
      <c r="G116" s="57" t="s">
        <v>130</v>
      </c>
      <c r="H116" s="54" t="s">
        <v>36</v>
      </c>
      <c r="I116" s="29" t="s">
        <v>1530</v>
      </c>
      <c r="J116" s="29" t="s">
        <v>1531</v>
      </c>
      <c r="K116" s="14" t="s">
        <v>1532</v>
      </c>
      <c r="L116" s="57"/>
      <c r="M116" s="15"/>
      <c r="N116" s="15"/>
      <c r="O116" s="15"/>
      <c r="P116" s="15"/>
      <c r="Q116" s="15"/>
      <c r="R116" s="15"/>
      <c r="S116" s="15"/>
      <c r="T116" s="15"/>
      <c r="U116" s="15"/>
      <c r="V116" s="15"/>
      <c r="W116" s="15"/>
      <c r="X116" s="15"/>
      <c r="Y116" s="15"/>
      <c r="Z116" s="15"/>
    </row>
    <row r="117" ht="72.75" customHeight="1">
      <c r="A117" s="159" t="s">
        <v>1533</v>
      </c>
      <c r="B117" s="160" t="s">
        <v>372</v>
      </c>
      <c r="C117" s="36" t="s">
        <v>1251</v>
      </c>
      <c r="D117" s="36" t="s">
        <v>1534</v>
      </c>
      <c r="E117" s="36" t="s">
        <v>1535</v>
      </c>
      <c r="F117" s="82" t="s">
        <v>125</v>
      </c>
      <c r="G117" s="82" t="s">
        <v>130</v>
      </c>
      <c r="H117" s="83" t="s">
        <v>36</v>
      </c>
      <c r="I117" s="36" t="s">
        <v>1536</v>
      </c>
      <c r="J117" s="36" t="s">
        <v>1537</v>
      </c>
      <c r="K117" s="22" t="s">
        <v>1538</v>
      </c>
      <c r="L117" s="82" t="s">
        <v>1539</v>
      </c>
      <c r="M117" s="15"/>
      <c r="N117" s="15"/>
      <c r="O117" s="15"/>
      <c r="P117" s="15"/>
      <c r="Q117" s="15"/>
      <c r="R117" s="15"/>
      <c r="S117" s="15"/>
      <c r="T117" s="15"/>
      <c r="U117" s="15"/>
      <c r="V117" s="15"/>
      <c r="W117" s="15"/>
      <c r="X117" s="15"/>
      <c r="Y117" s="15"/>
      <c r="Z117" s="15"/>
    </row>
    <row r="118" ht="72.75" customHeight="1">
      <c r="A118" s="159" t="s">
        <v>1540</v>
      </c>
      <c r="B118" s="160" t="s">
        <v>372</v>
      </c>
      <c r="C118" s="161" t="s">
        <v>386</v>
      </c>
      <c r="D118" s="162" t="s">
        <v>1541</v>
      </c>
      <c r="E118" s="162" t="s">
        <v>1542</v>
      </c>
      <c r="F118" s="163" t="s">
        <v>125</v>
      </c>
      <c r="G118" s="163" t="s">
        <v>130</v>
      </c>
      <c r="H118" s="164" t="s">
        <v>36</v>
      </c>
      <c r="I118" s="162" t="s">
        <v>1543</v>
      </c>
      <c r="J118" s="161" t="s">
        <v>836</v>
      </c>
      <c r="K118" s="161" t="s">
        <v>1544</v>
      </c>
      <c r="L118" s="163" t="s">
        <v>1545</v>
      </c>
      <c r="M118" s="15"/>
      <c r="N118" s="15"/>
      <c r="O118" s="15"/>
      <c r="P118" s="15"/>
      <c r="Q118" s="15"/>
      <c r="R118" s="15"/>
      <c r="S118" s="15"/>
      <c r="T118" s="15"/>
      <c r="U118" s="15"/>
      <c r="V118" s="15"/>
      <c r="W118" s="15"/>
      <c r="X118" s="15"/>
      <c r="Y118" s="15"/>
      <c r="Z118" s="15"/>
    </row>
    <row r="119" ht="114.0" customHeight="1">
      <c r="A119" s="159" t="s">
        <v>1546</v>
      </c>
      <c r="B119" s="160" t="s">
        <v>372</v>
      </c>
      <c r="C119" s="22" t="s">
        <v>386</v>
      </c>
      <c r="D119" s="36" t="s">
        <v>1547</v>
      </c>
      <c r="E119" s="36" t="s">
        <v>1548</v>
      </c>
      <c r="F119" s="82" t="s">
        <v>125</v>
      </c>
      <c r="G119" s="82" t="s">
        <v>130</v>
      </c>
      <c r="H119" s="83" t="s">
        <v>36</v>
      </c>
      <c r="I119" s="36" t="s">
        <v>1549</v>
      </c>
      <c r="J119" s="36" t="s">
        <v>1550</v>
      </c>
      <c r="K119" s="22" t="s">
        <v>1551</v>
      </c>
      <c r="L119" s="82" t="s">
        <v>1552</v>
      </c>
      <c r="M119" s="15"/>
      <c r="N119" s="15"/>
      <c r="O119" s="15"/>
      <c r="P119" s="15"/>
      <c r="Q119" s="15"/>
      <c r="R119" s="15"/>
      <c r="S119" s="15"/>
      <c r="T119" s="15"/>
      <c r="U119" s="15"/>
      <c r="V119" s="15"/>
      <c r="W119" s="15"/>
      <c r="X119" s="15"/>
      <c r="Y119" s="15"/>
      <c r="Z119" s="15"/>
    </row>
    <row r="120" ht="72.75" customHeight="1">
      <c r="A120" s="159" t="s">
        <v>1553</v>
      </c>
      <c r="B120" s="160" t="s">
        <v>372</v>
      </c>
      <c r="C120" s="161" t="s">
        <v>386</v>
      </c>
      <c r="D120" s="162" t="s">
        <v>1554</v>
      </c>
      <c r="E120" s="162" t="s">
        <v>1555</v>
      </c>
      <c r="F120" s="163" t="s">
        <v>281</v>
      </c>
      <c r="G120" s="163" t="s">
        <v>175</v>
      </c>
      <c r="H120" s="164" t="s">
        <v>181</v>
      </c>
      <c r="I120" s="162" t="s">
        <v>1556</v>
      </c>
      <c r="J120" s="161" t="s">
        <v>836</v>
      </c>
      <c r="K120" s="161" t="s">
        <v>1557</v>
      </c>
      <c r="L120" s="163" t="s">
        <v>1545</v>
      </c>
      <c r="M120" s="15"/>
      <c r="N120" s="15"/>
      <c r="O120" s="15"/>
      <c r="P120" s="15"/>
      <c r="Q120" s="15"/>
      <c r="R120" s="15"/>
      <c r="S120" s="15"/>
      <c r="T120" s="15"/>
      <c r="U120" s="15"/>
      <c r="V120" s="15"/>
      <c r="W120" s="15"/>
      <c r="X120" s="15"/>
      <c r="Y120" s="15"/>
      <c r="Z120" s="15"/>
    </row>
    <row r="121" ht="100.5" customHeight="1">
      <c r="A121" s="159" t="s">
        <v>1558</v>
      </c>
      <c r="B121" s="160" t="s">
        <v>372</v>
      </c>
      <c r="C121" s="36" t="s">
        <v>1251</v>
      </c>
      <c r="D121" s="36" t="s">
        <v>1559</v>
      </c>
      <c r="E121" s="36" t="s">
        <v>1560</v>
      </c>
      <c r="F121" s="82" t="s">
        <v>125</v>
      </c>
      <c r="G121" s="82" t="s">
        <v>130</v>
      </c>
      <c r="H121" s="83" t="s">
        <v>36</v>
      </c>
      <c r="I121" s="36" t="s">
        <v>1561</v>
      </c>
      <c r="J121" s="36" t="s">
        <v>1562</v>
      </c>
      <c r="K121" s="22" t="s">
        <v>1563</v>
      </c>
      <c r="L121" s="82" t="s">
        <v>1564</v>
      </c>
      <c r="M121" s="15"/>
      <c r="N121" s="15"/>
      <c r="O121" s="15"/>
      <c r="P121" s="15"/>
      <c r="Q121" s="15"/>
      <c r="R121" s="15"/>
      <c r="S121" s="15"/>
      <c r="T121" s="15"/>
      <c r="U121" s="15"/>
      <c r="V121" s="15"/>
      <c r="W121" s="15"/>
      <c r="X121" s="15"/>
      <c r="Y121" s="15"/>
      <c r="Z121" s="15"/>
    </row>
    <row r="122" ht="127.5" customHeight="1">
      <c r="A122" s="159" t="s">
        <v>1565</v>
      </c>
      <c r="B122" s="160" t="s">
        <v>372</v>
      </c>
      <c r="C122" s="14" t="s">
        <v>386</v>
      </c>
      <c r="D122" s="29" t="s">
        <v>1566</v>
      </c>
      <c r="E122" s="29" t="s">
        <v>1567</v>
      </c>
      <c r="F122" s="57" t="s">
        <v>125</v>
      </c>
      <c r="G122" s="57" t="s">
        <v>130</v>
      </c>
      <c r="H122" s="54" t="s">
        <v>36</v>
      </c>
      <c r="I122" s="29" t="s">
        <v>1568</v>
      </c>
      <c r="J122" s="29" t="s">
        <v>1569</v>
      </c>
      <c r="K122" s="14"/>
      <c r="L122" s="57"/>
      <c r="M122" s="15"/>
      <c r="N122" s="15"/>
      <c r="O122" s="15"/>
      <c r="P122" s="15"/>
      <c r="Q122" s="15"/>
      <c r="R122" s="15"/>
      <c r="S122" s="15"/>
      <c r="T122" s="15"/>
      <c r="U122" s="15"/>
      <c r="V122" s="15"/>
      <c r="W122" s="15"/>
      <c r="X122" s="15"/>
      <c r="Y122" s="15"/>
      <c r="Z122" s="15"/>
    </row>
    <row r="123" ht="72.75" customHeight="1">
      <c r="A123" s="159" t="s">
        <v>1570</v>
      </c>
      <c r="B123" s="160" t="s">
        <v>372</v>
      </c>
      <c r="C123" s="51" t="s">
        <v>556</v>
      </c>
      <c r="D123" s="52" t="s">
        <v>1571</v>
      </c>
      <c r="E123" s="52" t="s">
        <v>1572</v>
      </c>
      <c r="F123" s="53" t="s">
        <v>281</v>
      </c>
      <c r="G123" s="53" t="s">
        <v>175</v>
      </c>
      <c r="H123" s="58" t="s">
        <v>181</v>
      </c>
      <c r="I123" s="52" t="s">
        <v>1573</v>
      </c>
      <c r="J123" s="52" t="s">
        <v>1574</v>
      </c>
      <c r="K123" s="51" t="s">
        <v>1575</v>
      </c>
      <c r="L123" s="53"/>
      <c r="M123" s="15"/>
      <c r="N123" s="15"/>
      <c r="O123" s="15"/>
      <c r="P123" s="15"/>
      <c r="Q123" s="15"/>
      <c r="R123" s="15"/>
      <c r="S123" s="15"/>
      <c r="T123" s="15"/>
      <c r="U123" s="15"/>
      <c r="V123" s="15"/>
      <c r="W123" s="15"/>
      <c r="X123" s="15"/>
      <c r="Y123" s="15"/>
      <c r="Z123" s="15"/>
    </row>
    <row r="124" ht="100.5" customHeight="1">
      <c r="A124" s="159" t="s">
        <v>1576</v>
      </c>
      <c r="B124" s="160" t="s">
        <v>372</v>
      </c>
      <c r="C124" s="161" t="s">
        <v>472</v>
      </c>
      <c r="D124" s="162" t="s">
        <v>1577</v>
      </c>
      <c r="E124" s="162" t="s">
        <v>1578</v>
      </c>
      <c r="F124" s="163" t="s">
        <v>125</v>
      </c>
      <c r="G124" s="163" t="s">
        <v>175</v>
      </c>
      <c r="H124" s="164" t="s">
        <v>181</v>
      </c>
      <c r="I124" s="162" t="s">
        <v>1579</v>
      </c>
      <c r="J124" s="162" t="s">
        <v>1580</v>
      </c>
      <c r="K124" s="161" t="s">
        <v>1581</v>
      </c>
      <c r="L124" s="165" t="s">
        <v>1582</v>
      </c>
      <c r="M124" s="15"/>
      <c r="N124" s="15"/>
      <c r="O124" s="15"/>
      <c r="P124" s="15"/>
      <c r="Q124" s="15"/>
      <c r="R124" s="15"/>
      <c r="S124" s="15"/>
      <c r="T124" s="15"/>
      <c r="U124" s="15"/>
      <c r="V124" s="15"/>
      <c r="W124" s="15"/>
      <c r="X124" s="15"/>
      <c r="Y124" s="15"/>
      <c r="Z124" s="15"/>
    </row>
    <row r="125" ht="178.5" customHeight="1">
      <c r="A125" s="159" t="s">
        <v>1583</v>
      </c>
      <c r="B125" s="160" t="s">
        <v>372</v>
      </c>
      <c r="C125" s="63" t="s">
        <v>1251</v>
      </c>
      <c r="D125" s="63" t="s">
        <v>1584</v>
      </c>
      <c r="E125" s="63" t="s">
        <v>1585</v>
      </c>
      <c r="F125" s="103" t="s">
        <v>125</v>
      </c>
      <c r="G125" s="103" t="s">
        <v>130</v>
      </c>
      <c r="H125" s="103" t="s">
        <v>36</v>
      </c>
      <c r="I125" s="63" t="s">
        <v>1586</v>
      </c>
      <c r="J125" s="63" t="s">
        <v>1587</v>
      </c>
      <c r="K125" s="103" t="s">
        <v>1588</v>
      </c>
      <c r="L125" s="103" t="s">
        <v>947</v>
      </c>
      <c r="M125" s="15"/>
      <c r="N125" s="15"/>
      <c r="O125" s="15"/>
      <c r="P125" s="15"/>
      <c r="Q125" s="15"/>
      <c r="R125" s="15"/>
      <c r="S125" s="15"/>
      <c r="T125" s="15"/>
      <c r="U125" s="15"/>
      <c r="V125" s="15"/>
      <c r="W125" s="15"/>
      <c r="X125" s="15"/>
      <c r="Y125" s="15"/>
      <c r="Z125" s="15"/>
    </row>
    <row r="126" ht="72.75" customHeight="1">
      <c r="A126" s="159" t="s">
        <v>449</v>
      </c>
      <c r="B126" s="160" t="s">
        <v>372</v>
      </c>
      <c r="C126" s="63" t="s">
        <v>1251</v>
      </c>
      <c r="D126" s="63" t="s">
        <v>1589</v>
      </c>
      <c r="E126" s="63" t="s">
        <v>1590</v>
      </c>
      <c r="F126" s="103" t="s">
        <v>125</v>
      </c>
      <c r="G126" s="103" t="s">
        <v>130</v>
      </c>
      <c r="H126" s="103" t="s">
        <v>36</v>
      </c>
      <c r="I126" s="63" t="s">
        <v>1591</v>
      </c>
      <c r="J126" s="103" t="s">
        <v>836</v>
      </c>
      <c r="K126" s="103" t="s">
        <v>1592</v>
      </c>
      <c r="L126" s="103" t="s">
        <v>947</v>
      </c>
      <c r="M126" s="15"/>
      <c r="N126" s="15"/>
      <c r="O126" s="15"/>
      <c r="P126" s="15"/>
      <c r="Q126" s="15"/>
      <c r="R126" s="15"/>
      <c r="S126" s="15"/>
      <c r="T126" s="15"/>
      <c r="U126" s="15"/>
      <c r="V126" s="15"/>
      <c r="W126" s="15"/>
      <c r="X126" s="15"/>
      <c r="Y126" s="15"/>
      <c r="Z126" s="15"/>
    </row>
    <row r="127" ht="196.5" customHeight="1">
      <c r="A127" s="159" t="s">
        <v>456</v>
      </c>
      <c r="B127" s="160" t="s">
        <v>372</v>
      </c>
      <c r="C127" s="63" t="s">
        <v>909</v>
      </c>
      <c r="D127" s="63" t="s">
        <v>1593</v>
      </c>
      <c r="E127" s="103" t="s">
        <v>1594</v>
      </c>
      <c r="F127" s="103" t="s">
        <v>281</v>
      </c>
      <c r="G127" s="103" t="s">
        <v>175</v>
      </c>
      <c r="H127" s="103" t="s">
        <v>181</v>
      </c>
      <c r="I127" s="63" t="s">
        <v>1595</v>
      </c>
      <c r="J127" s="63" t="s">
        <v>1596</v>
      </c>
      <c r="K127" s="103" t="s">
        <v>1597</v>
      </c>
      <c r="L127" s="103" t="s">
        <v>947</v>
      </c>
      <c r="M127" s="15"/>
      <c r="N127" s="15"/>
      <c r="O127" s="15"/>
      <c r="P127" s="15"/>
      <c r="Q127" s="15"/>
      <c r="R127" s="15"/>
      <c r="S127" s="15"/>
      <c r="T127" s="15"/>
      <c r="U127" s="15"/>
      <c r="V127" s="15"/>
      <c r="W127" s="15"/>
      <c r="X127" s="15"/>
      <c r="Y127" s="15"/>
      <c r="Z127" s="15"/>
    </row>
    <row r="128" ht="86.25" customHeight="1">
      <c r="A128" s="166" t="s">
        <v>1598</v>
      </c>
      <c r="B128" s="167" t="s">
        <v>1599</v>
      </c>
      <c r="C128" s="136" t="s">
        <v>1251</v>
      </c>
      <c r="D128" s="136" t="s">
        <v>1600</v>
      </c>
      <c r="E128" s="136" t="s">
        <v>1601</v>
      </c>
      <c r="F128" s="137" t="s">
        <v>125</v>
      </c>
      <c r="G128" s="137" t="s">
        <v>130</v>
      </c>
      <c r="H128" s="137" t="s">
        <v>36</v>
      </c>
      <c r="I128" s="136" t="s">
        <v>1602</v>
      </c>
      <c r="J128" s="136" t="s">
        <v>1603</v>
      </c>
      <c r="K128" s="137" t="s">
        <v>1604</v>
      </c>
      <c r="L128" s="137" t="s">
        <v>947</v>
      </c>
      <c r="M128" s="15"/>
      <c r="N128" s="15"/>
      <c r="O128" s="15"/>
      <c r="P128" s="15"/>
      <c r="Q128" s="15"/>
      <c r="R128" s="15"/>
      <c r="S128" s="15"/>
      <c r="T128" s="15"/>
      <c r="U128" s="15"/>
      <c r="V128" s="15"/>
      <c r="W128" s="15"/>
      <c r="X128" s="15"/>
      <c r="Y128" s="15"/>
      <c r="Z128" s="15"/>
    </row>
    <row r="129" ht="72.75" customHeight="1">
      <c r="A129" s="168" t="s">
        <v>344</v>
      </c>
      <c r="B129" s="169" t="s">
        <v>1599</v>
      </c>
      <c r="C129" s="63" t="s">
        <v>1251</v>
      </c>
      <c r="D129" s="63" t="s">
        <v>1605</v>
      </c>
      <c r="E129" s="63" t="s">
        <v>1606</v>
      </c>
      <c r="F129" s="103" t="s">
        <v>125</v>
      </c>
      <c r="G129" s="103" t="s">
        <v>130</v>
      </c>
      <c r="H129" s="103" t="s">
        <v>36</v>
      </c>
      <c r="I129" s="63" t="s">
        <v>1607</v>
      </c>
      <c r="J129" s="103" t="s">
        <v>836</v>
      </c>
      <c r="K129" s="103" t="s">
        <v>1608</v>
      </c>
      <c r="L129" s="103" t="s">
        <v>947</v>
      </c>
      <c r="M129" s="15"/>
      <c r="N129" s="15"/>
      <c r="O129" s="15"/>
      <c r="P129" s="15"/>
      <c r="Q129" s="15"/>
      <c r="R129" s="15"/>
      <c r="S129" s="15"/>
      <c r="T129" s="15"/>
      <c r="U129" s="15"/>
      <c r="V129" s="15"/>
      <c r="W129" s="15"/>
      <c r="X129" s="15"/>
      <c r="Y129" s="15"/>
      <c r="Z129" s="15"/>
    </row>
    <row r="130" ht="141.75" customHeight="1">
      <c r="A130" s="168" t="s">
        <v>331</v>
      </c>
      <c r="B130" s="169" t="s">
        <v>1599</v>
      </c>
      <c r="C130" s="103" t="s">
        <v>359</v>
      </c>
      <c r="D130" s="63" t="s">
        <v>1609</v>
      </c>
      <c r="E130" s="63" t="s">
        <v>1610</v>
      </c>
      <c r="F130" s="103" t="s">
        <v>125</v>
      </c>
      <c r="G130" s="103" t="s">
        <v>130</v>
      </c>
      <c r="H130" s="103" t="s">
        <v>36</v>
      </c>
      <c r="I130" s="103" t="s">
        <v>1611</v>
      </c>
      <c r="J130" s="103" t="s">
        <v>836</v>
      </c>
      <c r="K130" s="103" t="s">
        <v>1612</v>
      </c>
      <c r="L130" s="103" t="s">
        <v>947</v>
      </c>
      <c r="M130" s="15"/>
      <c r="N130" s="15"/>
      <c r="O130" s="15"/>
      <c r="P130" s="15"/>
      <c r="Q130" s="15"/>
      <c r="R130" s="15"/>
      <c r="S130" s="15"/>
      <c r="T130" s="15"/>
      <c r="U130" s="15"/>
      <c r="V130" s="15"/>
      <c r="W130" s="15"/>
      <c r="X130" s="15"/>
      <c r="Y130" s="15"/>
      <c r="Z130" s="15"/>
    </row>
    <row r="131" ht="169.5" customHeight="1">
      <c r="A131" s="170" t="s">
        <v>503</v>
      </c>
      <c r="B131" s="171" t="s">
        <v>473</v>
      </c>
      <c r="C131" s="79" t="s">
        <v>411</v>
      </c>
      <c r="D131" s="75" t="s">
        <v>1613</v>
      </c>
      <c r="E131" s="75" t="s">
        <v>1614</v>
      </c>
      <c r="F131" s="77" t="s">
        <v>125</v>
      </c>
      <c r="G131" s="77" t="s">
        <v>130</v>
      </c>
      <c r="H131" s="78" t="s">
        <v>36</v>
      </c>
      <c r="I131" s="75" t="s">
        <v>1615</v>
      </c>
      <c r="J131" s="75" t="s">
        <v>1616</v>
      </c>
      <c r="K131" s="79"/>
      <c r="L131" s="77" t="s">
        <v>1617</v>
      </c>
      <c r="M131" s="15"/>
      <c r="N131" s="15"/>
      <c r="O131" s="15"/>
      <c r="P131" s="15"/>
      <c r="Q131" s="15"/>
      <c r="R131" s="15"/>
      <c r="S131" s="15"/>
      <c r="T131" s="15"/>
      <c r="U131" s="15"/>
      <c r="V131" s="15"/>
      <c r="W131" s="15"/>
      <c r="X131" s="15"/>
      <c r="Y131" s="15"/>
      <c r="Z131" s="15"/>
    </row>
    <row r="132" ht="58.5" customHeight="1">
      <c r="A132" s="172" t="s">
        <v>1618</v>
      </c>
      <c r="B132" s="173" t="s">
        <v>473</v>
      </c>
      <c r="C132" s="22" t="s">
        <v>411</v>
      </c>
      <c r="D132" s="36" t="s">
        <v>1619</v>
      </c>
      <c r="E132" s="36" t="s">
        <v>1620</v>
      </c>
      <c r="F132" s="82" t="s">
        <v>125</v>
      </c>
      <c r="G132" s="82" t="s">
        <v>130</v>
      </c>
      <c r="H132" s="83" t="s">
        <v>36</v>
      </c>
      <c r="I132" s="36" t="s">
        <v>1621</v>
      </c>
      <c r="J132" s="36" t="s">
        <v>1622</v>
      </c>
      <c r="K132" s="22" t="s">
        <v>1623</v>
      </c>
      <c r="L132" s="82" t="s">
        <v>1624</v>
      </c>
      <c r="M132" s="15"/>
      <c r="N132" s="15"/>
      <c r="O132" s="15"/>
      <c r="P132" s="15"/>
      <c r="Q132" s="15"/>
      <c r="R132" s="15"/>
      <c r="S132" s="15"/>
      <c r="T132" s="15"/>
      <c r="U132" s="15"/>
      <c r="V132" s="15"/>
      <c r="W132" s="15"/>
      <c r="X132" s="15"/>
      <c r="Y132" s="15"/>
      <c r="Z132" s="15"/>
    </row>
    <row r="133" ht="58.5" customHeight="1">
      <c r="A133" s="172" t="s">
        <v>1625</v>
      </c>
      <c r="B133" s="173" t="s">
        <v>473</v>
      </c>
      <c r="C133" s="22" t="s">
        <v>411</v>
      </c>
      <c r="D133" s="36" t="s">
        <v>1626</v>
      </c>
      <c r="E133" s="36" t="s">
        <v>1627</v>
      </c>
      <c r="F133" s="82" t="s">
        <v>125</v>
      </c>
      <c r="G133" s="82" t="s">
        <v>130</v>
      </c>
      <c r="H133" s="83" t="s">
        <v>36</v>
      </c>
      <c r="I133" s="36" t="s">
        <v>1628</v>
      </c>
      <c r="J133" s="36" t="s">
        <v>1629</v>
      </c>
      <c r="K133" s="22" t="s">
        <v>1630</v>
      </c>
      <c r="L133" s="82" t="s">
        <v>1631</v>
      </c>
      <c r="M133" s="15"/>
      <c r="N133" s="15"/>
      <c r="O133" s="15"/>
      <c r="P133" s="15"/>
      <c r="Q133" s="15"/>
      <c r="R133" s="15"/>
      <c r="S133" s="15"/>
      <c r="T133" s="15"/>
      <c r="U133" s="15"/>
      <c r="V133" s="15"/>
      <c r="W133" s="15"/>
      <c r="X133" s="15"/>
      <c r="Y133" s="15"/>
      <c r="Z133" s="15"/>
    </row>
    <row r="134" ht="45.0" customHeight="1">
      <c r="A134" s="172" t="s">
        <v>554</v>
      </c>
      <c r="B134" s="173" t="s">
        <v>473</v>
      </c>
      <c r="C134" s="22" t="s">
        <v>411</v>
      </c>
      <c r="D134" s="36" t="s">
        <v>1632</v>
      </c>
      <c r="E134" s="36" t="s">
        <v>1633</v>
      </c>
      <c r="F134" s="82" t="s">
        <v>281</v>
      </c>
      <c r="G134" s="82" t="s">
        <v>175</v>
      </c>
      <c r="H134" s="83" t="s">
        <v>181</v>
      </c>
      <c r="I134" s="36" t="s">
        <v>1634</v>
      </c>
      <c r="J134" s="36" t="s">
        <v>1635</v>
      </c>
      <c r="K134" s="22" t="s">
        <v>1636</v>
      </c>
      <c r="L134" s="82" t="s">
        <v>1637</v>
      </c>
      <c r="M134" s="15"/>
      <c r="N134" s="15"/>
      <c r="O134" s="15"/>
      <c r="P134" s="15"/>
      <c r="Q134" s="15"/>
      <c r="R134" s="15"/>
      <c r="S134" s="15"/>
      <c r="T134" s="15"/>
      <c r="U134" s="15"/>
      <c r="V134" s="15"/>
      <c r="W134" s="15"/>
      <c r="X134" s="15"/>
      <c r="Y134" s="15"/>
      <c r="Z134" s="15"/>
    </row>
    <row r="135" ht="31.5" customHeight="1">
      <c r="A135" s="172" t="s">
        <v>539</v>
      </c>
      <c r="B135" s="173" t="s">
        <v>473</v>
      </c>
      <c r="C135" s="14" t="s">
        <v>411</v>
      </c>
      <c r="D135" s="29" t="s">
        <v>1638</v>
      </c>
      <c r="E135" s="29" t="s">
        <v>1639</v>
      </c>
      <c r="F135" s="57" t="s">
        <v>125</v>
      </c>
      <c r="G135" s="57" t="s">
        <v>130</v>
      </c>
      <c r="H135" s="54" t="s">
        <v>36</v>
      </c>
      <c r="I135" s="29" t="s">
        <v>1640</v>
      </c>
      <c r="J135" s="29" t="s">
        <v>1641</v>
      </c>
      <c r="K135" s="14" t="s">
        <v>1642</v>
      </c>
      <c r="L135" s="57"/>
      <c r="M135" s="15"/>
      <c r="N135" s="15"/>
      <c r="O135" s="15"/>
      <c r="P135" s="15"/>
      <c r="Q135" s="15"/>
      <c r="R135" s="15"/>
      <c r="S135" s="15"/>
      <c r="T135" s="15"/>
      <c r="U135" s="15"/>
      <c r="V135" s="15"/>
      <c r="W135" s="15"/>
      <c r="X135" s="15"/>
      <c r="Y135" s="15"/>
      <c r="Z135" s="15"/>
    </row>
    <row r="136" ht="58.5" customHeight="1">
      <c r="A136" s="172" t="s">
        <v>530</v>
      </c>
      <c r="B136" s="173" t="s">
        <v>473</v>
      </c>
      <c r="C136" s="22" t="s">
        <v>411</v>
      </c>
      <c r="D136" s="36" t="s">
        <v>1643</v>
      </c>
      <c r="E136" s="36" t="s">
        <v>1644</v>
      </c>
      <c r="F136" s="82" t="s">
        <v>125</v>
      </c>
      <c r="G136" s="82" t="s">
        <v>130</v>
      </c>
      <c r="H136" s="83" t="s">
        <v>36</v>
      </c>
      <c r="I136" s="36" t="s">
        <v>1645</v>
      </c>
      <c r="J136" s="36" t="s">
        <v>1646</v>
      </c>
      <c r="K136" s="22" t="s">
        <v>1647</v>
      </c>
      <c r="L136" s="82" t="s">
        <v>1648</v>
      </c>
      <c r="M136" s="15"/>
      <c r="N136" s="15"/>
      <c r="O136" s="15"/>
      <c r="P136" s="15"/>
      <c r="Q136" s="15"/>
      <c r="R136" s="15"/>
      <c r="S136" s="15"/>
      <c r="T136" s="15"/>
      <c r="U136" s="15"/>
      <c r="V136" s="15"/>
      <c r="W136" s="15"/>
      <c r="X136" s="15"/>
      <c r="Y136" s="15"/>
      <c r="Z136" s="15"/>
    </row>
    <row r="137" ht="72.75" customHeight="1">
      <c r="A137" s="174" t="s">
        <v>1649</v>
      </c>
      <c r="B137" s="175" t="s">
        <v>473</v>
      </c>
      <c r="C137" s="87" t="s">
        <v>243</v>
      </c>
      <c r="D137" s="88" t="s">
        <v>1650</v>
      </c>
      <c r="E137" s="88" t="s">
        <v>1651</v>
      </c>
      <c r="F137" s="89" t="s">
        <v>125</v>
      </c>
      <c r="G137" s="91" t="s">
        <v>73</v>
      </c>
      <c r="H137" s="92" t="s">
        <v>181</v>
      </c>
      <c r="I137" s="88" t="s">
        <v>1652</v>
      </c>
      <c r="J137" s="88" t="s">
        <v>1653</v>
      </c>
      <c r="K137" s="87"/>
      <c r="L137" s="93" t="s">
        <v>1654</v>
      </c>
      <c r="M137" s="15"/>
      <c r="N137" s="15"/>
      <c r="O137" s="15"/>
      <c r="P137" s="15"/>
      <c r="Q137" s="15"/>
      <c r="R137" s="15"/>
      <c r="S137" s="15"/>
      <c r="T137" s="15"/>
      <c r="U137" s="15"/>
      <c r="V137" s="15"/>
      <c r="W137" s="15"/>
      <c r="X137" s="15"/>
      <c r="Y137" s="15"/>
      <c r="Z137" s="15"/>
    </row>
    <row r="138" ht="45.0" customHeight="1">
      <c r="A138" s="174" t="s">
        <v>1655</v>
      </c>
      <c r="B138" s="175" t="s">
        <v>473</v>
      </c>
      <c r="C138" s="87" t="s">
        <v>243</v>
      </c>
      <c r="D138" s="88" t="s">
        <v>1656</v>
      </c>
      <c r="E138" s="88" t="s">
        <v>1657</v>
      </c>
      <c r="F138" s="89" t="s">
        <v>281</v>
      </c>
      <c r="G138" s="91" t="s">
        <v>73</v>
      </c>
      <c r="H138" s="92" t="s">
        <v>181</v>
      </c>
      <c r="I138" s="88" t="s">
        <v>1658</v>
      </c>
      <c r="J138" s="87" t="s">
        <v>472</v>
      </c>
      <c r="K138" s="87" t="s">
        <v>1659</v>
      </c>
      <c r="L138" s="93" t="s">
        <v>1660</v>
      </c>
      <c r="M138" s="15"/>
      <c r="N138" s="15"/>
      <c r="O138" s="15"/>
      <c r="P138" s="15"/>
      <c r="Q138" s="15"/>
      <c r="R138" s="15"/>
      <c r="S138" s="15"/>
      <c r="T138" s="15"/>
      <c r="U138" s="15"/>
      <c r="V138" s="15"/>
      <c r="W138" s="15"/>
      <c r="X138" s="15"/>
      <c r="Y138" s="15"/>
      <c r="Z138" s="15"/>
    </row>
    <row r="139" ht="72.75" customHeight="1">
      <c r="A139" s="174" t="s">
        <v>1661</v>
      </c>
      <c r="B139" s="175" t="s">
        <v>473</v>
      </c>
      <c r="C139" s="87" t="s">
        <v>243</v>
      </c>
      <c r="D139" s="88" t="s">
        <v>1662</v>
      </c>
      <c r="E139" s="88" t="s">
        <v>1663</v>
      </c>
      <c r="F139" s="89" t="s">
        <v>281</v>
      </c>
      <c r="G139" s="91" t="s">
        <v>73</v>
      </c>
      <c r="H139" s="92" t="s">
        <v>181</v>
      </c>
      <c r="I139" s="88" t="s">
        <v>1664</v>
      </c>
      <c r="J139" s="87" t="s">
        <v>836</v>
      </c>
      <c r="K139" s="87" t="s">
        <v>1665</v>
      </c>
      <c r="L139" s="93" t="s">
        <v>1666</v>
      </c>
      <c r="M139" s="15"/>
      <c r="N139" s="15"/>
      <c r="O139" s="15"/>
      <c r="P139" s="15"/>
      <c r="Q139" s="15"/>
      <c r="R139" s="15"/>
      <c r="S139" s="15"/>
      <c r="T139" s="15"/>
      <c r="U139" s="15"/>
      <c r="V139" s="15"/>
      <c r="W139" s="15"/>
      <c r="X139" s="15"/>
      <c r="Y139" s="15"/>
      <c r="Z139" s="15"/>
    </row>
    <row r="140" ht="45.0" customHeight="1">
      <c r="A140" s="172" t="s">
        <v>525</v>
      </c>
      <c r="B140" s="173" t="s">
        <v>473</v>
      </c>
      <c r="C140" s="103" t="s">
        <v>411</v>
      </c>
      <c r="D140" s="63" t="s">
        <v>1667</v>
      </c>
      <c r="E140" s="63" t="s">
        <v>1668</v>
      </c>
      <c r="F140" s="103" t="s">
        <v>125</v>
      </c>
      <c r="G140" s="103" t="s">
        <v>130</v>
      </c>
      <c r="H140" s="103" t="s">
        <v>36</v>
      </c>
      <c r="I140" s="63" t="s">
        <v>1669</v>
      </c>
      <c r="J140" s="63" t="s">
        <v>1670</v>
      </c>
      <c r="K140" s="103" t="s">
        <v>1671</v>
      </c>
      <c r="L140" s="103" t="s">
        <v>947</v>
      </c>
      <c r="M140" s="15"/>
      <c r="N140" s="15"/>
      <c r="O140" s="15"/>
      <c r="P140" s="15"/>
      <c r="Q140" s="15"/>
      <c r="R140" s="15"/>
      <c r="S140" s="15"/>
      <c r="T140" s="15"/>
      <c r="U140" s="15"/>
      <c r="V140" s="15"/>
      <c r="W140" s="15"/>
      <c r="X140" s="15"/>
      <c r="Y140" s="15"/>
      <c r="Z140" s="15"/>
    </row>
    <row r="141" ht="72.75" customHeight="1">
      <c r="A141" s="172" t="s">
        <v>548</v>
      </c>
      <c r="B141" s="173" t="s">
        <v>473</v>
      </c>
      <c r="C141" s="103" t="s">
        <v>411</v>
      </c>
      <c r="D141" s="63" t="s">
        <v>1672</v>
      </c>
      <c r="E141" s="63" t="s">
        <v>1673</v>
      </c>
      <c r="F141" s="103" t="s">
        <v>125</v>
      </c>
      <c r="G141" s="103" t="s">
        <v>130</v>
      </c>
      <c r="H141" s="103" t="s">
        <v>36</v>
      </c>
      <c r="I141" s="63" t="s">
        <v>1674</v>
      </c>
      <c r="J141" s="103" t="s">
        <v>836</v>
      </c>
      <c r="K141" s="103" t="s">
        <v>1675</v>
      </c>
      <c r="L141" s="103" t="s">
        <v>947</v>
      </c>
      <c r="M141" s="15"/>
      <c r="N141" s="15"/>
      <c r="O141" s="15"/>
      <c r="P141" s="15"/>
      <c r="Q141" s="15"/>
      <c r="R141" s="15"/>
      <c r="S141" s="15"/>
      <c r="T141" s="15"/>
      <c r="U141" s="15"/>
      <c r="V141" s="15"/>
      <c r="W141" s="15"/>
      <c r="X141" s="15"/>
      <c r="Y141" s="15"/>
      <c r="Z141" s="15"/>
    </row>
    <row r="142" ht="72.75" customHeight="1">
      <c r="A142" s="172" t="s">
        <v>561</v>
      </c>
      <c r="B142" s="173" t="s">
        <v>473</v>
      </c>
      <c r="C142" s="103" t="s">
        <v>411</v>
      </c>
      <c r="D142" s="63" t="s">
        <v>1676</v>
      </c>
      <c r="E142" s="63" t="s">
        <v>1677</v>
      </c>
      <c r="F142" s="103" t="s">
        <v>125</v>
      </c>
      <c r="G142" s="103" t="s">
        <v>130</v>
      </c>
      <c r="H142" s="103" t="s">
        <v>36</v>
      </c>
      <c r="I142" s="63" t="s">
        <v>1678</v>
      </c>
      <c r="J142" s="103" t="s">
        <v>1679</v>
      </c>
      <c r="K142" s="103" t="s">
        <v>1680</v>
      </c>
      <c r="L142" s="103" t="s">
        <v>947</v>
      </c>
      <c r="M142" s="15"/>
      <c r="N142" s="15"/>
      <c r="O142" s="15"/>
      <c r="P142" s="15"/>
      <c r="Q142" s="15"/>
      <c r="R142" s="15"/>
      <c r="S142" s="15"/>
      <c r="T142" s="15"/>
      <c r="U142" s="15"/>
      <c r="V142" s="15"/>
      <c r="W142" s="15"/>
      <c r="X142" s="15"/>
      <c r="Y142" s="15"/>
      <c r="Z142" s="15"/>
    </row>
    <row r="143" ht="45.0" customHeight="1">
      <c r="A143" s="172" t="s">
        <v>569</v>
      </c>
      <c r="B143" s="173" t="s">
        <v>473</v>
      </c>
      <c r="C143" s="103" t="s">
        <v>411</v>
      </c>
      <c r="D143" s="63" t="s">
        <v>1681</v>
      </c>
      <c r="E143" s="63" t="s">
        <v>1682</v>
      </c>
      <c r="F143" s="103" t="s">
        <v>125</v>
      </c>
      <c r="G143" s="103" t="s">
        <v>130</v>
      </c>
      <c r="H143" s="103" t="s">
        <v>36</v>
      </c>
      <c r="I143" s="63" t="s">
        <v>1683</v>
      </c>
      <c r="J143" s="63" t="s">
        <v>1684</v>
      </c>
      <c r="K143" s="103" t="s">
        <v>1685</v>
      </c>
      <c r="L143" s="103" t="s">
        <v>947</v>
      </c>
      <c r="M143" s="15"/>
      <c r="N143" s="15"/>
      <c r="O143" s="15"/>
      <c r="P143" s="15"/>
      <c r="Q143" s="15"/>
      <c r="R143" s="15"/>
      <c r="S143" s="15"/>
      <c r="T143" s="15"/>
      <c r="U143" s="15"/>
      <c r="V143" s="15"/>
      <c r="W143" s="15"/>
      <c r="X143" s="15"/>
      <c r="Y143" s="15"/>
      <c r="Z143" s="15"/>
    </row>
    <row r="144" ht="31.5" customHeight="1">
      <c r="A144" s="172" t="s">
        <v>583</v>
      </c>
      <c r="B144" s="173" t="s">
        <v>473</v>
      </c>
      <c r="C144" s="22" t="s">
        <v>411</v>
      </c>
      <c r="D144" s="36" t="s">
        <v>1687</v>
      </c>
      <c r="E144" s="36" t="s">
        <v>1688</v>
      </c>
      <c r="F144" s="82" t="s">
        <v>125</v>
      </c>
      <c r="G144" s="82" t="s">
        <v>130</v>
      </c>
      <c r="H144" s="83" t="s">
        <v>36</v>
      </c>
      <c r="I144" s="36" t="s">
        <v>1689</v>
      </c>
      <c r="J144" s="36" t="s">
        <v>1690</v>
      </c>
      <c r="K144" s="22"/>
      <c r="L144" s="82" t="s">
        <v>1691</v>
      </c>
      <c r="M144" s="15"/>
      <c r="N144" s="15"/>
      <c r="O144" s="15"/>
      <c r="P144" s="15"/>
      <c r="Q144" s="15"/>
      <c r="R144" s="15"/>
      <c r="S144" s="15"/>
      <c r="T144" s="15"/>
      <c r="U144" s="15"/>
      <c r="V144" s="15"/>
      <c r="W144" s="15"/>
      <c r="X144" s="15"/>
      <c r="Y144" s="15"/>
      <c r="Z144" s="15"/>
    </row>
    <row r="145" ht="58.5" customHeight="1">
      <c r="A145" s="174" t="s">
        <v>1692</v>
      </c>
      <c r="B145" s="175" t="s">
        <v>473</v>
      </c>
      <c r="C145" s="87" t="s">
        <v>243</v>
      </c>
      <c r="D145" s="87" t="s">
        <v>1693</v>
      </c>
      <c r="E145" s="88" t="s">
        <v>1694</v>
      </c>
      <c r="F145" s="89" t="s">
        <v>1695</v>
      </c>
      <c r="G145" s="91" t="s">
        <v>73</v>
      </c>
      <c r="H145" s="92" t="s">
        <v>181</v>
      </c>
      <c r="I145" s="88" t="s">
        <v>1697</v>
      </c>
      <c r="J145" s="88" t="s">
        <v>1698</v>
      </c>
      <c r="K145" s="87" t="s">
        <v>1699</v>
      </c>
      <c r="L145" s="93" t="s">
        <v>1700</v>
      </c>
      <c r="M145" s="15"/>
      <c r="N145" s="15"/>
      <c r="O145" s="15"/>
      <c r="P145" s="15"/>
      <c r="Q145" s="15"/>
      <c r="R145" s="15"/>
      <c r="S145" s="15"/>
      <c r="T145" s="15"/>
      <c r="U145" s="15"/>
      <c r="V145" s="15"/>
      <c r="W145" s="15"/>
      <c r="X145" s="15"/>
      <c r="Y145" s="15"/>
      <c r="Z145" s="15"/>
    </row>
    <row r="146" ht="58.5" customHeight="1">
      <c r="A146" s="176" t="s">
        <v>1701</v>
      </c>
      <c r="B146" s="177" t="s">
        <v>1702</v>
      </c>
      <c r="C146" s="79" t="s">
        <v>436</v>
      </c>
      <c r="D146" s="75" t="s">
        <v>1703</v>
      </c>
      <c r="E146" s="75" t="s">
        <v>1705</v>
      </c>
      <c r="F146" s="77" t="s">
        <v>125</v>
      </c>
      <c r="G146" s="77" t="s">
        <v>130</v>
      </c>
      <c r="H146" s="78" t="s">
        <v>36</v>
      </c>
      <c r="I146" s="75" t="s">
        <v>1709</v>
      </c>
      <c r="J146" s="75" t="s">
        <v>1710</v>
      </c>
      <c r="K146" s="79" t="s">
        <v>1711</v>
      </c>
      <c r="L146" s="78" t="s">
        <v>1712</v>
      </c>
      <c r="M146" s="15"/>
      <c r="N146" s="15"/>
      <c r="O146" s="15"/>
      <c r="P146" s="15"/>
      <c r="Q146" s="15"/>
      <c r="R146" s="15"/>
      <c r="S146" s="15"/>
      <c r="T146" s="15"/>
      <c r="U146" s="15"/>
      <c r="V146" s="15"/>
      <c r="W146" s="15"/>
      <c r="X146" s="15"/>
      <c r="Y146" s="15"/>
      <c r="Z146" s="15"/>
    </row>
    <row r="147" ht="58.5" customHeight="1">
      <c r="A147" s="178" t="s">
        <v>1713</v>
      </c>
      <c r="B147" s="179" t="s">
        <v>1702</v>
      </c>
      <c r="C147" s="36" t="s">
        <v>1251</v>
      </c>
      <c r="D147" s="36" t="s">
        <v>1716</v>
      </c>
      <c r="E147" s="36" t="s">
        <v>1717</v>
      </c>
      <c r="F147" s="82" t="s">
        <v>125</v>
      </c>
      <c r="G147" s="82" t="s">
        <v>130</v>
      </c>
      <c r="H147" s="83" t="s">
        <v>36</v>
      </c>
      <c r="I147" s="36" t="s">
        <v>1720</v>
      </c>
      <c r="J147" s="36" t="s">
        <v>1721</v>
      </c>
      <c r="K147" s="22" t="s">
        <v>1722</v>
      </c>
      <c r="L147" s="82" t="s">
        <v>1723</v>
      </c>
      <c r="M147" s="15"/>
      <c r="N147" s="15"/>
      <c r="O147" s="15"/>
      <c r="P147" s="15"/>
      <c r="Q147" s="15"/>
      <c r="R147" s="15"/>
      <c r="S147" s="15"/>
      <c r="T147" s="15"/>
      <c r="U147" s="15"/>
      <c r="V147" s="15"/>
      <c r="W147" s="15"/>
      <c r="X147" s="15"/>
      <c r="Y147" s="15"/>
      <c r="Z147" s="15"/>
    </row>
    <row r="148" ht="45.0" customHeight="1">
      <c r="A148" s="178" t="s">
        <v>1724</v>
      </c>
      <c r="B148" s="179" t="s">
        <v>1702</v>
      </c>
      <c r="C148" s="51" t="s">
        <v>436</v>
      </c>
      <c r="D148" s="52" t="s">
        <v>1725</v>
      </c>
      <c r="E148" s="52" t="s">
        <v>1726</v>
      </c>
      <c r="F148" s="53" t="s">
        <v>125</v>
      </c>
      <c r="G148" s="53" t="s">
        <v>130</v>
      </c>
      <c r="H148" s="54" t="s">
        <v>36</v>
      </c>
      <c r="I148" s="52" t="s">
        <v>1728</v>
      </c>
      <c r="J148" s="52" t="s">
        <v>1729</v>
      </c>
      <c r="K148" s="51" t="s">
        <v>1731</v>
      </c>
      <c r="L148" s="53"/>
      <c r="M148" s="15"/>
      <c r="N148" s="15"/>
      <c r="O148" s="15"/>
      <c r="P148" s="15"/>
      <c r="Q148" s="15"/>
      <c r="R148" s="15"/>
      <c r="S148" s="15"/>
      <c r="T148" s="15"/>
      <c r="U148" s="15"/>
      <c r="V148" s="15"/>
      <c r="W148" s="15"/>
      <c r="X148" s="15"/>
      <c r="Y148" s="15"/>
      <c r="Z148" s="15"/>
    </row>
    <row r="149" ht="31.5" customHeight="1">
      <c r="A149" s="178" t="s">
        <v>1734</v>
      </c>
      <c r="B149" s="179" t="s">
        <v>1702</v>
      </c>
      <c r="C149" s="22" t="s">
        <v>436</v>
      </c>
      <c r="D149" s="36" t="s">
        <v>1735</v>
      </c>
      <c r="E149" s="36" t="s">
        <v>1736</v>
      </c>
      <c r="F149" s="82" t="s">
        <v>125</v>
      </c>
      <c r="G149" s="82" t="s">
        <v>130</v>
      </c>
      <c r="H149" s="83" t="s">
        <v>36</v>
      </c>
      <c r="I149" s="36" t="s">
        <v>1738</v>
      </c>
      <c r="J149" s="36" t="s">
        <v>1739</v>
      </c>
      <c r="K149" s="22" t="s">
        <v>1741</v>
      </c>
      <c r="L149" s="82" t="s">
        <v>1743</v>
      </c>
      <c r="M149" s="15"/>
      <c r="N149" s="15"/>
      <c r="O149" s="15"/>
      <c r="P149" s="15"/>
      <c r="Q149" s="15"/>
      <c r="R149" s="15"/>
      <c r="S149" s="15"/>
      <c r="T149" s="15"/>
      <c r="U149" s="15"/>
      <c r="V149" s="15"/>
      <c r="W149" s="15"/>
      <c r="X149" s="15"/>
      <c r="Y149" s="15"/>
      <c r="Z149" s="15"/>
    </row>
    <row r="150" ht="72.75" customHeight="1">
      <c r="A150" s="178" t="s">
        <v>651</v>
      </c>
      <c r="B150" s="179" t="s">
        <v>1702</v>
      </c>
      <c r="C150" s="22" t="s">
        <v>436</v>
      </c>
      <c r="D150" s="36" t="s">
        <v>1745</v>
      </c>
      <c r="E150" s="36" t="s">
        <v>1747</v>
      </c>
      <c r="F150" s="82" t="s">
        <v>125</v>
      </c>
      <c r="G150" s="82" t="s">
        <v>130</v>
      </c>
      <c r="H150" s="83" t="s">
        <v>36</v>
      </c>
      <c r="I150" s="36" t="s">
        <v>1749</v>
      </c>
      <c r="J150" s="36" t="s">
        <v>1750</v>
      </c>
      <c r="K150" s="22"/>
      <c r="L150" s="82" t="s">
        <v>1751</v>
      </c>
      <c r="M150" s="15"/>
      <c r="N150" s="15"/>
      <c r="O150" s="15"/>
      <c r="P150" s="15"/>
      <c r="Q150" s="15"/>
      <c r="R150" s="15"/>
      <c r="S150" s="15"/>
      <c r="T150" s="15"/>
      <c r="U150" s="15"/>
      <c r="V150" s="15"/>
      <c r="W150" s="15"/>
      <c r="X150" s="15"/>
      <c r="Y150" s="15"/>
      <c r="Z150" s="15"/>
    </row>
    <row r="151" ht="86.25" customHeight="1">
      <c r="A151" s="181" t="s">
        <v>612</v>
      </c>
      <c r="B151" s="182" t="s">
        <v>1755</v>
      </c>
      <c r="C151" s="137" t="s">
        <v>436</v>
      </c>
      <c r="D151" s="136" t="s">
        <v>1756</v>
      </c>
      <c r="E151" s="136" t="s">
        <v>1760</v>
      </c>
      <c r="F151" s="137" t="s">
        <v>125</v>
      </c>
      <c r="G151" s="137" t="s">
        <v>130</v>
      </c>
      <c r="H151" s="137" t="s">
        <v>36</v>
      </c>
      <c r="I151" s="137" t="s">
        <v>1761</v>
      </c>
      <c r="J151" s="136" t="s">
        <v>1762</v>
      </c>
      <c r="K151" s="137" t="s">
        <v>1763</v>
      </c>
      <c r="L151" s="137" t="s">
        <v>947</v>
      </c>
      <c r="M151" s="15"/>
      <c r="N151" s="15"/>
      <c r="O151" s="15"/>
      <c r="P151" s="15"/>
      <c r="Q151" s="15"/>
      <c r="R151" s="15"/>
      <c r="S151" s="15"/>
      <c r="T151" s="15"/>
      <c r="U151" s="15"/>
      <c r="V151" s="15"/>
      <c r="W151" s="15"/>
      <c r="X151" s="15"/>
      <c r="Y151" s="15"/>
      <c r="Z151" s="15"/>
    </row>
    <row r="152">
      <c r="A152" s="183" t="s">
        <v>621</v>
      </c>
      <c r="B152" s="184" t="s">
        <v>1755</v>
      </c>
      <c r="C152" s="103" t="s">
        <v>436</v>
      </c>
      <c r="D152" s="103" t="s">
        <v>1768</v>
      </c>
      <c r="E152" s="63" t="s">
        <v>1772</v>
      </c>
      <c r="F152" s="103" t="s">
        <v>125</v>
      </c>
      <c r="G152" s="103" t="s">
        <v>130</v>
      </c>
      <c r="H152" s="103" t="s">
        <v>36</v>
      </c>
      <c r="I152" s="63" t="s">
        <v>1773</v>
      </c>
      <c r="J152" s="103" t="s">
        <v>836</v>
      </c>
      <c r="K152" s="103" t="s">
        <v>1774</v>
      </c>
      <c r="L152" s="103" t="s">
        <v>947</v>
      </c>
      <c r="M152" s="15"/>
      <c r="N152" s="15"/>
      <c r="O152" s="15"/>
      <c r="P152" s="15"/>
      <c r="Q152" s="15"/>
      <c r="R152" s="15"/>
      <c r="S152" s="15"/>
      <c r="T152" s="15"/>
      <c r="U152" s="15"/>
      <c r="V152" s="15"/>
      <c r="W152" s="15"/>
      <c r="X152" s="15"/>
      <c r="Y152" s="15"/>
      <c r="Z152" s="15"/>
    </row>
    <row r="153">
      <c r="A153" s="183" t="s">
        <v>627</v>
      </c>
      <c r="B153" s="184" t="s">
        <v>1755</v>
      </c>
      <c r="C153" s="103" t="s">
        <v>436</v>
      </c>
      <c r="D153" s="103" t="s">
        <v>1775</v>
      </c>
      <c r="E153" s="103" t="s">
        <v>1776</v>
      </c>
      <c r="F153" s="103" t="s">
        <v>125</v>
      </c>
      <c r="G153" s="103" t="s">
        <v>130</v>
      </c>
      <c r="H153" s="103" t="s">
        <v>36</v>
      </c>
      <c r="I153" s="63" t="s">
        <v>1777</v>
      </c>
      <c r="J153" s="103" t="s">
        <v>836</v>
      </c>
      <c r="K153" s="103" t="s">
        <v>1778</v>
      </c>
      <c r="L153" s="103" t="s">
        <v>947</v>
      </c>
      <c r="M153" s="15"/>
      <c r="N153" s="15"/>
      <c r="O153" s="15"/>
      <c r="P153" s="15"/>
      <c r="Q153" s="15"/>
      <c r="R153" s="15"/>
      <c r="S153" s="15"/>
      <c r="T153" s="15"/>
      <c r="U153" s="15"/>
      <c r="V153" s="15"/>
      <c r="W153" s="15"/>
      <c r="X153" s="15"/>
      <c r="Y153" s="15"/>
      <c r="Z153" s="15"/>
    </row>
    <row r="154" ht="45.0" customHeight="1">
      <c r="A154" s="183" t="s">
        <v>635</v>
      </c>
      <c r="B154" s="184" t="s">
        <v>1755</v>
      </c>
      <c r="C154" s="103" t="s">
        <v>436</v>
      </c>
      <c r="D154" s="103" t="s">
        <v>1779</v>
      </c>
      <c r="E154" s="63" t="s">
        <v>1780</v>
      </c>
      <c r="F154" s="103" t="s">
        <v>281</v>
      </c>
      <c r="G154" s="103" t="s">
        <v>175</v>
      </c>
      <c r="H154" s="103" t="s">
        <v>181</v>
      </c>
      <c r="I154" s="103" t="s">
        <v>1781</v>
      </c>
      <c r="J154" s="103" t="s">
        <v>836</v>
      </c>
      <c r="K154" s="103" t="s">
        <v>1782</v>
      </c>
      <c r="L154" s="103" t="s">
        <v>947</v>
      </c>
      <c r="M154" s="15"/>
      <c r="N154" s="15"/>
      <c r="O154" s="15"/>
      <c r="P154" s="15"/>
      <c r="Q154" s="15"/>
      <c r="R154" s="15"/>
      <c r="S154" s="15"/>
      <c r="T154" s="15"/>
      <c r="U154" s="15"/>
      <c r="V154" s="15"/>
      <c r="W154" s="15"/>
      <c r="X154" s="15"/>
      <c r="Y154" s="15"/>
      <c r="Z154" s="15"/>
    </row>
    <row r="155" ht="45.0" customHeight="1">
      <c r="A155" s="183" t="s">
        <v>1784</v>
      </c>
      <c r="B155" s="184" t="s">
        <v>1755</v>
      </c>
      <c r="C155" s="103" t="s">
        <v>436</v>
      </c>
      <c r="D155" s="103" t="s">
        <v>1785</v>
      </c>
      <c r="E155" s="103" t="s">
        <v>1786</v>
      </c>
      <c r="F155" s="103" t="s">
        <v>281</v>
      </c>
      <c r="G155" s="103" t="s">
        <v>175</v>
      </c>
      <c r="H155" s="103" t="s">
        <v>181</v>
      </c>
      <c r="I155" s="63" t="s">
        <v>1787</v>
      </c>
      <c r="J155" s="63" t="s">
        <v>1788</v>
      </c>
      <c r="K155" s="103" t="s">
        <v>1789</v>
      </c>
      <c r="L155" s="103" t="s">
        <v>947</v>
      </c>
      <c r="M155" s="15"/>
      <c r="N155" s="15"/>
      <c r="O155" s="15"/>
      <c r="P155" s="15"/>
      <c r="Q155" s="15"/>
      <c r="R155" s="15"/>
      <c r="S155" s="15"/>
      <c r="T155" s="15"/>
      <c r="U155" s="15"/>
      <c r="V155" s="15"/>
      <c r="W155" s="15"/>
      <c r="X155" s="15"/>
      <c r="Y155" s="15"/>
      <c r="Z155" s="15"/>
    </row>
    <row r="156" ht="141.75" customHeight="1">
      <c r="A156" s="183" t="s">
        <v>644</v>
      </c>
      <c r="B156" s="184" t="s">
        <v>1755</v>
      </c>
      <c r="C156" s="103" t="s">
        <v>436</v>
      </c>
      <c r="D156" s="63" t="s">
        <v>1791</v>
      </c>
      <c r="E156" s="103" t="s">
        <v>1792</v>
      </c>
      <c r="F156" s="103" t="s">
        <v>281</v>
      </c>
      <c r="G156" s="103" t="s">
        <v>175</v>
      </c>
      <c r="H156" s="103" t="s">
        <v>181</v>
      </c>
      <c r="I156" s="103" t="s">
        <v>1793</v>
      </c>
      <c r="J156" s="103" t="s">
        <v>1794</v>
      </c>
      <c r="K156" s="103" t="s">
        <v>1795</v>
      </c>
      <c r="L156" s="103" t="s">
        <v>947</v>
      </c>
      <c r="M156" s="15"/>
      <c r="N156" s="15"/>
      <c r="O156" s="15"/>
      <c r="P156" s="15"/>
      <c r="Q156" s="15"/>
      <c r="R156" s="15"/>
      <c r="S156" s="15"/>
      <c r="T156" s="15"/>
      <c r="U156" s="15"/>
      <c r="V156" s="15"/>
      <c r="W156" s="15"/>
      <c r="X156" s="15"/>
      <c r="Y156" s="15"/>
      <c r="Z156" s="15"/>
    </row>
    <row r="157" ht="45.0" customHeight="1">
      <c r="A157" s="172" t="s">
        <v>640</v>
      </c>
      <c r="B157" s="173" t="s">
        <v>1755</v>
      </c>
      <c r="C157" s="103" t="s">
        <v>436</v>
      </c>
      <c r="D157" s="63" t="s">
        <v>1796</v>
      </c>
      <c r="E157" s="63" t="s">
        <v>1797</v>
      </c>
      <c r="F157" s="103" t="s">
        <v>281</v>
      </c>
      <c r="G157" s="103" t="s">
        <v>175</v>
      </c>
      <c r="H157" s="103" t="s">
        <v>181</v>
      </c>
      <c r="I157" s="63" t="s">
        <v>1798</v>
      </c>
      <c r="J157" s="63" t="s">
        <v>1799</v>
      </c>
      <c r="K157" s="103" t="s">
        <v>1800</v>
      </c>
      <c r="L157" s="103" t="s">
        <v>947</v>
      </c>
      <c r="M157" s="15"/>
      <c r="N157" s="15"/>
      <c r="O157" s="15"/>
      <c r="P157" s="15"/>
      <c r="Q157" s="15"/>
      <c r="R157" s="15"/>
      <c r="S157" s="15"/>
      <c r="T157" s="15"/>
      <c r="U157" s="15"/>
      <c r="V157" s="15"/>
      <c r="W157" s="15"/>
      <c r="X157" s="15"/>
      <c r="Y157" s="15"/>
      <c r="Z157" s="15"/>
    </row>
    <row r="158" ht="45.0" customHeight="1">
      <c r="A158" s="189" t="s">
        <v>1802</v>
      </c>
      <c r="B158" s="191" t="s">
        <v>464</v>
      </c>
      <c r="C158" s="66" t="s">
        <v>463</v>
      </c>
      <c r="D158" s="67" t="s">
        <v>1808</v>
      </c>
      <c r="E158" s="67" t="s">
        <v>1809</v>
      </c>
      <c r="F158" s="68" t="s">
        <v>281</v>
      </c>
      <c r="G158" s="68" t="s">
        <v>175</v>
      </c>
      <c r="H158" s="69" t="s">
        <v>181</v>
      </c>
      <c r="I158" s="67" t="s">
        <v>1810</v>
      </c>
      <c r="J158" s="66" t="s">
        <v>472</v>
      </c>
      <c r="K158" s="66" t="s">
        <v>1811</v>
      </c>
      <c r="L158" s="68"/>
      <c r="M158" s="15"/>
      <c r="N158" s="15"/>
      <c r="O158" s="15"/>
      <c r="P158" s="15"/>
      <c r="Q158" s="15"/>
      <c r="R158" s="15"/>
      <c r="S158" s="15"/>
      <c r="T158" s="15"/>
      <c r="U158" s="15"/>
      <c r="V158" s="15"/>
      <c r="W158" s="15"/>
      <c r="X158" s="15"/>
      <c r="Y158" s="15"/>
      <c r="Z158" s="15"/>
    </row>
    <row r="159" ht="31.5" customHeight="1">
      <c r="A159" s="192" t="s">
        <v>663</v>
      </c>
      <c r="B159" s="193" t="s">
        <v>464</v>
      </c>
      <c r="C159" s="51" t="s">
        <v>463</v>
      </c>
      <c r="D159" s="52" t="s">
        <v>1815</v>
      </c>
      <c r="E159" s="52" t="s">
        <v>1816</v>
      </c>
      <c r="F159" s="53" t="s">
        <v>125</v>
      </c>
      <c r="G159" s="53" t="s">
        <v>130</v>
      </c>
      <c r="H159" s="54" t="s">
        <v>36</v>
      </c>
      <c r="I159" s="52" t="s">
        <v>1819</v>
      </c>
      <c r="J159" s="51" t="s">
        <v>836</v>
      </c>
      <c r="K159" s="51" t="s">
        <v>1820</v>
      </c>
      <c r="L159" s="53"/>
      <c r="M159" s="15"/>
      <c r="N159" s="15"/>
      <c r="O159" s="15"/>
      <c r="P159" s="15"/>
      <c r="Q159" s="15"/>
      <c r="R159" s="15"/>
      <c r="S159" s="15"/>
      <c r="T159" s="15"/>
      <c r="U159" s="15"/>
      <c r="V159" s="15"/>
      <c r="W159" s="15"/>
      <c r="X159" s="15"/>
      <c r="Y159" s="15"/>
      <c r="Z159" s="15"/>
    </row>
    <row r="160" ht="31.5" customHeight="1">
      <c r="A160" s="192" t="s">
        <v>1821</v>
      </c>
      <c r="B160" s="193" t="s">
        <v>464</v>
      </c>
      <c r="C160" s="194" t="s">
        <v>463</v>
      </c>
      <c r="D160" s="195" t="s">
        <v>1823</v>
      </c>
      <c r="E160" s="195" t="s">
        <v>1824</v>
      </c>
      <c r="F160" s="196" t="s">
        <v>125</v>
      </c>
      <c r="G160" s="196" t="s">
        <v>175</v>
      </c>
      <c r="H160" s="197" t="s">
        <v>181</v>
      </c>
      <c r="I160" s="195" t="s">
        <v>1825</v>
      </c>
      <c r="J160" s="194" t="s">
        <v>472</v>
      </c>
      <c r="K160" s="194" t="s">
        <v>1826</v>
      </c>
      <c r="L160" s="196" t="s">
        <v>1827</v>
      </c>
      <c r="M160" s="15"/>
      <c r="N160" s="15"/>
      <c r="O160" s="15"/>
      <c r="P160" s="15"/>
      <c r="Q160" s="15"/>
      <c r="R160" s="15"/>
      <c r="S160" s="15"/>
      <c r="T160" s="15"/>
      <c r="U160" s="15"/>
      <c r="V160" s="15"/>
      <c r="W160" s="15"/>
      <c r="X160" s="15"/>
      <c r="Y160" s="15"/>
      <c r="Z160" s="15"/>
    </row>
    <row r="161" ht="45.0" customHeight="1">
      <c r="A161" s="192" t="s">
        <v>1828</v>
      </c>
      <c r="B161" s="193" t="s">
        <v>464</v>
      </c>
      <c r="C161" s="194" t="s">
        <v>463</v>
      </c>
      <c r="D161" s="195" t="s">
        <v>1829</v>
      </c>
      <c r="E161" s="195" t="s">
        <v>1830</v>
      </c>
      <c r="F161" s="196" t="s">
        <v>125</v>
      </c>
      <c r="G161" s="196" t="s">
        <v>175</v>
      </c>
      <c r="H161" s="197" t="s">
        <v>181</v>
      </c>
      <c r="I161" s="195" t="s">
        <v>1833</v>
      </c>
      <c r="J161" s="195" t="s">
        <v>1834</v>
      </c>
      <c r="K161" s="194" t="s">
        <v>1835</v>
      </c>
      <c r="L161" s="196" t="s">
        <v>1836</v>
      </c>
      <c r="M161" s="15"/>
      <c r="N161" s="15"/>
      <c r="O161" s="15"/>
      <c r="P161" s="15"/>
      <c r="Q161" s="15"/>
      <c r="R161" s="15"/>
      <c r="S161" s="15"/>
      <c r="T161" s="15"/>
      <c r="U161" s="15"/>
      <c r="V161" s="15"/>
      <c r="W161" s="15"/>
      <c r="X161" s="15"/>
      <c r="Y161" s="15"/>
      <c r="Z161" s="15"/>
    </row>
    <row r="162" ht="45.0" customHeight="1">
      <c r="A162" s="192" t="s">
        <v>676</v>
      </c>
      <c r="B162" s="193" t="s">
        <v>464</v>
      </c>
      <c r="C162" s="14" t="s">
        <v>463</v>
      </c>
      <c r="D162" s="29" t="s">
        <v>1837</v>
      </c>
      <c r="E162" s="29" t="s">
        <v>1840</v>
      </c>
      <c r="F162" s="57" t="s">
        <v>281</v>
      </c>
      <c r="G162" s="57" t="s">
        <v>175</v>
      </c>
      <c r="H162" s="58" t="s">
        <v>181</v>
      </c>
      <c r="I162" s="29" t="s">
        <v>1843</v>
      </c>
      <c r="J162" s="29" t="s">
        <v>1844</v>
      </c>
      <c r="K162" s="14" t="s">
        <v>1845</v>
      </c>
      <c r="L162" s="57"/>
      <c r="M162" s="15"/>
      <c r="N162" s="15"/>
      <c r="O162" s="15"/>
      <c r="P162" s="15"/>
      <c r="Q162" s="15"/>
      <c r="R162" s="15"/>
      <c r="S162" s="15"/>
      <c r="T162" s="15"/>
      <c r="U162" s="15"/>
      <c r="V162" s="15"/>
      <c r="W162" s="15"/>
      <c r="X162" s="15"/>
      <c r="Y162" s="15"/>
      <c r="Z162" s="15"/>
    </row>
    <row r="163" ht="72.75" customHeight="1">
      <c r="A163" s="192" t="s">
        <v>1847</v>
      </c>
      <c r="B163" s="193" t="s">
        <v>464</v>
      </c>
      <c r="C163" s="22" t="s">
        <v>463</v>
      </c>
      <c r="D163" s="36" t="s">
        <v>1850</v>
      </c>
      <c r="E163" s="36" t="s">
        <v>1851</v>
      </c>
      <c r="F163" s="82" t="s">
        <v>281</v>
      </c>
      <c r="G163" s="82" t="s">
        <v>175</v>
      </c>
      <c r="H163" s="83" t="s">
        <v>181</v>
      </c>
      <c r="I163" s="36" t="s">
        <v>1852</v>
      </c>
      <c r="J163" s="36" t="s">
        <v>1853</v>
      </c>
      <c r="K163" s="22" t="s">
        <v>1854</v>
      </c>
      <c r="L163" s="82" t="s">
        <v>1855</v>
      </c>
      <c r="M163" s="15"/>
      <c r="N163" s="15"/>
      <c r="O163" s="15"/>
      <c r="P163" s="15"/>
      <c r="Q163" s="15"/>
      <c r="R163" s="15"/>
      <c r="S163" s="15"/>
      <c r="T163" s="15"/>
      <c r="U163" s="15"/>
      <c r="V163" s="15"/>
      <c r="W163" s="15"/>
      <c r="X163" s="15"/>
      <c r="Y163" s="15"/>
      <c r="Z163" s="15"/>
    </row>
    <row r="164" ht="17.25" customHeight="1">
      <c r="A164" s="192" t="s">
        <v>1856</v>
      </c>
      <c r="B164" s="193" t="s">
        <v>464</v>
      </c>
      <c r="C164" s="14" t="s">
        <v>463</v>
      </c>
      <c r="D164" s="29" t="s">
        <v>1857</v>
      </c>
      <c r="E164" s="29" t="s">
        <v>1858</v>
      </c>
      <c r="F164" s="57" t="s">
        <v>125</v>
      </c>
      <c r="G164" s="57" t="s">
        <v>175</v>
      </c>
      <c r="H164" s="58" t="s">
        <v>181</v>
      </c>
      <c r="I164" s="14" t="s">
        <v>1859</v>
      </c>
      <c r="J164" s="14" t="s">
        <v>472</v>
      </c>
      <c r="K164" s="14" t="s">
        <v>1860</v>
      </c>
      <c r="L164" s="57" t="s">
        <v>314</v>
      </c>
      <c r="M164" s="15"/>
      <c r="N164" s="15"/>
      <c r="O164" s="15"/>
      <c r="P164" s="15"/>
      <c r="Q164" s="15"/>
      <c r="R164" s="15"/>
      <c r="S164" s="15"/>
      <c r="T164" s="15"/>
      <c r="U164" s="15"/>
      <c r="V164" s="15"/>
      <c r="W164" s="15"/>
      <c r="X164" s="15"/>
      <c r="Y164" s="15"/>
      <c r="Z164" s="15"/>
    </row>
    <row r="165" ht="86.25" customHeight="1">
      <c r="A165" s="192" t="s">
        <v>1862</v>
      </c>
      <c r="B165" s="193" t="s">
        <v>464</v>
      </c>
      <c r="C165" s="22" t="s">
        <v>1863</v>
      </c>
      <c r="D165" s="36" t="s">
        <v>1864</v>
      </c>
      <c r="E165" s="36" t="s">
        <v>1865</v>
      </c>
      <c r="F165" s="82" t="s">
        <v>281</v>
      </c>
      <c r="G165" s="82" t="s">
        <v>175</v>
      </c>
      <c r="H165" s="83" t="s">
        <v>181</v>
      </c>
      <c r="I165" s="36" t="s">
        <v>1866</v>
      </c>
      <c r="J165" s="36" t="s">
        <v>1867</v>
      </c>
      <c r="K165" s="22" t="s">
        <v>1868</v>
      </c>
      <c r="L165" s="82" t="s">
        <v>1869</v>
      </c>
      <c r="M165" s="15"/>
      <c r="N165" s="15"/>
      <c r="O165" s="15"/>
      <c r="P165" s="15"/>
      <c r="Q165" s="15"/>
      <c r="R165" s="15"/>
      <c r="S165" s="15"/>
      <c r="T165" s="15"/>
      <c r="U165" s="15"/>
      <c r="V165" s="15"/>
      <c r="W165" s="15"/>
      <c r="X165" s="15"/>
      <c r="Y165" s="15"/>
      <c r="Z165" s="15"/>
    </row>
    <row r="166" ht="45.0" customHeight="1">
      <c r="A166" s="192" t="s">
        <v>1870</v>
      </c>
      <c r="B166" s="193" t="s">
        <v>464</v>
      </c>
      <c r="C166" s="22" t="s">
        <v>463</v>
      </c>
      <c r="D166" s="36" t="s">
        <v>1871</v>
      </c>
      <c r="E166" s="36" t="s">
        <v>1873</v>
      </c>
      <c r="F166" s="82" t="s">
        <v>281</v>
      </c>
      <c r="G166" s="82" t="s">
        <v>175</v>
      </c>
      <c r="H166" s="83" t="s">
        <v>181</v>
      </c>
      <c r="I166" s="36" t="s">
        <v>1874</v>
      </c>
      <c r="J166" s="36" t="s">
        <v>1875</v>
      </c>
      <c r="K166" s="22" t="s">
        <v>1876</v>
      </c>
      <c r="L166" s="82" t="s">
        <v>1877</v>
      </c>
      <c r="M166" s="15"/>
      <c r="N166" s="15"/>
      <c r="O166" s="15"/>
      <c r="P166" s="15"/>
      <c r="Q166" s="15"/>
      <c r="R166" s="15"/>
      <c r="S166" s="15"/>
      <c r="T166" s="15"/>
      <c r="U166" s="15"/>
      <c r="V166" s="15"/>
      <c r="W166" s="15"/>
      <c r="X166" s="15"/>
      <c r="Y166" s="15"/>
      <c r="Z166" s="15"/>
    </row>
    <row r="167" ht="238.5" customHeight="1">
      <c r="A167" s="199" t="s">
        <v>1878</v>
      </c>
      <c r="B167" s="201" t="s">
        <v>1880</v>
      </c>
      <c r="C167" s="79" t="s">
        <v>463</v>
      </c>
      <c r="D167" s="75" t="s">
        <v>1884</v>
      </c>
      <c r="E167" s="75" t="s">
        <v>1885</v>
      </c>
      <c r="F167" s="77" t="s">
        <v>281</v>
      </c>
      <c r="G167" s="77" t="s">
        <v>175</v>
      </c>
      <c r="H167" s="78" t="s">
        <v>181</v>
      </c>
      <c r="I167" s="75" t="s">
        <v>1886</v>
      </c>
      <c r="J167" s="75" t="s">
        <v>1887</v>
      </c>
      <c r="K167" s="79" t="s">
        <v>1888</v>
      </c>
      <c r="L167" s="77" t="s">
        <v>1889</v>
      </c>
      <c r="M167" s="15"/>
      <c r="N167" s="15"/>
      <c r="O167" s="15"/>
      <c r="P167" s="15"/>
      <c r="Q167" s="15"/>
      <c r="R167" s="15"/>
      <c r="S167" s="15"/>
      <c r="T167" s="15"/>
      <c r="U167" s="15"/>
      <c r="V167" s="15"/>
      <c r="W167" s="15"/>
      <c r="X167" s="15"/>
      <c r="Y167" s="15"/>
      <c r="Z167" s="15"/>
    </row>
    <row r="168" ht="86.25" customHeight="1">
      <c r="A168" s="204" t="s">
        <v>1892</v>
      </c>
      <c r="B168" s="205" t="s">
        <v>1880</v>
      </c>
      <c r="C168" s="22" t="s">
        <v>463</v>
      </c>
      <c r="D168" s="36" t="s">
        <v>1895</v>
      </c>
      <c r="E168" s="36" t="s">
        <v>1896</v>
      </c>
      <c r="F168" s="82" t="s">
        <v>281</v>
      </c>
      <c r="G168" s="82" t="s">
        <v>175</v>
      </c>
      <c r="H168" s="83" t="s">
        <v>181</v>
      </c>
      <c r="I168" s="36" t="s">
        <v>1898</v>
      </c>
      <c r="J168" s="22" t="s">
        <v>836</v>
      </c>
      <c r="K168" s="22" t="s">
        <v>1900</v>
      </c>
      <c r="L168" s="82" t="s">
        <v>1902</v>
      </c>
      <c r="M168" s="15"/>
      <c r="N168" s="15"/>
      <c r="O168" s="15"/>
      <c r="P168" s="15"/>
      <c r="Q168" s="15"/>
      <c r="R168" s="15"/>
      <c r="S168" s="15"/>
      <c r="T168" s="15"/>
      <c r="U168" s="15"/>
      <c r="V168" s="15"/>
      <c r="W168" s="15"/>
      <c r="X168" s="15"/>
      <c r="Y168" s="15"/>
      <c r="Z168" s="15"/>
    </row>
    <row r="169" ht="86.25" customHeight="1">
      <c r="A169" s="204" t="s">
        <v>1903</v>
      </c>
      <c r="B169" s="205" t="s">
        <v>1880</v>
      </c>
      <c r="C169" s="22" t="s">
        <v>463</v>
      </c>
      <c r="D169" s="36" t="s">
        <v>1904</v>
      </c>
      <c r="E169" s="36" t="s">
        <v>1907</v>
      </c>
      <c r="F169" s="82" t="s">
        <v>281</v>
      </c>
      <c r="G169" s="82" t="s">
        <v>175</v>
      </c>
      <c r="H169" s="83" t="s">
        <v>181</v>
      </c>
      <c r="I169" s="36" t="s">
        <v>1910</v>
      </c>
      <c r="J169" s="36" t="s">
        <v>1911</v>
      </c>
      <c r="K169" s="22"/>
      <c r="L169" s="82" t="s">
        <v>1912</v>
      </c>
      <c r="M169" s="15"/>
      <c r="N169" s="15"/>
      <c r="O169" s="15"/>
      <c r="P169" s="15"/>
      <c r="Q169" s="15"/>
      <c r="R169" s="15"/>
      <c r="S169" s="15"/>
      <c r="T169" s="15"/>
      <c r="U169" s="15"/>
      <c r="V169" s="15"/>
      <c r="W169" s="15"/>
      <c r="X169" s="15"/>
      <c r="Y169" s="15"/>
      <c r="Z169" s="15"/>
    </row>
    <row r="170" ht="17.25" customHeight="1">
      <c r="A170" s="206" t="s">
        <v>1913</v>
      </c>
      <c r="B170" s="207" t="s">
        <v>1914</v>
      </c>
      <c r="C170" s="66" t="s">
        <v>492</v>
      </c>
      <c r="D170" s="67" t="s">
        <v>1915</v>
      </c>
      <c r="E170" s="67" t="s">
        <v>1916</v>
      </c>
      <c r="F170" s="68" t="s">
        <v>281</v>
      </c>
      <c r="G170" s="68" t="s">
        <v>175</v>
      </c>
      <c r="H170" s="69" t="s">
        <v>181</v>
      </c>
      <c r="I170" s="67" t="s">
        <v>1917</v>
      </c>
      <c r="J170" s="66" t="s">
        <v>472</v>
      </c>
      <c r="K170" s="66"/>
      <c r="L170" s="68"/>
      <c r="M170" s="15"/>
      <c r="N170" s="15"/>
      <c r="O170" s="15"/>
      <c r="P170" s="15"/>
      <c r="Q170" s="15"/>
      <c r="R170" s="15"/>
      <c r="S170" s="15"/>
      <c r="T170" s="15"/>
      <c r="U170" s="15"/>
      <c r="V170" s="15"/>
      <c r="W170" s="15"/>
      <c r="X170" s="15"/>
      <c r="Y170" s="15"/>
      <c r="Z170" s="15"/>
    </row>
    <row r="171" ht="31.5" customHeight="1">
      <c r="A171" s="208" t="s">
        <v>1918</v>
      </c>
      <c r="B171" s="209" t="s">
        <v>1914</v>
      </c>
      <c r="C171" s="51" t="s">
        <v>492</v>
      </c>
      <c r="D171" s="52" t="s">
        <v>1919</v>
      </c>
      <c r="E171" s="52" t="s">
        <v>1920</v>
      </c>
      <c r="F171" s="53" t="s">
        <v>281</v>
      </c>
      <c r="G171" s="53" t="s">
        <v>175</v>
      </c>
      <c r="H171" s="58" t="s">
        <v>181</v>
      </c>
      <c r="I171" s="51" t="s">
        <v>1921</v>
      </c>
      <c r="J171" s="52" t="s">
        <v>1922</v>
      </c>
      <c r="K171" s="51"/>
      <c r="L171" s="53"/>
      <c r="M171" s="15"/>
      <c r="N171" s="15"/>
      <c r="O171" s="15"/>
      <c r="P171" s="15"/>
      <c r="Q171" s="15"/>
      <c r="R171" s="15"/>
      <c r="S171" s="15"/>
      <c r="T171" s="15"/>
      <c r="U171" s="15"/>
      <c r="V171" s="15"/>
      <c r="W171" s="15"/>
      <c r="X171" s="15"/>
      <c r="Y171" s="15"/>
      <c r="Z171" s="15"/>
    </row>
    <row r="172" ht="17.25" customHeight="1">
      <c r="A172" s="208" t="s">
        <v>1924</v>
      </c>
      <c r="B172" s="209" t="s">
        <v>1914</v>
      </c>
      <c r="C172" s="14" t="s">
        <v>492</v>
      </c>
      <c r="D172" s="29" t="s">
        <v>1925</v>
      </c>
      <c r="E172" s="29" t="s">
        <v>1926</v>
      </c>
      <c r="F172" s="57" t="s">
        <v>281</v>
      </c>
      <c r="G172" s="57" t="s">
        <v>175</v>
      </c>
      <c r="H172" s="58" t="s">
        <v>181</v>
      </c>
      <c r="I172" s="29" t="s">
        <v>1927</v>
      </c>
      <c r="J172" s="14" t="s">
        <v>472</v>
      </c>
      <c r="K172" s="14"/>
      <c r="L172" s="57"/>
      <c r="M172" s="15"/>
      <c r="N172" s="15"/>
      <c r="O172" s="15"/>
      <c r="P172" s="15"/>
      <c r="Q172" s="15"/>
      <c r="R172" s="15"/>
      <c r="S172" s="15"/>
      <c r="T172" s="15"/>
      <c r="U172" s="15"/>
      <c r="V172" s="15"/>
      <c r="W172" s="15"/>
      <c r="X172" s="15"/>
      <c r="Y172" s="15"/>
      <c r="Z172" s="15"/>
    </row>
    <row r="173" ht="72.75" customHeight="1">
      <c r="A173" s="208" t="s">
        <v>1928</v>
      </c>
      <c r="B173" s="209" t="s">
        <v>1914</v>
      </c>
      <c r="C173" s="22" t="s">
        <v>492</v>
      </c>
      <c r="D173" s="36" t="s">
        <v>1929</v>
      </c>
      <c r="E173" s="36" t="s">
        <v>1930</v>
      </c>
      <c r="F173" s="82" t="s">
        <v>281</v>
      </c>
      <c r="G173" s="82" t="s">
        <v>175</v>
      </c>
      <c r="H173" s="83" t="s">
        <v>181</v>
      </c>
      <c r="I173" s="36" t="s">
        <v>1931</v>
      </c>
      <c r="J173" s="36" t="s">
        <v>1932</v>
      </c>
      <c r="K173" s="22" t="s">
        <v>1933</v>
      </c>
      <c r="L173" s="82" t="s">
        <v>1934</v>
      </c>
      <c r="M173" s="15"/>
      <c r="N173" s="15"/>
      <c r="O173" s="15"/>
      <c r="P173" s="15"/>
      <c r="Q173" s="15"/>
      <c r="R173" s="15"/>
      <c r="S173" s="15"/>
      <c r="T173" s="15"/>
      <c r="U173" s="15"/>
      <c r="V173" s="15"/>
      <c r="W173" s="15"/>
      <c r="X173" s="15"/>
      <c r="Y173" s="15"/>
      <c r="Z173" s="15"/>
    </row>
    <row r="174" ht="169.5" customHeight="1">
      <c r="A174" s="208" t="s">
        <v>1936</v>
      </c>
      <c r="B174" s="209" t="s">
        <v>1914</v>
      </c>
      <c r="C174" s="22" t="s">
        <v>492</v>
      </c>
      <c r="D174" s="36" t="s">
        <v>1937</v>
      </c>
      <c r="E174" s="36" t="s">
        <v>1938</v>
      </c>
      <c r="F174" s="82" t="s">
        <v>125</v>
      </c>
      <c r="G174" s="82" t="s">
        <v>130</v>
      </c>
      <c r="H174" s="83" t="s">
        <v>36</v>
      </c>
      <c r="I174" s="36" t="s">
        <v>1939</v>
      </c>
      <c r="J174" s="36" t="s">
        <v>1941</v>
      </c>
      <c r="K174" s="22" t="s">
        <v>1944</v>
      </c>
      <c r="L174" s="82" t="s">
        <v>1945</v>
      </c>
      <c r="M174" s="15"/>
      <c r="N174" s="15"/>
      <c r="O174" s="15"/>
      <c r="P174" s="15"/>
      <c r="Q174" s="15"/>
      <c r="R174" s="15"/>
      <c r="S174" s="15"/>
      <c r="T174" s="15"/>
      <c r="U174" s="15"/>
      <c r="V174" s="15"/>
      <c r="W174" s="15"/>
      <c r="X174" s="15"/>
      <c r="Y174" s="15"/>
      <c r="Z174" s="15"/>
    </row>
    <row r="175" ht="127.5" customHeight="1">
      <c r="A175" s="208" t="s">
        <v>1947</v>
      </c>
      <c r="B175" s="209" t="s">
        <v>1914</v>
      </c>
      <c r="C175" s="22" t="s">
        <v>492</v>
      </c>
      <c r="D175" s="36" t="s">
        <v>1948</v>
      </c>
      <c r="E175" s="36" t="s">
        <v>1950</v>
      </c>
      <c r="F175" s="82" t="s">
        <v>125</v>
      </c>
      <c r="G175" s="82" t="s">
        <v>130</v>
      </c>
      <c r="H175" s="83" t="s">
        <v>36</v>
      </c>
      <c r="I175" s="36" t="s">
        <v>1953</v>
      </c>
      <c r="J175" s="36" t="s">
        <v>1954</v>
      </c>
      <c r="K175" s="22" t="s">
        <v>1955</v>
      </c>
      <c r="L175" s="83" t="s">
        <v>1956</v>
      </c>
      <c r="M175" s="15"/>
      <c r="N175" s="15"/>
      <c r="O175" s="15"/>
      <c r="P175" s="15"/>
      <c r="Q175" s="15"/>
      <c r="R175" s="15"/>
      <c r="S175" s="15"/>
      <c r="T175" s="15"/>
      <c r="U175" s="15"/>
      <c r="V175" s="15"/>
      <c r="W175" s="15"/>
      <c r="X175" s="15"/>
      <c r="Y175" s="15"/>
      <c r="Z175" s="15"/>
    </row>
    <row r="176" ht="100.5" customHeight="1">
      <c r="A176" s="208" t="s">
        <v>137</v>
      </c>
      <c r="B176" s="209" t="s">
        <v>1914</v>
      </c>
      <c r="C176" s="22" t="s">
        <v>1957</v>
      </c>
      <c r="D176" s="36" t="s">
        <v>1959</v>
      </c>
      <c r="E176" s="36" t="s">
        <v>1962</v>
      </c>
      <c r="F176" s="82" t="s">
        <v>125</v>
      </c>
      <c r="G176" s="82" t="s">
        <v>130</v>
      </c>
      <c r="H176" s="83" t="s">
        <v>36</v>
      </c>
      <c r="I176" s="36" t="s">
        <v>1963</v>
      </c>
      <c r="J176" s="36" t="s">
        <v>1964</v>
      </c>
      <c r="K176" s="22" t="s">
        <v>1965</v>
      </c>
      <c r="L176" s="131" t="s">
        <v>1966</v>
      </c>
      <c r="M176" s="15"/>
      <c r="N176" s="15"/>
      <c r="O176" s="15"/>
      <c r="P176" s="15"/>
      <c r="Q176" s="15"/>
      <c r="R176" s="15"/>
      <c r="S176" s="15"/>
      <c r="T176" s="15"/>
      <c r="U176" s="15"/>
      <c r="V176" s="15"/>
      <c r="W176" s="15"/>
      <c r="X176" s="15"/>
      <c r="Y176" s="15"/>
      <c r="Z176" s="15"/>
    </row>
    <row r="177">
      <c r="A177" s="172" t="s">
        <v>295</v>
      </c>
      <c r="B177" s="173" t="s">
        <v>1914</v>
      </c>
      <c r="C177" s="103" t="s">
        <v>1503</v>
      </c>
      <c r="D177" s="63" t="s">
        <v>1970</v>
      </c>
      <c r="E177" s="63" t="s">
        <v>1971</v>
      </c>
      <c r="F177" s="103" t="s">
        <v>125</v>
      </c>
      <c r="G177" s="103" t="s">
        <v>130</v>
      </c>
      <c r="H177" s="103" t="s">
        <v>36</v>
      </c>
      <c r="I177" s="63" t="s">
        <v>1972</v>
      </c>
      <c r="J177" s="63" t="s">
        <v>1973</v>
      </c>
      <c r="K177" s="103" t="s">
        <v>1975</v>
      </c>
      <c r="L177" s="103" t="s">
        <v>947</v>
      </c>
      <c r="M177" s="15"/>
      <c r="N177" s="15"/>
      <c r="O177" s="15"/>
      <c r="P177" s="15"/>
      <c r="Q177" s="15"/>
      <c r="R177" s="15"/>
      <c r="S177" s="15"/>
      <c r="T177" s="15"/>
      <c r="U177" s="15"/>
      <c r="V177" s="15"/>
      <c r="W177" s="15"/>
      <c r="X177" s="15"/>
      <c r="Y177" s="15"/>
      <c r="Z177" s="15"/>
    </row>
    <row r="178" ht="31.5" customHeight="1">
      <c r="A178" s="212" t="s">
        <v>696</v>
      </c>
      <c r="B178" s="213" t="s">
        <v>1981</v>
      </c>
      <c r="C178" s="66" t="s">
        <v>240</v>
      </c>
      <c r="D178" s="67" t="s">
        <v>692</v>
      </c>
      <c r="E178" s="67" t="s">
        <v>1982</v>
      </c>
      <c r="F178" s="68" t="s">
        <v>125</v>
      </c>
      <c r="G178" s="68" t="s">
        <v>130</v>
      </c>
      <c r="H178" s="214" t="s">
        <v>36</v>
      </c>
      <c r="I178" s="67" t="s">
        <v>1984</v>
      </c>
      <c r="J178" s="67" t="s">
        <v>1986</v>
      </c>
      <c r="K178" s="66"/>
      <c r="L178" s="68"/>
      <c r="M178" s="15"/>
      <c r="N178" s="15"/>
      <c r="O178" s="15"/>
      <c r="P178" s="15"/>
      <c r="Q178" s="15"/>
      <c r="R178" s="15"/>
      <c r="S178" s="15"/>
      <c r="T178" s="15"/>
      <c r="U178" s="15"/>
      <c r="V178" s="15"/>
      <c r="W178" s="15"/>
      <c r="X178" s="15"/>
      <c r="Y178" s="15"/>
      <c r="Z178" s="15"/>
    </row>
    <row r="179" ht="31.5" customHeight="1">
      <c r="A179" s="215" t="s">
        <v>701</v>
      </c>
      <c r="B179" s="216" t="s">
        <v>1981</v>
      </c>
      <c r="C179" s="51" t="s">
        <v>240</v>
      </c>
      <c r="D179" s="52" t="s">
        <v>697</v>
      </c>
      <c r="E179" s="52" t="s">
        <v>1994</v>
      </c>
      <c r="F179" s="53" t="s">
        <v>125</v>
      </c>
      <c r="G179" s="53" t="s">
        <v>130</v>
      </c>
      <c r="H179" s="54" t="s">
        <v>36</v>
      </c>
      <c r="I179" s="52" t="s">
        <v>1995</v>
      </c>
      <c r="J179" s="52" t="s">
        <v>1996</v>
      </c>
      <c r="K179" s="51"/>
      <c r="L179" s="53"/>
      <c r="M179" s="15"/>
      <c r="N179" s="15"/>
      <c r="O179" s="15"/>
      <c r="P179" s="15"/>
      <c r="Q179" s="15"/>
      <c r="R179" s="15"/>
      <c r="S179" s="15"/>
      <c r="T179" s="15"/>
      <c r="U179" s="15"/>
      <c r="V179" s="15"/>
      <c r="W179" s="15"/>
      <c r="X179" s="15"/>
      <c r="Y179" s="15"/>
      <c r="Z179" s="15"/>
    </row>
    <row r="180" ht="31.5" customHeight="1">
      <c r="A180" s="215" t="s">
        <v>1997</v>
      </c>
      <c r="B180" s="216" t="s">
        <v>1981</v>
      </c>
      <c r="C180" s="14" t="s">
        <v>240</v>
      </c>
      <c r="D180" s="29" t="s">
        <v>1998</v>
      </c>
      <c r="E180" s="29" t="s">
        <v>2000</v>
      </c>
      <c r="F180" s="57" t="s">
        <v>125</v>
      </c>
      <c r="G180" s="57" t="s">
        <v>130</v>
      </c>
      <c r="H180" s="54" t="s">
        <v>36</v>
      </c>
      <c r="I180" s="29" t="s">
        <v>2003</v>
      </c>
      <c r="J180" s="29" t="s">
        <v>2005</v>
      </c>
      <c r="K180" s="14" t="s">
        <v>2006</v>
      </c>
      <c r="L180" s="57"/>
      <c r="M180" s="15"/>
      <c r="N180" s="15"/>
      <c r="O180" s="15"/>
      <c r="P180" s="15"/>
      <c r="Q180" s="15"/>
      <c r="R180" s="15"/>
      <c r="S180" s="15"/>
      <c r="T180" s="15"/>
      <c r="U180" s="15"/>
      <c r="V180" s="15"/>
      <c r="W180" s="15"/>
      <c r="X180" s="15"/>
      <c r="Y180" s="15"/>
      <c r="Z180" s="15"/>
    </row>
    <row r="181" ht="31.5" customHeight="1">
      <c r="A181" s="215" t="s">
        <v>2007</v>
      </c>
      <c r="B181" s="216" t="s">
        <v>1981</v>
      </c>
      <c r="C181" s="51" t="s">
        <v>240</v>
      </c>
      <c r="D181" s="52" t="s">
        <v>2009</v>
      </c>
      <c r="E181" s="52" t="s">
        <v>2011</v>
      </c>
      <c r="F181" s="53" t="s">
        <v>125</v>
      </c>
      <c r="G181" s="53" t="s">
        <v>130</v>
      </c>
      <c r="H181" s="54" t="s">
        <v>36</v>
      </c>
      <c r="I181" s="52" t="s">
        <v>2014</v>
      </c>
      <c r="J181" s="52" t="s">
        <v>2016</v>
      </c>
      <c r="K181" s="51" t="s">
        <v>2017</v>
      </c>
      <c r="L181" s="53"/>
      <c r="M181" s="15"/>
      <c r="N181" s="15"/>
      <c r="O181" s="15"/>
      <c r="P181" s="15"/>
      <c r="Q181" s="15"/>
      <c r="R181" s="15"/>
      <c r="S181" s="15"/>
      <c r="T181" s="15"/>
      <c r="U181" s="15"/>
      <c r="V181" s="15"/>
      <c r="W181" s="15"/>
      <c r="X181" s="15"/>
      <c r="Y181" s="15"/>
      <c r="Z181" s="15"/>
    </row>
    <row r="182" ht="45.0" customHeight="1">
      <c r="A182" s="215" t="s">
        <v>2018</v>
      </c>
      <c r="B182" s="216" t="s">
        <v>1981</v>
      </c>
      <c r="C182" s="14" t="s">
        <v>240</v>
      </c>
      <c r="D182" s="29" t="s">
        <v>2019</v>
      </c>
      <c r="E182" s="14" t="s">
        <v>2020</v>
      </c>
      <c r="F182" s="57" t="s">
        <v>281</v>
      </c>
      <c r="G182" s="57" t="s">
        <v>175</v>
      </c>
      <c r="H182" s="58" t="s">
        <v>181</v>
      </c>
      <c r="I182" s="29" t="s">
        <v>2024</v>
      </c>
      <c r="J182" s="29" t="s">
        <v>2025</v>
      </c>
      <c r="K182" s="14" t="s">
        <v>2026</v>
      </c>
      <c r="L182" s="57"/>
      <c r="M182" s="15"/>
      <c r="N182" s="15"/>
      <c r="O182" s="15"/>
      <c r="P182" s="15"/>
      <c r="Q182" s="15"/>
      <c r="R182" s="15"/>
      <c r="S182" s="15"/>
      <c r="T182" s="15"/>
      <c r="U182" s="15"/>
      <c r="V182" s="15"/>
      <c r="W182" s="15"/>
      <c r="X182" s="15"/>
      <c r="Y182" s="15"/>
      <c r="Z182" s="15"/>
    </row>
    <row r="183" ht="31.5" customHeight="1">
      <c r="A183" s="215" t="s">
        <v>713</v>
      </c>
      <c r="B183" s="216" t="s">
        <v>1981</v>
      </c>
      <c r="C183" s="51" t="s">
        <v>240</v>
      </c>
      <c r="D183" s="52" t="s">
        <v>2027</v>
      </c>
      <c r="E183" s="52" t="s">
        <v>1977</v>
      </c>
      <c r="F183" s="53" t="s">
        <v>125</v>
      </c>
      <c r="G183" s="53" t="s">
        <v>130</v>
      </c>
      <c r="H183" s="54" t="s">
        <v>36</v>
      </c>
      <c r="I183" s="52" t="s">
        <v>2030</v>
      </c>
      <c r="J183" s="52" t="s">
        <v>2032</v>
      </c>
      <c r="K183" s="51" t="s">
        <v>1974</v>
      </c>
      <c r="L183" s="53"/>
      <c r="M183" s="15"/>
      <c r="N183" s="15"/>
      <c r="O183" s="15"/>
      <c r="P183" s="15"/>
      <c r="Q183" s="15"/>
      <c r="R183" s="15"/>
      <c r="S183" s="15"/>
      <c r="T183" s="15"/>
      <c r="U183" s="15"/>
      <c r="V183" s="15"/>
      <c r="W183" s="15"/>
      <c r="X183" s="15"/>
      <c r="Y183" s="15"/>
      <c r="Z183" s="15"/>
    </row>
    <row r="184" ht="31.5" customHeight="1">
      <c r="A184" s="215" t="s">
        <v>2035</v>
      </c>
      <c r="B184" s="216" t="s">
        <v>1981</v>
      </c>
      <c r="C184" s="14" t="s">
        <v>240</v>
      </c>
      <c r="D184" s="29" t="s">
        <v>2036</v>
      </c>
      <c r="E184" s="29" t="s">
        <v>2037</v>
      </c>
      <c r="F184" s="57" t="s">
        <v>281</v>
      </c>
      <c r="G184" s="57" t="s">
        <v>175</v>
      </c>
      <c r="H184" s="58" t="s">
        <v>181</v>
      </c>
      <c r="I184" s="29" t="s">
        <v>2040</v>
      </c>
      <c r="J184" s="14" t="s">
        <v>472</v>
      </c>
      <c r="K184" s="14"/>
      <c r="L184" s="57"/>
      <c r="M184" s="15"/>
      <c r="N184" s="15"/>
      <c r="O184" s="15"/>
      <c r="P184" s="15"/>
      <c r="Q184" s="15"/>
      <c r="R184" s="15"/>
      <c r="S184" s="15"/>
      <c r="T184" s="15"/>
      <c r="U184" s="15"/>
      <c r="V184" s="15"/>
      <c r="W184" s="15"/>
      <c r="X184" s="15"/>
      <c r="Y184" s="15"/>
      <c r="Z184" s="15"/>
    </row>
    <row r="185" ht="31.5" customHeight="1">
      <c r="A185" s="217" t="s">
        <v>2044</v>
      </c>
      <c r="B185" s="218" t="s">
        <v>2048</v>
      </c>
      <c r="C185" s="96" t="s">
        <v>386</v>
      </c>
      <c r="D185" s="97" t="s">
        <v>2050</v>
      </c>
      <c r="E185" s="97" t="s">
        <v>2051</v>
      </c>
      <c r="F185" s="98" t="s">
        <v>281</v>
      </c>
      <c r="G185" s="98" t="s">
        <v>175</v>
      </c>
      <c r="H185" s="69" t="s">
        <v>181</v>
      </c>
      <c r="I185" s="97" t="s">
        <v>2052</v>
      </c>
      <c r="J185" s="97" t="s">
        <v>2053</v>
      </c>
      <c r="K185" s="97" t="s">
        <v>2054</v>
      </c>
      <c r="L185" s="98"/>
      <c r="M185" s="15"/>
      <c r="N185" s="15"/>
      <c r="O185" s="15"/>
      <c r="P185" s="15"/>
      <c r="Q185" s="15"/>
      <c r="R185" s="15"/>
      <c r="S185" s="15"/>
      <c r="T185" s="15"/>
      <c r="U185" s="15"/>
      <c r="V185" s="15"/>
      <c r="W185" s="15"/>
      <c r="X185" s="15"/>
      <c r="Y185" s="15"/>
      <c r="Z185" s="15"/>
    </row>
    <row r="186" ht="58.5" customHeight="1">
      <c r="A186" s="219" t="s">
        <v>2059</v>
      </c>
      <c r="B186" s="220" t="s">
        <v>2060</v>
      </c>
      <c r="C186" s="66" t="s">
        <v>509</v>
      </c>
      <c r="D186" s="67" t="s">
        <v>2061</v>
      </c>
      <c r="E186" s="67" t="s">
        <v>2062</v>
      </c>
      <c r="F186" s="68" t="s">
        <v>281</v>
      </c>
      <c r="G186" s="68" t="s">
        <v>175</v>
      </c>
      <c r="H186" s="69" t="s">
        <v>181</v>
      </c>
      <c r="I186" s="67" t="s">
        <v>2064</v>
      </c>
      <c r="J186" s="67" t="s">
        <v>2065</v>
      </c>
      <c r="K186" s="66" t="s">
        <v>2066</v>
      </c>
      <c r="L186" s="68"/>
      <c r="M186" s="15"/>
      <c r="N186" s="15"/>
      <c r="O186" s="15"/>
      <c r="P186" s="15"/>
      <c r="Q186" s="15"/>
      <c r="R186" s="15"/>
      <c r="S186" s="15"/>
      <c r="T186" s="15"/>
      <c r="U186" s="15"/>
      <c r="V186" s="15"/>
      <c r="W186" s="15"/>
      <c r="X186" s="15"/>
      <c r="Y186" s="15"/>
      <c r="Z186" s="15"/>
    </row>
    <row r="187" ht="45.0" customHeight="1">
      <c r="A187" s="223" t="s">
        <v>2070</v>
      </c>
      <c r="B187" s="224" t="s">
        <v>2060</v>
      </c>
      <c r="C187" s="51" t="s">
        <v>509</v>
      </c>
      <c r="D187" s="52" t="s">
        <v>2071</v>
      </c>
      <c r="E187" s="52" t="s">
        <v>2072</v>
      </c>
      <c r="F187" s="53" t="s">
        <v>281</v>
      </c>
      <c r="G187" s="53" t="s">
        <v>175</v>
      </c>
      <c r="H187" s="58" t="s">
        <v>181</v>
      </c>
      <c r="I187" s="52" t="s">
        <v>2073</v>
      </c>
      <c r="J187" s="52" t="s">
        <v>2075</v>
      </c>
      <c r="K187" s="51" t="s">
        <v>2077</v>
      </c>
      <c r="L187" s="53"/>
      <c r="M187" s="15"/>
      <c r="N187" s="15"/>
      <c r="O187" s="15"/>
      <c r="P187" s="15"/>
      <c r="Q187" s="15"/>
      <c r="R187" s="15"/>
      <c r="S187" s="15"/>
      <c r="T187" s="15"/>
      <c r="U187" s="15"/>
      <c r="V187" s="15"/>
      <c r="W187" s="15"/>
      <c r="X187" s="15"/>
      <c r="Y187" s="15"/>
      <c r="Z187" s="15"/>
    </row>
    <row r="188" ht="58.5" customHeight="1">
      <c r="A188" s="223" t="s">
        <v>2081</v>
      </c>
      <c r="B188" s="224" t="s">
        <v>2060</v>
      </c>
      <c r="C188" s="14" t="s">
        <v>509</v>
      </c>
      <c r="D188" s="29" t="s">
        <v>2082</v>
      </c>
      <c r="E188" s="14" t="s">
        <v>2083</v>
      </c>
      <c r="F188" s="57" t="s">
        <v>281</v>
      </c>
      <c r="G188" s="57" t="s">
        <v>175</v>
      </c>
      <c r="H188" s="58" t="s">
        <v>181</v>
      </c>
      <c r="I188" s="29" t="s">
        <v>2084</v>
      </c>
      <c r="J188" s="29" t="s">
        <v>2086</v>
      </c>
      <c r="K188" s="29" t="s">
        <v>2088</v>
      </c>
      <c r="L188" s="57"/>
      <c r="M188" s="15"/>
      <c r="N188" s="15"/>
      <c r="O188" s="15"/>
      <c r="P188" s="15"/>
      <c r="Q188" s="15"/>
      <c r="R188" s="15"/>
      <c r="S188" s="15"/>
      <c r="T188" s="15"/>
      <c r="U188" s="15"/>
      <c r="V188" s="15"/>
      <c r="W188" s="15"/>
      <c r="X188" s="15"/>
      <c r="Y188" s="15"/>
      <c r="Z188" s="15"/>
    </row>
    <row r="189" ht="45.0" customHeight="1">
      <c r="A189" s="223" t="s">
        <v>2091</v>
      </c>
      <c r="B189" s="224" t="s">
        <v>2060</v>
      </c>
      <c r="C189" s="22" t="s">
        <v>509</v>
      </c>
      <c r="D189" s="36" t="s">
        <v>2092</v>
      </c>
      <c r="E189" s="36" t="s">
        <v>2093</v>
      </c>
      <c r="F189" s="82" t="s">
        <v>281</v>
      </c>
      <c r="G189" s="82" t="s">
        <v>175</v>
      </c>
      <c r="H189" s="83" t="s">
        <v>181</v>
      </c>
      <c r="I189" s="36" t="s">
        <v>2094</v>
      </c>
      <c r="J189" s="36" t="s">
        <v>2096</v>
      </c>
      <c r="K189" s="22"/>
      <c r="L189" s="82" t="s">
        <v>1743</v>
      </c>
      <c r="M189" s="15"/>
      <c r="N189" s="15"/>
      <c r="O189" s="15"/>
      <c r="P189" s="15"/>
      <c r="Q189" s="15"/>
      <c r="R189" s="15"/>
      <c r="S189" s="15"/>
      <c r="T189" s="15"/>
      <c r="U189" s="15"/>
      <c r="V189" s="15"/>
      <c r="W189" s="15"/>
      <c r="X189" s="15"/>
      <c r="Y189" s="15"/>
      <c r="Z189" s="15"/>
    </row>
    <row r="190" ht="31.5" customHeight="1">
      <c r="A190" s="223" t="s">
        <v>2100</v>
      </c>
      <c r="B190" s="224" t="s">
        <v>2060</v>
      </c>
      <c r="C190" s="14" t="s">
        <v>509</v>
      </c>
      <c r="D190" s="29" t="s">
        <v>2101</v>
      </c>
      <c r="E190" s="29" t="s">
        <v>2102</v>
      </c>
      <c r="F190" s="57" t="s">
        <v>281</v>
      </c>
      <c r="G190" s="57" t="s">
        <v>175</v>
      </c>
      <c r="H190" s="58" t="s">
        <v>181</v>
      </c>
      <c r="I190" s="29" t="s">
        <v>2103</v>
      </c>
      <c r="J190" s="29" t="s">
        <v>2104</v>
      </c>
      <c r="K190" s="14"/>
      <c r="L190" s="57"/>
      <c r="M190" s="15"/>
      <c r="N190" s="15"/>
      <c r="O190" s="15"/>
      <c r="P190" s="15"/>
      <c r="Q190" s="15"/>
      <c r="R190" s="15"/>
      <c r="S190" s="15"/>
      <c r="T190" s="15"/>
      <c r="U190" s="15"/>
      <c r="V190" s="15"/>
      <c r="W190" s="15"/>
      <c r="X190" s="15"/>
      <c r="Y190" s="15"/>
      <c r="Z190" s="15"/>
    </row>
    <row r="191" ht="31.5" customHeight="1">
      <c r="A191" s="223" t="s">
        <v>2110</v>
      </c>
      <c r="B191" s="224" t="s">
        <v>2060</v>
      </c>
      <c r="C191" s="51" t="s">
        <v>533</v>
      </c>
      <c r="D191" s="52" t="s">
        <v>2111</v>
      </c>
      <c r="E191" s="52" t="s">
        <v>2112</v>
      </c>
      <c r="F191" s="53" t="s">
        <v>281</v>
      </c>
      <c r="G191" s="53" t="s">
        <v>175</v>
      </c>
      <c r="H191" s="58" t="s">
        <v>181</v>
      </c>
      <c r="I191" s="52" t="s">
        <v>2113</v>
      </c>
      <c r="J191" s="52" t="s">
        <v>2114</v>
      </c>
      <c r="K191" s="51" t="s">
        <v>2115</v>
      </c>
      <c r="L191" s="53"/>
      <c r="M191" s="15"/>
      <c r="N191" s="15"/>
      <c r="O191" s="15"/>
      <c r="P191" s="15"/>
      <c r="Q191" s="15"/>
      <c r="R191" s="15"/>
      <c r="S191" s="15"/>
      <c r="T191" s="15"/>
      <c r="U191" s="15"/>
      <c r="V191" s="15"/>
      <c r="W191" s="15"/>
      <c r="X191" s="15"/>
      <c r="Y191" s="15"/>
      <c r="Z191" s="15"/>
    </row>
    <row r="192" ht="45.0" customHeight="1">
      <c r="A192" s="223" t="s">
        <v>2121</v>
      </c>
      <c r="B192" s="224" t="s">
        <v>2060</v>
      </c>
      <c r="C192" s="14" t="s">
        <v>533</v>
      </c>
      <c r="D192" s="29" t="s">
        <v>2122</v>
      </c>
      <c r="E192" s="29" t="s">
        <v>2123</v>
      </c>
      <c r="F192" s="57" t="s">
        <v>281</v>
      </c>
      <c r="G192" s="57" t="s">
        <v>175</v>
      </c>
      <c r="H192" s="58" t="s">
        <v>181</v>
      </c>
      <c r="I192" s="29" t="s">
        <v>2124</v>
      </c>
      <c r="J192" s="29" t="s">
        <v>2125</v>
      </c>
      <c r="K192" s="14" t="s">
        <v>2126</v>
      </c>
      <c r="L192" s="57"/>
      <c r="M192" s="15"/>
      <c r="N192" s="15"/>
      <c r="O192" s="15"/>
      <c r="P192" s="15"/>
      <c r="Q192" s="15"/>
      <c r="R192" s="15"/>
      <c r="S192" s="15"/>
      <c r="T192" s="15"/>
      <c r="U192" s="15"/>
      <c r="V192" s="15"/>
      <c r="W192" s="15"/>
      <c r="X192" s="15"/>
      <c r="Y192" s="15"/>
      <c r="Z192" s="15"/>
    </row>
    <row r="193" ht="45.0" customHeight="1">
      <c r="A193" s="223" t="s">
        <v>2130</v>
      </c>
      <c r="B193" s="224" t="s">
        <v>2060</v>
      </c>
      <c r="C193" s="51" t="s">
        <v>533</v>
      </c>
      <c r="D193" s="52" t="s">
        <v>2132</v>
      </c>
      <c r="E193" s="52" t="s">
        <v>2133</v>
      </c>
      <c r="F193" s="53" t="s">
        <v>281</v>
      </c>
      <c r="G193" s="53" t="s">
        <v>175</v>
      </c>
      <c r="H193" s="58" t="s">
        <v>181</v>
      </c>
      <c r="I193" s="52" t="s">
        <v>2134</v>
      </c>
      <c r="J193" s="52" t="s">
        <v>2135</v>
      </c>
      <c r="K193" s="51" t="s">
        <v>2136</v>
      </c>
      <c r="L193" s="53"/>
      <c r="M193" s="15"/>
      <c r="N193" s="15"/>
      <c r="O193" s="15"/>
      <c r="P193" s="15"/>
      <c r="Q193" s="15"/>
      <c r="R193" s="15"/>
      <c r="S193" s="15"/>
      <c r="T193" s="15"/>
      <c r="U193" s="15"/>
      <c r="V193" s="15"/>
      <c r="W193" s="15"/>
      <c r="X193" s="15"/>
      <c r="Y193" s="15"/>
      <c r="Z193" s="15"/>
    </row>
    <row r="194" ht="45.0" customHeight="1">
      <c r="A194" s="223" t="s">
        <v>2137</v>
      </c>
      <c r="B194" s="224" t="s">
        <v>2060</v>
      </c>
      <c r="C194" s="14" t="s">
        <v>533</v>
      </c>
      <c r="D194" s="29" t="s">
        <v>2139</v>
      </c>
      <c r="E194" s="29" t="s">
        <v>2140</v>
      </c>
      <c r="F194" s="57" t="s">
        <v>281</v>
      </c>
      <c r="G194" s="57" t="s">
        <v>175</v>
      </c>
      <c r="H194" s="58" t="s">
        <v>181</v>
      </c>
      <c r="I194" s="29" t="s">
        <v>2142</v>
      </c>
      <c r="J194" s="29" t="s">
        <v>2143</v>
      </c>
      <c r="K194" s="14" t="s">
        <v>2045</v>
      </c>
      <c r="L194" s="57"/>
      <c r="M194" s="15"/>
      <c r="N194" s="15"/>
      <c r="O194" s="15"/>
      <c r="P194" s="15"/>
      <c r="Q194" s="15"/>
      <c r="R194" s="15"/>
      <c r="S194" s="15"/>
      <c r="T194" s="15"/>
      <c r="U194" s="15"/>
      <c r="V194" s="15"/>
      <c r="W194" s="15"/>
      <c r="X194" s="15"/>
      <c r="Y194" s="15"/>
      <c r="Z194" s="15"/>
    </row>
    <row r="195" ht="31.5" customHeight="1">
      <c r="A195" s="223" t="s">
        <v>2146</v>
      </c>
      <c r="B195" s="224" t="s">
        <v>2060</v>
      </c>
      <c r="C195" s="51" t="s">
        <v>533</v>
      </c>
      <c r="D195" s="52" t="s">
        <v>2147</v>
      </c>
      <c r="E195" s="52" t="s">
        <v>2148</v>
      </c>
      <c r="F195" s="53" t="s">
        <v>335</v>
      </c>
      <c r="G195" s="53" t="s">
        <v>283</v>
      </c>
      <c r="H195" s="58" t="s">
        <v>181</v>
      </c>
      <c r="I195" s="52" t="s">
        <v>2149</v>
      </c>
      <c r="J195" s="52" t="s">
        <v>2150</v>
      </c>
      <c r="K195" s="51"/>
      <c r="L195" s="53"/>
      <c r="M195" s="15"/>
      <c r="N195" s="15"/>
      <c r="O195" s="15"/>
      <c r="P195" s="15"/>
      <c r="Q195" s="15"/>
      <c r="R195" s="15"/>
      <c r="S195" s="15"/>
      <c r="T195" s="15"/>
      <c r="U195" s="15"/>
      <c r="V195" s="15"/>
      <c r="W195" s="15"/>
      <c r="X195" s="15"/>
      <c r="Y195" s="15"/>
      <c r="Z195" s="15"/>
    </row>
    <row r="196" ht="45.0" customHeight="1">
      <c r="A196" s="223" t="s">
        <v>2155</v>
      </c>
      <c r="B196" s="224" t="s">
        <v>2060</v>
      </c>
      <c r="C196" s="14" t="s">
        <v>556</v>
      </c>
      <c r="D196" s="29" t="s">
        <v>2156</v>
      </c>
      <c r="E196" s="29" t="s">
        <v>2157</v>
      </c>
      <c r="F196" s="57" t="s">
        <v>281</v>
      </c>
      <c r="G196" s="57" t="s">
        <v>175</v>
      </c>
      <c r="H196" s="58" t="s">
        <v>181</v>
      </c>
      <c r="I196" s="29" t="s">
        <v>2158</v>
      </c>
      <c r="J196" s="29" t="s">
        <v>2159</v>
      </c>
      <c r="K196" s="14" t="s">
        <v>2160</v>
      </c>
      <c r="L196" s="57"/>
      <c r="M196" s="15"/>
      <c r="N196" s="15"/>
      <c r="O196" s="15"/>
      <c r="P196" s="15"/>
      <c r="Q196" s="15"/>
      <c r="R196" s="15"/>
      <c r="S196" s="15"/>
      <c r="T196" s="15"/>
      <c r="U196" s="15"/>
      <c r="V196" s="15"/>
      <c r="W196" s="15"/>
      <c r="X196" s="15"/>
      <c r="Y196" s="15"/>
      <c r="Z196" s="15"/>
    </row>
    <row r="197" ht="58.5" customHeight="1">
      <c r="A197" s="223" t="s">
        <v>2164</v>
      </c>
      <c r="B197" s="224" t="s">
        <v>2060</v>
      </c>
      <c r="C197" s="51" t="s">
        <v>556</v>
      </c>
      <c r="D197" s="52" t="s">
        <v>2166</v>
      </c>
      <c r="E197" s="52" t="s">
        <v>2167</v>
      </c>
      <c r="F197" s="53" t="s">
        <v>281</v>
      </c>
      <c r="G197" s="53" t="s">
        <v>175</v>
      </c>
      <c r="H197" s="58" t="s">
        <v>181</v>
      </c>
      <c r="I197" s="52" t="s">
        <v>2168</v>
      </c>
      <c r="J197" s="52" t="s">
        <v>2169</v>
      </c>
      <c r="K197" s="51" t="s">
        <v>2170</v>
      </c>
      <c r="L197" s="53"/>
      <c r="M197" s="15"/>
      <c r="N197" s="15"/>
      <c r="O197" s="15"/>
      <c r="P197" s="15"/>
      <c r="Q197" s="15"/>
      <c r="R197" s="15"/>
      <c r="S197" s="15"/>
      <c r="T197" s="15"/>
      <c r="U197" s="15"/>
      <c r="V197" s="15"/>
      <c r="W197" s="15"/>
      <c r="X197" s="15"/>
      <c r="Y197" s="15"/>
      <c r="Z197" s="15"/>
    </row>
    <row r="198" ht="45.0" customHeight="1">
      <c r="A198" s="223" t="s">
        <v>2173</v>
      </c>
      <c r="B198" s="224" t="s">
        <v>2060</v>
      </c>
      <c r="C198" s="14" t="s">
        <v>556</v>
      </c>
      <c r="D198" s="29" t="s">
        <v>2174</v>
      </c>
      <c r="E198" s="29" t="s">
        <v>2175</v>
      </c>
      <c r="F198" s="57" t="s">
        <v>281</v>
      </c>
      <c r="G198" s="57" t="s">
        <v>175</v>
      </c>
      <c r="H198" s="58" t="s">
        <v>181</v>
      </c>
      <c r="I198" s="29" t="s">
        <v>2179</v>
      </c>
      <c r="J198" s="29" t="s">
        <v>2180</v>
      </c>
      <c r="K198" s="14"/>
      <c r="L198" s="57"/>
      <c r="M198" s="15"/>
      <c r="N198" s="15"/>
      <c r="O198" s="15"/>
      <c r="P198" s="15"/>
      <c r="Q198" s="15"/>
      <c r="R198" s="15"/>
      <c r="S198" s="15"/>
      <c r="T198" s="15"/>
      <c r="U198" s="15"/>
      <c r="V198" s="15"/>
      <c r="W198" s="15"/>
      <c r="X198" s="15"/>
      <c r="Y198" s="15"/>
      <c r="Z198" s="15"/>
    </row>
    <row r="199" ht="45.0" customHeight="1">
      <c r="A199" s="223" t="s">
        <v>2181</v>
      </c>
      <c r="B199" s="224" t="s">
        <v>2060</v>
      </c>
      <c r="C199" s="22" t="s">
        <v>556</v>
      </c>
      <c r="D199" s="36" t="s">
        <v>2182</v>
      </c>
      <c r="E199" s="36" t="s">
        <v>2183</v>
      </c>
      <c r="F199" s="82" t="s">
        <v>281</v>
      </c>
      <c r="G199" s="82" t="s">
        <v>175</v>
      </c>
      <c r="H199" s="83" t="s">
        <v>181</v>
      </c>
      <c r="I199" s="36" t="s">
        <v>2184</v>
      </c>
      <c r="J199" s="36" t="s">
        <v>2185</v>
      </c>
      <c r="K199" s="22"/>
      <c r="L199" s="82" t="s">
        <v>2187</v>
      </c>
      <c r="M199" s="15"/>
      <c r="N199" s="15"/>
      <c r="O199" s="15"/>
      <c r="P199" s="15"/>
      <c r="Q199" s="15"/>
      <c r="R199" s="15"/>
      <c r="S199" s="15"/>
      <c r="T199" s="15"/>
      <c r="U199" s="15"/>
      <c r="V199" s="15"/>
      <c r="W199" s="15"/>
      <c r="X199" s="15"/>
      <c r="Y199" s="15"/>
      <c r="Z199" s="15"/>
    </row>
    <row r="200" ht="58.5" customHeight="1">
      <c r="A200" s="223" t="s">
        <v>2188</v>
      </c>
      <c r="B200" s="224" t="s">
        <v>2060</v>
      </c>
      <c r="C200" s="14" t="s">
        <v>556</v>
      </c>
      <c r="D200" s="29" t="s">
        <v>2189</v>
      </c>
      <c r="E200" s="29" t="s">
        <v>2190</v>
      </c>
      <c r="F200" s="57" t="s">
        <v>281</v>
      </c>
      <c r="G200" s="57" t="s">
        <v>175</v>
      </c>
      <c r="H200" s="58" t="s">
        <v>181</v>
      </c>
      <c r="I200" s="29" t="s">
        <v>2191</v>
      </c>
      <c r="J200" s="29" t="s">
        <v>2192</v>
      </c>
      <c r="K200" s="14"/>
      <c r="L200" s="57"/>
      <c r="M200" s="15"/>
      <c r="N200" s="15"/>
      <c r="O200" s="15"/>
      <c r="P200" s="15"/>
      <c r="Q200" s="15"/>
      <c r="R200" s="15"/>
      <c r="S200" s="15"/>
      <c r="T200" s="15"/>
      <c r="U200" s="15"/>
      <c r="V200" s="15"/>
      <c r="W200" s="15"/>
      <c r="X200" s="15"/>
      <c r="Y200" s="15"/>
      <c r="Z200" s="15"/>
    </row>
    <row r="201" ht="72.75" customHeight="1">
      <c r="A201" s="223" t="s">
        <v>2193</v>
      </c>
      <c r="B201" s="224" t="s">
        <v>2060</v>
      </c>
      <c r="C201" s="51" t="s">
        <v>556</v>
      </c>
      <c r="D201" s="52" t="s">
        <v>2194</v>
      </c>
      <c r="E201" s="52" t="s">
        <v>2195</v>
      </c>
      <c r="F201" s="53" t="s">
        <v>125</v>
      </c>
      <c r="G201" s="53" t="s">
        <v>175</v>
      </c>
      <c r="H201" s="58" t="s">
        <v>181</v>
      </c>
      <c r="I201" s="51" t="s">
        <v>2196</v>
      </c>
      <c r="J201" s="52" t="s">
        <v>2197</v>
      </c>
      <c r="K201" s="51" t="s">
        <v>2198</v>
      </c>
      <c r="L201" s="53"/>
      <c r="M201" s="15"/>
      <c r="N201" s="15"/>
      <c r="O201" s="15"/>
      <c r="P201" s="15"/>
      <c r="Q201" s="15"/>
      <c r="R201" s="15"/>
      <c r="S201" s="15"/>
      <c r="T201" s="15"/>
      <c r="U201" s="15"/>
      <c r="V201" s="15"/>
      <c r="W201" s="15"/>
      <c r="X201" s="15"/>
      <c r="Y201" s="15"/>
      <c r="Z201" s="15"/>
    </row>
    <row r="202" ht="31.5" customHeight="1">
      <c r="A202" s="223" t="s">
        <v>2199</v>
      </c>
      <c r="B202" s="224" t="s">
        <v>2060</v>
      </c>
      <c r="C202" s="14" t="s">
        <v>452</v>
      </c>
      <c r="D202" s="29" t="s">
        <v>2200</v>
      </c>
      <c r="E202" s="29" t="s">
        <v>2201</v>
      </c>
      <c r="F202" s="57" t="s">
        <v>281</v>
      </c>
      <c r="G202" s="57" t="s">
        <v>175</v>
      </c>
      <c r="H202" s="58" t="s">
        <v>181</v>
      </c>
      <c r="I202" s="29" t="s">
        <v>2202</v>
      </c>
      <c r="J202" s="29" t="s">
        <v>2203</v>
      </c>
      <c r="K202" s="14" t="s">
        <v>2204</v>
      </c>
      <c r="L202" s="57"/>
      <c r="M202" s="15"/>
      <c r="N202" s="15"/>
      <c r="O202" s="15"/>
      <c r="P202" s="15"/>
      <c r="Q202" s="15"/>
      <c r="R202" s="15"/>
      <c r="S202" s="15"/>
      <c r="T202" s="15"/>
      <c r="U202" s="15"/>
      <c r="V202" s="15"/>
      <c r="W202" s="15"/>
      <c r="X202" s="15"/>
      <c r="Y202" s="15"/>
      <c r="Z202" s="15"/>
    </row>
    <row r="203" ht="31.5" customHeight="1">
      <c r="A203" s="223" t="s">
        <v>2205</v>
      </c>
      <c r="B203" s="224" t="s">
        <v>2060</v>
      </c>
      <c r="C203" s="51" t="s">
        <v>452</v>
      </c>
      <c r="D203" s="52" t="s">
        <v>2206</v>
      </c>
      <c r="E203" s="52" t="s">
        <v>2207</v>
      </c>
      <c r="F203" s="53" t="s">
        <v>281</v>
      </c>
      <c r="G203" s="53" t="s">
        <v>175</v>
      </c>
      <c r="H203" s="58" t="s">
        <v>181</v>
      </c>
      <c r="I203" s="52" t="s">
        <v>2208</v>
      </c>
      <c r="J203" s="52" t="s">
        <v>2209</v>
      </c>
      <c r="K203" s="51" t="s">
        <v>2210</v>
      </c>
      <c r="L203" s="53"/>
      <c r="M203" s="15"/>
      <c r="N203" s="15"/>
      <c r="O203" s="15"/>
      <c r="P203" s="15"/>
      <c r="Q203" s="15"/>
      <c r="R203" s="15"/>
      <c r="S203" s="15"/>
      <c r="T203" s="15"/>
      <c r="U203" s="15"/>
      <c r="V203" s="15"/>
      <c r="W203" s="15"/>
      <c r="X203" s="15"/>
      <c r="Y203" s="15"/>
      <c r="Z203" s="15"/>
    </row>
    <row r="204" ht="72.75" customHeight="1">
      <c r="A204" s="223" t="s">
        <v>2211</v>
      </c>
      <c r="B204" s="224" t="s">
        <v>2060</v>
      </c>
      <c r="C204" s="14" t="s">
        <v>452</v>
      </c>
      <c r="D204" s="29" t="s">
        <v>2212</v>
      </c>
      <c r="E204" s="29" t="s">
        <v>2213</v>
      </c>
      <c r="F204" s="57" t="s">
        <v>125</v>
      </c>
      <c r="G204" s="57" t="s">
        <v>130</v>
      </c>
      <c r="H204" s="54" t="s">
        <v>36</v>
      </c>
      <c r="I204" s="29" t="s">
        <v>2214</v>
      </c>
      <c r="J204" s="29" t="s">
        <v>2215</v>
      </c>
      <c r="K204" s="14" t="s">
        <v>2216</v>
      </c>
      <c r="L204" s="57"/>
      <c r="M204" s="15"/>
      <c r="N204" s="15"/>
      <c r="O204" s="15"/>
      <c r="P204" s="15"/>
      <c r="Q204" s="15"/>
      <c r="R204" s="15"/>
      <c r="S204" s="15"/>
      <c r="T204" s="15"/>
      <c r="U204" s="15"/>
      <c r="V204" s="15"/>
      <c r="W204" s="15"/>
      <c r="X204" s="15"/>
      <c r="Y204" s="15"/>
      <c r="Z204" s="15"/>
    </row>
    <row r="205" ht="45.0" customHeight="1">
      <c r="A205" s="223" t="s">
        <v>2217</v>
      </c>
      <c r="B205" s="224" t="s">
        <v>2060</v>
      </c>
      <c r="C205" s="51" t="s">
        <v>452</v>
      </c>
      <c r="D205" s="52" t="s">
        <v>2218</v>
      </c>
      <c r="E205" s="52" t="s">
        <v>2219</v>
      </c>
      <c r="F205" s="53" t="s">
        <v>281</v>
      </c>
      <c r="G205" s="53" t="s">
        <v>175</v>
      </c>
      <c r="H205" s="58" t="s">
        <v>181</v>
      </c>
      <c r="I205" s="52" t="s">
        <v>2220</v>
      </c>
      <c r="J205" s="52" t="s">
        <v>2221</v>
      </c>
      <c r="K205" s="51" t="s">
        <v>2222</v>
      </c>
      <c r="L205" s="53"/>
      <c r="M205" s="15"/>
      <c r="N205" s="15"/>
      <c r="O205" s="15"/>
      <c r="P205" s="15"/>
      <c r="Q205" s="15"/>
      <c r="R205" s="15"/>
      <c r="S205" s="15"/>
      <c r="T205" s="15"/>
      <c r="U205" s="15"/>
      <c r="V205" s="15"/>
      <c r="W205" s="15"/>
      <c r="X205" s="15"/>
      <c r="Y205" s="15"/>
      <c r="Z205" s="15"/>
    </row>
    <row r="206" ht="100.5" customHeight="1">
      <c r="A206" s="223" t="s">
        <v>2223</v>
      </c>
      <c r="B206" s="224" t="s">
        <v>2060</v>
      </c>
      <c r="C206" s="14" t="s">
        <v>596</v>
      </c>
      <c r="D206" s="29" t="s">
        <v>2224</v>
      </c>
      <c r="E206" s="29" t="s">
        <v>2225</v>
      </c>
      <c r="F206" s="57" t="s">
        <v>125</v>
      </c>
      <c r="G206" s="57" t="s">
        <v>130</v>
      </c>
      <c r="H206" s="54" t="s">
        <v>36</v>
      </c>
      <c r="I206" s="14" t="s">
        <v>2226</v>
      </c>
      <c r="J206" s="29" t="s">
        <v>2227</v>
      </c>
      <c r="K206" s="14" t="s">
        <v>2228</v>
      </c>
      <c r="L206" s="57"/>
      <c r="M206" s="15"/>
      <c r="N206" s="15"/>
      <c r="O206" s="15"/>
      <c r="P206" s="15"/>
      <c r="Q206" s="15"/>
      <c r="R206" s="15"/>
      <c r="S206" s="15"/>
      <c r="T206" s="15"/>
      <c r="U206" s="15"/>
      <c r="V206" s="15"/>
      <c r="W206" s="15"/>
      <c r="X206" s="15"/>
      <c r="Y206" s="15"/>
      <c r="Z206" s="15"/>
    </row>
    <row r="207" ht="58.5" customHeight="1">
      <c r="A207" s="223" t="s">
        <v>2229</v>
      </c>
      <c r="B207" s="224" t="s">
        <v>2060</v>
      </c>
      <c r="C207" s="51" t="s">
        <v>596</v>
      </c>
      <c r="D207" s="52" t="s">
        <v>2230</v>
      </c>
      <c r="E207" s="52" t="s">
        <v>2231</v>
      </c>
      <c r="F207" s="53" t="s">
        <v>335</v>
      </c>
      <c r="G207" s="53" t="s">
        <v>283</v>
      </c>
      <c r="H207" s="58" t="s">
        <v>181</v>
      </c>
      <c r="I207" s="52" t="s">
        <v>2232</v>
      </c>
      <c r="J207" s="52" t="s">
        <v>2233</v>
      </c>
      <c r="K207" s="51" t="s">
        <v>2234</v>
      </c>
      <c r="L207" s="53"/>
      <c r="M207" s="15"/>
      <c r="N207" s="15"/>
      <c r="O207" s="15"/>
      <c r="P207" s="15"/>
      <c r="Q207" s="15"/>
      <c r="R207" s="15"/>
      <c r="S207" s="15"/>
      <c r="T207" s="15"/>
      <c r="U207" s="15"/>
      <c r="V207" s="15"/>
      <c r="W207" s="15"/>
      <c r="X207" s="15"/>
      <c r="Y207" s="15"/>
      <c r="Z207" s="15"/>
    </row>
    <row r="208" ht="31.5" customHeight="1">
      <c r="A208" s="227" t="s">
        <v>2235</v>
      </c>
      <c r="B208" s="228" t="s">
        <v>2060</v>
      </c>
      <c r="C208" s="229" t="s">
        <v>596</v>
      </c>
      <c r="D208" s="230" t="s">
        <v>2236</v>
      </c>
      <c r="E208" s="230" t="s">
        <v>2237</v>
      </c>
      <c r="F208" s="231" t="s">
        <v>1695</v>
      </c>
      <c r="G208" s="231" t="s">
        <v>457</v>
      </c>
      <c r="H208" s="232" t="s">
        <v>181</v>
      </c>
      <c r="I208" s="230" t="s">
        <v>2238</v>
      </c>
      <c r="J208" s="230" t="s">
        <v>2239</v>
      </c>
      <c r="K208" s="229"/>
      <c r="L208" s="231"/>
      <c r="M208" s="15"/>
      <c r="N208" s="15"/>
      <c r="O208" s="15"/>
      <c r="P208" s="15"/>
      <c r="Q208" s="15"/>
      <c r="R208" s="15"/>
      <c r="S208" s="15"/>
      <c r="T208" s="15"/>
      <c r="U208" s="15"/>
      <c r="V208" s="15"/>
      <c r="W208" s="15"/>
      <c r="X208" s="15"/>
      <c r="Y208" s="15"/>
      <c r="Z208" s="15"/>
    </row>
    <row r="209" ht="15.75" customHeight="1">
      <c r="A209" s="84"/>
      <c r="B209" s="84"/>
      <c r="C209" s="84"/>
      <c r="D209" s="84"/>
      <c r="E209" s="84"/>
      <c r="F209" s="84"/>
      <c r="G209" s="84"/>
      <c r="H209" s="84"/>
      <c r="I209" s="84"/>
      <c r="J209" s="84"/>
      <c r="K209" s="84"/>
      <c r="L209" s="84"/>
      <c r="M209" s="84"/>
      <c r="N209" s="84"/>
      <c r="O209" s="84"/>
      <c r="P209" s="84"/>
      <c r="Q209" s="84"/>
      <c r="R209" s="84"/>
      <c r="S209" s="84"/>
      <c r="T209" s="84"/>
      <c r="U209" s="84"/>
      <c r="V209" s="84"/>
      <c r="W209" s="84"/>
      <c r="X209" s="84"/>
      <c r="Y209" s="84"/>
      <c r="Z209" s="84"/>
    </row>
    <row r="210" ht="15.75" customHeight="1">
      <c r="A210" s="84"/>
      <c r="B210" s="84"/>
      <c r="C210" s="84"/>
      <c r="D210" s="84"/>
      <c r="E210" s="84"/>
      <c r="F210" s="84"/>
      <c r="G210" s="84"/>
      <c r="H210" s="84"/>
      <c r="I210" s="84"/>
      <c r="J210" s="84"/>
      <c r="K210" s="84"/>
      <c r="L210" s="84"/>
      <c r="M210" s="84"/>
      <c r="N210" s="84"/>
      <c r="O210" s="84"/>
      <c r="P210" s="84"/>
      <c r="Q210" s="84"/>
      <c r="R210" s="84"/>
      <c r="S210" s="84"/>
      <c r="T210" s="84"/>
      <c r="U210" s="84"/>
      <c r="V210" s="84"/>
      <c r="W210" s="84"/>
      <c r="X210" s="84"/>
      <c r="Y210" s="84"/>
      <c r="Z210" s="84"/>
    </row>
    <row r="211" ht="15.75" customHeight="1">
      <c r="A211" s="84"/>
      <c r="B211" s="84"/>
      <c r="C211" s="84"/>
      <c r="D211" s="84"/>
      <c r="E211" s="84"/>
      <c r="F211" s="84"/>
      <c r="G211" s="84"/>
      <c r="H211" s="84"/>
      <c r="I211" s="84"/>
      <c r="J211" s="84"/>
      <c r="K211" s="84"/>
      <c r="L211" s="84"/>
      <c r="M211" s="84"/>
      <c r="N211" s="84"/>
      <c r="O211" s="84"/>
      <c r="P211" s="84"/>
      <c r="Q211" s="84"/>
      <c r="R211" s="84"/>
      <c r="S211" s="84"/>
      <c r="T211" s="84"/>
      <c r="U211" s="84"/>
      <c r="V211" s="84"/>
      <c r="W211" s="84"/>
      <c r="X211" s="84"/>
      <c r="Y211" s="84"/>
      <c r="Z211" s="84"/>
    </row>
    <row r="212" ht="15.75" customHeight="1">
      <c r="A212" s="84"/>
      <c r="B212" s="84"/>
      <c r="C212" s="84"/>
      <c r="D212" s="84"/>
      <c r="E212" s="84"/>
      <c r="F212" s="84"/>
      <c r="G212" s="84"/>
      <c r="H212" s="84"/>
      <c r="I212" s="84"/>
      <c r="J212" s="84"/>
      <c r="K212" s="84"/>
      <c r="L212" s="84"/>
      <c r="M212" s="84"/>
      <c r="N212" s="84"/>
      <c r="O212" s="84"/>
      <c r="P212" s="84"/>
      <c r="Q212" s="84"/>
      <c r="R212" s="84"/>
      <c r="S212" s="84"/>
      <c r="T212" s="84"/>
      <c r="U212" s="84"/>
      <c r="V212" s="84"/>
      <c r="W212" s="84"/>
      <c r="X212" s="84"/>
      <c r="Y212" s="84"/>
      <c r="Z212" s="84"/>
    </row>
    <row r="213" ht="15.75" customHeight="1">
      <c r="A213" s="84"/>
      <c r="B213" s="84"/>
      <c r="C213" s="84"/>
      <c r="D213" s="84"/>
      <c r="E213" s="84"/>
      <c r="F213" s="84"/>
      <c r="G213" s="84"/>
      <c r="H213" s="84"/>
      <c r="I213" s="84"/>
      <c r="J213" s="84"/>
      <c r="K213" s="84"/>
      <c r="L213" s="84"/>
      <c r="M213" s="84"/>
      <c r="N213" s="84"/>
      <c r="O213" s="84"/>
      <c r="P213" s="84"/>
      <c r="Q213" s="84"/>
      <c r="R213" s="84"/>
      <c r="S213" s="84"/>
      <c r="T213" s="84"/>
      <c r="U213" s="84"/>
      <c r="V213" s="84"/>
      <c r="W213" s="84"/>
      <c r="X213" s="84"/>
      <c r="Y213" s="84"/>
      <c r="Z213" s="84"/>
    </row>
    <row r="214" ht="15.75" customHeight="1">
      <c r="A214" s="84"/>
      <c r="B214" s="84"/>
      <c r="C214" s="84"/>
      <c r="D214" s="84"/>
      <c r="E214" s="84"/>
      <c r="F214" s="84"/>
      <c r="G214" s="84"/>
      <c r="H214" s="84"/>
      <c r="I214" s="84"/>
      <c r="J214" s="84"/>
      <c r="K214" s="84"/>
      <c r="L214" s="84"/>
      <c r="M214" s="84"/>
      <c r="N214" s="84"/>
      <c r="O214" s="84"/>
      <c r="P214" s="84"/>
      <c r="Q214" s="84"/>
      <c r="R214" s="84"/>
      <c r="S214" s="84"/>
      <c r="T214" s="84"/>
      <c r="U214" s="84"/>
      <c r="V214" s="84"/>
      <c r="W214" s="84"/>
      <c r="X214" s="84"/>
      <c r="Y214" s="84"/>
      <c r="Z214" s="84"/>
    </row>
    <row r="215" ht="15.75" customHeight="1">
      <c r="A215" s="84"/>
      <c r="B215" s="84"/>
      <c r="C215" s="84"/>
      <c r="D215" s="84"/>
      <c r="E215" s="84"/>
      <c r="F215" s="84"/>
      <c r="G215" s="84"/>
      <c r="H215" s="84"/>
      <c r="I215" s="84"/>
      <c r="J215" s="84"/>
      <c r="K215" s="84"/>
      <c r="L215" s="84"/>
      <c r="M215" s="84"/>
      <c r="N215" s="84"/>
      <c r="O215" s="84"/>
      <c r="P215" s="84"/>
      <c r="Q215" s="84"/>
      <c r="R215" s="84"/>
      <c r="S215" s="84"/>
      <c r="T215" s="84"/>
      <c r="U215" s="84"/>
      <c r="V215" s="84"/>
      <c r="W215" s="84"/>
      <c r="X215" s="84"/>
      <c r="Y215" s="84"/>
      <c r="Z215" s="84"/>
    </row>
    <row r="216" ht="15.75" customHeight="1">
      <c r="A216" s="84"/>
      <c r="B216" s="84"/>
      <c r="C216" s="84"/>
      <c r="D216" s="84"/>
      <c r="E216" s="84"/>
      <c r="F216" s="84"/>
      <c r="G216" s="84"/>
      <c r="H216" s="84"/>
      <c r="I216" s="84"/>
      <c r="J216" s="84"/>
      <c r="K216" s="84"/>
      <c r="L216" s="84"/>
      <c r="M216" s="84"/>
      <c r="N216" s="84"/>
      <c r="O216" s="84"/>
      <c r="P216" s="84"/>
      <c r="Q216" s="84"/>
      <c r="R216" s="84"/>
      <c r="S216" s="84"/>
      <c r="T216" s="84"/>
      <c r="U216" s="84"/>
      <c r="V216" s="84"/>
      <c r="W216" s="84"/>
      <c r="X216" s="84"/>
      <c r="Y216" s="84"/>
      <c r="Z216" s="84"/>
    </row>
    <row r="217" ht="15.75" customHeight="1">
      <c r="A217" s="84"/>
      <c r="B217" s="84"/>
      <c r="C217" s="84"/>
      <c r="D217" s="84"/>
      <c r="E217" s="84"/>
      <c r="F217" s="84"/>
      <c r="G217" s="84"/>
      <c r="H217" s="84"/>
      <c r="I217" s="84"/>
      <c r="J217" s="84"/>
      <c r="K217" s="84"/>
      <c r="L217" s="84"/>
      <c r="M217" s="84"/>
      <c r="N217" s="84"/>
      <c r="O217" s="84"/>
      <c r="P217" s="84"/>
      <c r="Q217" s="84"/>
      <c r="R217" s="84"/>
      <c r="S217" s="84"/>
      <c r="T217" s="84"/>
      <c r="U217" s="84"/>
      <c r="V217" s="84"/>
      <c r="W217" s="84"/>
      <c r="X217" s="84"/>
      <c r="Y217" s="84"/>
      <c r="Z217" s="84"/>
    </row>
    <row r="218" ht="15.75" customHeight="1">
      <c r="A218" s="84"/>
      <c r="B218" s="84"/>
      <c r="C218" s="84"/>
      <c r="D218" s="84"/>
      <c r="E218" s="84"/>
      <c r="F218" s="84"/>
      <c r="G218" s="84"/>
      <c r="H218" s="84"/>
      <c r="I218" s="84"/>
      <c r="J218" s="84"/>
      <c r="K218" s="84"/>
      <c r="L218" s="84"/>
      <c r="M218" s="84"/>
      <c r="N218" s="84"/>
      <c r="O218" s="84"/>
      <c r="P218" s="84"/>
      <c r="Q218" s="84"/>
      <c r="R218" s="84"/>
      <c r="S218" s="84"/>
      <c r="T218" s="84"/>
      <c r="U218" s="84"/>
      <c r="V218" s="84"/>
      <c r="W218" s="84"/>
      <c r="X218" s="84"/>
      <c r="Y218" s="84"/>
      <c r="Z218" s="84"/>
    </row>
    <row r="219" ht="15.75" customHeight="1">
      <c r="A219" s="84"/>
      <c r="B219" s="84"/>
      <c r="C219" s="84"/>
      <c r="D219" s="84"/>
      <c r="E219" s="84"/>
      <c r="F219" s="84"/>
      <c r="G219" s="84"/>
      <c r="H219" s="84"/>
      <c r="I219" s="84"/>
      <c r="J219" s="84"/>
      <c r="K219" s="84"/>
      <c r="L219" s="84"/>
      <c r="M219" s="84"/>
      <c r="N219" s="84"/>
      <c r="O219" s="84"/>
      <c r="P219" s="84"/>
      <c r="Q219" s="84"/>
      <c r="R219" s="84"/>
      <c r="S219" s="84"/>
      <c r="T219" s="84"/>
      <c r="U219" s="84"/>
      <c r="V219" s="84"/>
      <c r="W219" s="84"/>
      <c r="X219" s="84"/>
      <c r="Y219" s="84"/>
      <c r="Z219" s="84"/>
    </row>
    <row r="220" ht="15.75" customHeight="1">
      <c r="A220" s="84"/>
      <c r="B220" s="84"/>
      <c r="C220" s="84"/>
      <c r="D220" s="84"/>
      <c r="E220" s="84"/>
      <c r="F220" s="84"/>
      <c r="G220" s="84"/>
      <c r="H220" s="84"/>
      <c r="I220" s="84"/>
      <c r="J220" s="84"/>
      <c r="K220" s="84"/>
      <c r="L220" s="84"/>
      <c r="M220" s="84"/>
      <c r="N220" s="84"/>
      <c r="O220" s="84"/>
      <c r="P220" s="84"/>
      <c r="Q220" s="84"/>
      <c r="R220" s="84"/>
      <c r="S220" s="84"/>
      <c r="T220" s="84"/>
      <c r="U220" s="84"/>
      <c r="V220" s="84"/>
      <c r="W220" s="84"/>
      <c r="X220" s="84"/>
      <c r="Y220" s="84"/>
      <c r="Z220" s="84"/>
    </row>
    <row r="221" ht="15.75" customHeight="1">
      <c r="A221" s="84"/>
      <c r="B221" s="84"/>
      <c r="C221" s="84"/>
      <c r="D221" s="84"/>
      <c r="E221" s="84"/>
      <c r="F221" s="84"/>
      <c r="G221" s="84"/>
      <c r="H221" s="84"/>
      <c r="I221" s="84"/>
      <c r="J221" s="84"/>
      <c r="K221" s="84"/>
      <c r="L221" s="84"/>
      <c r="M221" s="84"/>
      <c r="N221" s="84"/>
      <c r="O221" s="84"/>
      <c r="P221" s="84"/>
      <c r="Q221" s="84"/>
      <c r="R221" s="84"/>
      <c r="S221" s="84"/>
      <c r="T221" s="84"/>
      <c r="U221" s="84"/>
      <c r="V221" s="84"/>
      <c r="W221" s="84"/>
      <c r="X221" s="84"/>
      <c r="Y221" s="84"/>
      <c r="Z221" s="84"/>
    </row>
    <row r="222" ht="15.75" customHeight="1">
      <c r="A222" s="84"/>
      <c r="B222" s="84"/>
      <c r="C222" s="84"/>
      <c r="D222" s="84"/>
      <c r="E222" s="84"/>
      <c r="F222" s="84"/>
      <c r="G222" s="84"/>
      <c r="H222" s="84"/>
      <c r="I222" s="84"/>
      <c r="J222" s="84"/>
      <c r="K222" s="84"/>
      <c r="L222" s="84"/>
      <c r="M222" s="84"/>
      <c r="N222" s="84"/>
      <c r="O222" s="84"/>
      <c r="P222" s="84"/>
      <c r="Q222" s="84"/>
      <c r="R222" s="84"/>
      <c r="S222" s="84"/>
      <c r="T222" s="84"/>
      <c r="U222" s="84"/>
      <c r="V222" s="84"/>
      <c r="W222" s="84"/>
      <c r="X222" s="84"/>
      <c r="Y222" s="84"/>
      <c r="Z222" s="84"/>
    </row>
    <row r="223" ht="15.75" customHeight="1">
      <c r="A223" s="84"/>
      <c r="B223" s="84"/>
      <c r="C223" s="84"/>
      <c r="D223" s="84"/>
      <c r="E223" s="84"/>
      <c r="F223" s="84"/>
      <c r="G223" s="84"/>
      <c r="H223" s="84"/>
      <c r="I223" s="84"/>
      <c r="J223" s="84"/>
      <c r="K223" s="84"/>
      <c r="L223" s="84"/>
      <c r="M223" s="84"/>
      <c r="N223" s="84"/>
      <c r="O223" s="84"/>
      <c r="P223" s="84"/>
      <c r="Q223" s="84"/>
      <c r="R223" s="84"/>
      <c r="S223" s="84"/>
      <c r="T223" s="84"/>
      <c r="U223" s="84"/>
      <c r="V223" s="84"/>
      <c r="W223" s="84"/>
      <c r="X223" s="84"/>
      <c r="Y223" s="84"/>
      <c r="Z223" s="84"/>
    </row>
    <row r="224" ht="15.75" customHeight="1">
      <c r="A224" s="84"/>
      <c r="B224" s="84"/>
      <c r="C224" s="84"/>
      <c r="D224" s="84"/>
      <c r="E224" s="84"/>
      <c r="F224" s="84"/>
      <c r="G224" s="84"/>
      <c r="H224" s="84"/>
      <c r="I224" s="84"/>
      <c r="J224" s="84"/>
      <c r="K224" s="84"/>
      <c r="L224" s="84"/>
      <c r="M224" s="84"/>
      <c r="N224" s="84"/>
      <c r="O224" s="84"/>
      <c r="P224" s="84"/>
      <c r="Q224" s="84"/>
      <c r="R224" s="84"/>
      <c r="S224" s="84"/>
      <c r="T224" s="84"/>
      <c r="U224" s="84"/>
      <c r="V224" s="84"/>
      <c r="W224" s="84"/>
      <c r="X224" s="84"/>
      <c r="Y224" s="84"/>
      <c r="Z224" s="84"/>
    </row>
    <row r="225" ht="15.75" customHeight="1">
      <c r="A225" s="84"/>
      <c r="B225" s="84"/>
      <c r="C225" s="84"/>
      <c r="D225" s="84"/>
      <c r="E225" s="84"/>
      <c r="F225" s="84"/>
      <c r="G225" s="84"/>
      <c r="H225" s="84"/>
      <c r="I225" s="84"/>
      <c r="J225" s="84"/>
      <c r="K225" s="84"/>
      <c r="L225" s="84"/>
      <c r="M225" s="84"/>
      <c r="N225" s="84"/>
      <c r="O225" s="84"/>
      <c r="P225" s="84"/>
      <c r="Q225" s="84"/>
      <c r="R225" s="84"/>
      <c r="S225" s="84"/>
      <c r="T225" s="84"/>
      <c r="U225" s="84"/>
      <c r="V225" s="84"/>
      <c r="W225" s="84"/>
      <c r="X225" s="84"/>
      <c r="Y225" s="84"/>
      <c r="Z225" s="84"/>
    </row>
    <row r="226" ht="15.75" customHeight="1">
      <c r="A226" s="84"/>
      <c r="B226" s="84"/>
      <c r="C226" s="84"/>
      <c r="D226" s="84"/>
      <c r="E226" s="84"/>
      <c r="F226" s="84"/>
      <c r="G226" s="84"/>
      <c r="H226" s="84"/>
      <c r="I226" s="84"/>
      <c r="J226" s="84"/>
      <c r="K226" s="84"/>
      <c r="L226" s="84"/>
      <c r="M226" s="84"/>
      <c r="N226" s="84"/>
      <c r="O226" s="84"/>
      <c r="P226" s="84"/>
      <c r="Q226" s="84"/>
      <c r="R226" s="84"/>
      <c r="S226" s="84"/>
      <c r="T226" s="84"/>
      <c r="U226" s="84"/>
      <c r="V226" s="84"/>
      <c r="W226" s="84"/>
      <c r="X226" s="84"/>
      <c r="Y226" s="84"/>
      <c r="Z226" s="84"/>
    </row>
    <row r="227" ht="15.75" customHeight="1">
      <c r="A227" s="84"/>
      <c r="B227" s="84"/>
      <c r="C227" s="84"/>
      <c r="D227" s="84"/>
      <c r="E227" s="84"/>
      <c r="F227" s="84"/>
      <c r="G227" s="84"/>
      <c r="H227" s="84"/>
      <c r="I227" s="84"/>
      <c r="J227" s="84"/>
      <c r="K227" s="84"/>
      <c r="L227" s="84"/>
      <c r="M227" s="84"/>
      <c r="N227" s="84"/>
      <c r="O227" s="84"/>
      <c r="P227" s="84"/>
      <c r="Q227" s="84"/>
      <c r="R227" s="84"/>
      <c r="S227" s="84"/>
      <c r="T227" s="84"/>
      <c r="U227" s="84"/>
      <c r="V227" s="84"/>
      <c r="W227" s="84"/>
      <c r="X227" s="84"/>
      <c r="Y227" s="84"/>
      <c r="Z227" s="84"/>
    </row>
    <row r="228" ht="15.75" customHeight="1">
      <c r="A228" s="84"/>
      <c r="B228" s="84"/>
      <c r="C228" s="84"/>
      <c r="D228" s="84"/>
      <c r="E228" s="84"/>
      <c r="F228" s="84"/>
      <c r="G228" s="84"/>
      <c r="H228" s="84"/>
      <c r="I228" s="84"/>
      <c r="J228" s="84"/>
      <c r="K228" s="84"/>
      <c r="L228" s="84"/>
      <c r="M228" s="84"/>
      <c r="N228" s="84"/>
      <c r="O228" s="84"/>
      <c r="P228" s="84"/>
      <c r="Q228" s="84"/>
      <c r="R228" s="84"/>
      <c r="S228" s="84"/>
      <c r="T228" s="84"/>
      <c r="U228" s="84"/>
      <c r="V228" s="84"/>
      <c r="W228" s="84"/>
      <c r="X228" s="84"/>
      <c r="Y228" s="84"/>
      <c r="Z228" s="84"/>
    </row>
    <row r="229" ht="15.75" customHeight="1">
      <c r="A229" s="84"/>
      <c r="B229" s="84"/>
      <c r="C229" s="84"/>
      <c r="D229" s="84"/>
      <c r="E229" s="84"/>
      <c r="F229" s="84"/>
      <c r="G229" s="84"/>
      <c r="H229" s="84"/>
      <c r="I229" s="84"/>
      <c r="J229" s="84"/>
      <c r="K229" s="84"/>
      <c r="L229" s="84"/>
      <c r="M229" s="84"/>
      <c r="N229" s="84"/>
      <c r="O229" s="84"/>
      <c r="P229" s="84"/>
      <c r="Q229" s="84"/>
      <c r="R229" s="84"/>
      <c r="S229" s="84"/>
      <c r="T229" s="84"/>
      <c r="U229" s="84"/>
      <c r="V229" s="84"/>
      <c r="W229" s="84"/>
      <c r="X229" s="84"/>
      <c r="Y229" s="84"/>
      <c r="Z229" s="84"/>
    </row>
    <row r="230" ht="15.75" customHeight="1">
      <c r="A230" s="84"/>
      <c r="B230" s="84"/>
      <c r="C230" s="84"/>
      <c r="D230" s="84"/>
      <c r="E230" s="84"/>
      <c r="F230" s="84"/>
      <c r="G230" s="84"/>
      <c r="H230" s="84"/>
      <c r="I230" s="84"/>
      <c r="J230" s="84"/>
      <c r="K230" s="84"/>
      <c r="L230" s="84"/>
      <c r="M230" s="84"/>
      <c r="N230" s="84"/>
      <c r="O230" s="84"/>
      <c r="P230" s="84"/>
      <c r="Q230" s="84"/>
      <c r="R230" s="84"/>
      <c r="S230" s="84"/>
      <c r="T230" s="84"/>
      <c r="U230" s="84"/>
      <c r="V230" s="84"/>
      <c r="W230" s="84"/>
      <c r="X230" s="84"/>
      <c r="Y230" s="84"/>
      <c r="Z230" s="84"/>
    </row>
    <row r="231" ht="15.75" customHeight="1">
      <c r="A231" s="84"/>
      <c r="B231" s="84"/>
      <c r="C231" s="84"/>
      <c r="D231" s="84"/>
      <c r="E231" s="84"/>
      <c r="F231" s="84"/>
      <c r="G231" s="84"/>
      <c r="H231" s="84"/>
      <c r="I231" s="84"/>
      <c r="J231" s="84"/>
      <c r="K231" s="84"/>
      <c r="L231" s="84"/>
      <c r="M231" s="84"/>
      <c r="N231" s="84"/>
      <c r="O231" s="84"/>
      <c r="P231" s="84"/>
      <c r="Q231" s="84"/>
      <c r="R231" s="84"/>
      <c r="S231" s="84"/>
      <c r="T231" s="84"/>
      <c r="U231" s="84"/>
      <c r="V231" s="84"/>
      <c r="W231" s="84"/>
      <c r="X231" s="84"/>
      <c r="Y231" s="84"/>
      <c r="Z231" s="84"/>
    </row>
    <row r="232" ht="15.75" customHeight="1">
      <c r="A232" s="84"/>
      <c r="B232" s="84"/>
      <c r="C232" s="84"/>
      <c r="D232" s="84"/>
      <c r="E232" s="84"/>
      <c r="F232" s="84"/>
      <c r="G232" s="84"/>
      <c r="H232" s="84"/>
      <c r="I232" s="84"/>
      <c r="J232" s="84"/>
      <c r="K232" s="84"/>
      <c r="L232" s="84"/>
      <c r="M232" s="84"/>
      <c r="N232" s="84"/>
      <c r="O232" s="84"/>
      <c r="P232" s="84"/>
      <c r="Q232" s="84"/>
      <c r="R232" s="84"/>
      <c r="S232" s="84"/>
      <c r="T232" s="84"/>
      <c r="U232" s="84"/>
      <c r="V232" s="84"/>
      <c r="W232" s="84"/>
      <c r="X232" s="84"/>
      <c r="Y232" s="84"/>
      <c r="Z232" s="84"/>
    </row>
    <row r="233" ht="15.75" customHeight="1">
      <c r="A233" s="84"/>
      <c r="B233" s="84"/>
      <c r="C233" s="84"/>
      <c r="D233" s="84"/>
      <c r="E233" s="84"/>
      <c r="F233" s="84"/>
      <c r="G233" s="84"/>
      <c r="H233" s="84"/>
      <c r="I233" s="84"/>
      <c r="J233" s="84"/>
      <c r="K233" s="84"/>
      <c r="L233" s="84"/>
      <c r="M233" s="84"/>
      <c r="N233" s="84"/>
      <c r="O233" s="84"/>
      <c r="P233" s="84"/>
      <c r="Q233" s="84"/>
      <c r="R233" s="84"/>
      <c r="S233" s="84"/>
      <c r="T233" s="84"/>
      <c r="U233" s="84"/>
      <c r="V233" s="84"/>
      <c r="W233" s="84"/>
      <c r="X233" s="84"/>
      <c r="Y233" s="84"/>
      <c r="Z233" s="84"/>
    </row>
    <row r="234" ht="15.75" customHeight="1">
      <c r="A234" s="84"/>
      <c r="B234" s="84"/>
      <c r="C234" s="84"/>
      <c r="D234" s="84"/>
      <c r="E234" s="84"/>
      <c r="F234" s="84"/>
      <c r="G234" s="84"/>
      <c r="H234" s="84"/>
      <c r="I234" s="84"/>
      <c r="J234" s="84"/>
      <c r="K234" s="84"/>
      <c r="L234" s="84"/>
      <c r="M234" s="84"/>
      <c r="N234" s="84"/>
      <c r="O234" s="84"/>
      <c r="P234" s="84"/>
      <c r="Q234" s="84"/>
      <c r="R234" s="84"/>
      <c r="S234" s="84"/>
      <c r="T234" s="84"/>
      <c r="U234" s="84"/>
      <c r="V234" s="84"/>
      <c r="W234" s="84"/>
      <c r="X234" s="84"/>
      <c r="Y234" s="84"/>
      <c r="Z234" s="84"/>
    </row>
    <row r="235" ht="15.75" customHeight="1">
      <c r="A235" s="84"/>
      <c r="B235" s="84"/>
      <c r="C235" s="84"/>
      <c r="D235" s="84"/>
      <c r="E235" s="84"/>
      <c r="F235" s="84"/>
      <c r="G235" s="84"/>
      <c r="H235" s="84"/>
      <c r="I235" s="84"/>
      <c r="J235" s="84"/>
      <c r="K235" s="84"/>
      <c r="L235" s="84"/>
      <c r="M235" s="84"/>
      <c r="N235" s="84"/>
      <c r="O235" s="84"/>
      <c r="P235" s="84"/>
      <c r="Q235" s="84"/>
      <c r="R235" s="84"/>
      <c r="S235" s="84"/>
      <c r="T235" s="84"/>
      <c r="U235" s="84"/>
      <c r="V235" s="84"/>
      <c r="W235" s="84"/>
      <c r="X235" s="84"/>
      <c r="Y235" s="84"/>
      <c r="Z235" s="84"/>
    </row>
    <row r="236" ht="15.75" customHeight="1">
      <c r="A236" s="84"/>
      <c r="B236" s="84"/>
      <c r="C236" s="84"/>
      <c r="D236" s="84"/>
      <c r="E236" s="84"/>
      <c r="F236" s="84"/>
      <c r="G236" s="84"/>
      <c r="H236" s="84"/>
      <c r="I236" s="84"/>
      <c r="J236" s="84"/>
      <c r="K236" s="84"/>
      <c r="L236" s="84"/>
      <c r="M236" s="84"/>
      <c r="N236" s="84"/>
      <c r="O236" s="84"/>
      <c r="P236" s="84"/>
      <c r="Q236" s="84"/>
      <c r="R236" s="84"/>
      <c r="S236" s="84"/>
      <c r="T236" s="84"/>
      <c r="U236" s="84"/>
      <c r="V236" s="84"/>
      <c r="W236" s="84"/>
      <c r="X236" s="84"/>
      <c r="Y236" s="84"/>
      <c r="Z236" s="84"/>
    </row>
    <row r="237" ht="15.75" customHeight="1">
      <c r="A237" s="84"/>
      <c r="B237" s="84"/>
      <c r="C237" s="84"/>
      <c r="D237" s="84"/>
      <c r="E237" s="84"/>
      <c r="F237" s="84"/>
      <c r="G237" s="84"/>
      <c r="H237" s="84"/>
      <c r="I237" s="84"/>
      <c r="J237" s="84"/>
      <c r="K237" s="84"/>
      <c r="L237" s="84"/>
      <c r="M237" s="84"/>
      <c r="N237" s="84"/>
      <c r="O237" s="84"/>
      <c r="P237" s="84"/>
      <c r="Q237" s="84"/>
      <c r="R237" s="84"/>
      <c r="S237" s="84"/>
      <c r="T237" s="84"/>
      <c r="U237" s="84"/>
      <c r="V237" s="84"/>
      <c r="W237" s="84"/>
      <c r="X237" s="84"/>
      <c r="Y237" s="84"/>
      <c r="Z237" s="84"/>
    </row>
    <row r="238" ht="15.75" customHeight="1">
      <c r="A238" s="84"/>
      <c r="B238" s="84"/>
      <c r="C238" s="84"/>
      <c r="D238" s="84"/>
      <c r="E238" s="84"/>
      <c r="F238" s="84"/>
      <c r="G238" s="84"/>
      <c r="H238" s="84"/>
      <c r="I238" s="84"/>
      <c r="J238" s="84"/>
      <c r="K238" s="84"/>
      <c r="L238" s="84"/>
      <c r="M238" s="84"/>
      <c r="N238" s="84"/>
      <c r="O238" s="84"/>
      <c r="P238" s="84"/>
      <c r="Q238" s="84"/>
      <c r="R238" s="84"/>
      <c r="S238" s="84"/>
      <c r="T238" s="84"/>
      <c r="U238" s="84"/>
      <c r="V238" s="84"/>
      <c r="W238" s="84"/>
      <c r="X238" s="84"/>
      <c r="Y238" s="84"/>
      <c r="Z238" s="84"/>
    </row>
    <row r="239" ht="15.75" customHeight="1">
      <c r="A239" s="84"/>
      <c r="B239" s="84"/>
      <c r="C239" s="84"/>
      <c r="D239" s="84"/>
      <c r="E239" s="84"/>
      <c r="F239" s="84"/>
      <c r="G239" s="84"/>
      <c r="H239" s="84"/>
      <c r="I239" s="84"/>
      <c r="J239" s="84"/>
      <c r="K239" s="84"/>
      <c r="L239" s="84"/>
      <c r="M239" s="84"/>
      <c r="N239" s="84"/>
      <c r="O239" s="84"/>
      <c r="P239" s="84"/>
      <c r="Q239" s="84"/>
      <c r="R239" s="84"/>
      <c r="S239" s="84"/>
      <c r="T239" s="84"/>
      <c r="U239" s="84"/>
      <c r="V239" s="84"/>
      <c r="W239" s="84"/>
      <c r="X239" s="84"/>
      <c r="Y239" s="84"/>
      <c r="Z239" s="84"/>
    </row>
    <row r="240" ht="15.75" customHeight="1">
      <c r="A240" s="84"/>
      <c r="B240" s="84"/>
      <c r="C240" s="84"/>
      <c r="D240" s="84"/>
      <c r="E240" s="84"/>
      <c r="F240" s="84"/>
      <c r="G240" s="84"/>
      <c r="H240" s="84"/>
      <c r="I240" s="84"/>
      <c r="J240" s="84"/>
      <c r="K240" s="84"/>
      <c r="L240" s="84"/>
      <c r="M240" s="84"/>
      <c r="N240" s="84"/>
      <c r="O240" s="84"/>
      <c r="P240" s="84"/>
      <c r="Q240" s="84"/>
      <c r="R240" s="84"/>
      <c r="S240" s="84"/>
      <c r="T240" s="84"/>
      <c r="U240" s="84"/>
      <c r="V240" s="84"/>
      <c r="W240" s="84"/>
      <c r="X240" s="84"/>
      <c r="Y240" s="84"/>
      <c r="Z240" s="84"/>
    </row>
    <row r="241" ht="15.75" customHeight="1">
      <c r="A241" s="84"/>
      <c r="B241" s="84"/>
      <c r="C241" s="84"/>
      <c r="D241" s="84"/>
      <c r="E241" s="84"/>
      <c r="F241" s="84"/>
      <c r="G241" s="84"/>
      <c r="H241" s="84"/>
      <c r="I241" s="84"/>
      <c r="J241" s="84"/>
      <c r="K241" s="84"/>
      <c r="L241" s="84"/>
      <c r="M241" s="84"/>
      <c r="N241" s="84"/>
      <c r="O241" s="84"/>
      <c r="P241" s="84"/>
      <c r="Q241" s="84"/>
      <c r="R241" s="84"/>
      <c r="S241" s="84"/>
      <c r="T241" s="84"/>
      <c r="U241" s="84"/>
      <c r="V241" s="84"/>
      <c r="W241" s="84"/>
      <c r="X241" s="84"/>
      <c r="Y241" s="84"/>
      <c r="Z241" s="84"/>
    </row>
    <row r="242" ht="15.75" customHeight="1">
      <c r="A242" s="84"/>
      <c r="B242" s="84"/>
      <c r="C242" s="84"/>
      <c r="D242" s="84"/>
      <c r="E242" s="84"/>
      <c r="F242" s="84"/>
      <c r="G242" s="84"/>
      <c r="H242" s="84"/>
      <c r="I242" s="84"/>
      <c r="J242" s="84"/>
      <c r="K242" s="84"/>
      <c r="L242" s="84"/>
      <c r="M242" s="84"/>
      <c r="N242" s="84"/>
      <c r="O242" s="84"/>
      <c r="P242" s="84"/>
      <c r="Q242" s="84"/>
      <c r="R242" s="84"/>
      <c r="S242" s="84"/>
      <c r="T242" s="84"/>
      <c r="U242" s="84"/>
      <c r="V242" s="84"/>
      <c r="W242" s="84"/>
      <c r="X242" s="84"/>
      <c r="Y242" s="84"/>
      <c r="Z242" s="84"/>
    </row>
    <row r="243" ht="15.75" customHeight="1">
      <c r="A243" s="84"/>
      <c r="B243" s="84"/>
      <c r="C243" s="84"/>
      <c r="D243" s="84"/>
      <c r="E243" s="84"/>
      <c r="F243" s="84"/>
      <c r="G243" s="84"/>
      <c r="H243" s="84"/>
      <c r="I243" s="84"/>
      <c r="J243" s="84"/>
      <c r="K243" s="84"/>
      <c r="L243" s="84"/>
      <c r="M243" s="84"/>
      <c r="N243" s="84"/>
      <c r="O243" s="84"/>
      <c r="P243" s="84"/>
      <c r="Q243" s="84"/>
      <c r="R243" s="84"/>
      <c r="S243" s="84"/>
      <c r="T243" s="84"/>
      <c r="U243" s="84"/>
      <c r="V243" s="84"/>
      <c r="W243" s="84"/>
      <c r="X243" s="84"/>
      <c r="Y243" s="84"/>
      <c r="Z243" s="84"/>
    </row>
    <row r="244" ht="15.75" customHeight="1">
      <c r="A244" s="84"/>
      <c r="B244" s="84"/>
      <c r="C244" s="84"/>
      <c r="D244" s="84"/>
      <c r="E244" s="84"/>
      <c r="F244" s="84"/>
      <c r="G244" s="84"/>
      <c r="H244" s="84"/>
      <c r="I244" s="84"/>
      <c r="J244" s="84"/>
      <c r="K244" s="84"/>
      <c r="L244" s="84"/>
      <c r="M244" s="84"/>
      <c r="N244" s="84"/>
      <c r="O244" s="84"/>
      <c r="P244" s="84"/>
      <c r="Q244" s="84"/>
      <c r="R244" s="84"/>
      <c r="S244" s="84"/>
      <c r="T244" s="84"/>
      <c r="U244" s="84"/>
      <c r="V244" s="84"/>
      <c r="W244" s="84"/>
      <c r="X244" s="84"/>
      <c r="Y244" s="84"/>
      <c r="Z244" s="84"/>
    </row>
    <row r="245" ht="15.75" customHeight="1">
      <c r="A245" s="84"/>
      <c r="B245" s="84"/>
      <c r="C245" s="84"/>
      <c r="D245" s="84"/>
      <c r="E245" s="84"/>
      <c r="F245" s="84"/>
      <c r="G245" s="84"/>
      <c r="H245" s="84"/>
      <c r="I245" s="84"/>
      <c r="J245" s="84"/>
      <c r="K245" s="84"/>
      <c r="L245" s="84"/>
      <c r="M245" s="84"/>
      <c r="N245" s="84"/>
      <c r="O245" s="84"/>
      <c r="P245" s="84"/>
      <c r="Q245" s="84"/>
      <c r="R245" s="84"/>
      <c r="S245" s="84"/>
      <c r="T245" s="84"/>
      <c r="U245" s="84"/>
      <c r="V245" s="84"/>
      <c r="W245" s="84"/>
      <c r="X245" s="84"/>
      <c r="Y245" s="84"/>
      <c r="Z245" s="84"/>
    </row>
    <row r="246" ht="15.75" customHeight="1">
      <c r="A246" s="84"/>
      <c r="B246" s="84"/>
      <c r="C246" s="84"/>
      <c r="D246" s="84"/>
      <c r="E246" s="84"/>
      <c r="F246" s="84"/>
      <c r="G246" s="84"/>
      <c r="H246" s="84"/>
      <c r="I246" s="84"/>
      <c r="J246" s="84"/>
      <c r="K246" s="84"/>
      <c r="L246" s="84"/>
      <c r="M246" s="84"/>
      <c r="N246" s="84"/>
      <c r="O246" s="84"/>
      <c r="P246" s="84"/>
      <c r="Q246" s="84"/>
      <c r="R246" s="84"/>
      <c r="S246" s="84"/>
      <c r="T246" s="84"/>
      <c r="U246" s="84"/>
      <c r="V246" s="84"/>
      <c r="W246" s="84"/>
      <c r="X246" s="84"/>
      <c r="Y246" s="84"/>
      <c r="Z246" s="84"/>
    </row>
    <row r="247" ht="15.75" customHeight="1">
      <c r="A247" s="84"/>
      <c r="B247" s="84"/>
      <c r="C247" s="84"/>
      <c r="D247" s="84"/>
      <c r="E247" s="84"/>
      <c r="F247" s="84"/>
      <c r="G247" s="84"/>
      <c r="H247" s="84"/>
      <c r="I247" s="84"/>
      <c r="J247" s="84"/>
      <c r="K247" s="84"/>
      <c r="L247" s="84"/>
      <c r="M247" s="84"/>
      <c r="N247" s="84"/>
      <c r="O247" s="84"/>
      <c r="P247" s="84"/>
      <c r="Q247" s="84"/>
      <c r="R247" s="84"/>
      <c r="S247" s="84"/>
      <c r="T247" s="84"/>
      <c r="U247" s="84"/>
      <c r="V247" s="84"/>
      <c r="W247" s="84"/>
      <c r="X247" s="84"/>
      <c r="Y247" s="84"/>
      <c r="Z247" s="84"/>
    </row>
    <row r="248" ht="15.75" customHeight="1">
      <c r="A248" s="84"/>
      <c r="B248" s="84"/>
      <c r="C248" s="84"/>
      <c r="D248" s="84"/>
      <c r="E248" s="84"/>
      <c r="F248" s="84"/>
      <c r="G248" s="84"/>
      <c r="H248" s="84"/>
      <c r="I248" s="84"/>
      <c r="J248" s="84"/>
      <c r="K248" s="84"/>
      <c r="L248" s="84"/>
      <c r="M248" s="84"/>
      <c r="N248" s="84"/>
      <c r="O248" s="84"/>
      <c r="P248" s="84"/>
      <c r="Q248" s="84"/>
      <c r="R248" s="84"/>
      <c r="S248" s="84"/>
      <c r="T248" s="84"/>
      <c r="U248" s="84"/>
      <c r="V248" s="84"/>
      <c r="W248" s="84"/>
      <c r="X248" s="84"/>
      <c r="Y248" s="84"/>
      <c r="Z248" s="84"/>
    </row>
    <row r="249" ht="15.75" customHeight="1">
      <c r="A249" s="84"/>
      <c r="B249" s="84"/>
      <c r="C249" s="84"/>
      <c r="D249" s="84"/>
      <c r="E249" s="84"/>
      <c r="F249" s="84"/>
      <c r="G249" s="84"/>
      <c r="H249" s="84"/>
      <c r="I249" s="84"/>
      <c r="J249" s="84"/>
      <c r="K249" s="84"/>
      <c r="L249" s="84"/>
      <c r="M249" s="84"/>
      <c r="N249" s="84"/>
      <c r="O249" s="84"/>
      <c r="P249" s="84"/>
      <c r="Q249" s="84"/>
      <c r="R249" s="84"/>
      <c r="S249" s="84"/>
      <c r="T249" s="84"/>
      <c r="U249" s="84"/>
      <c r="V249" s="84"/>
      <c r="W249" s="84"/>
      <c r="X249" s="84"/>
      <c r="Y249" s="84"/>
      <c r="Z249" s="84"/>
    </row>
    <row r="250" ht="15.75" customHeight="1">
      <c r="A250" s="84"/>
      <c r="B250" s="84"/>
      <c r="C250" s="84"/>
      <c r="D250" s="84"/>
      <c r="E250" s="84"/>
      <c r="F250" s="84"/>
      <c r="G250" s="84"/>
      <c r="H250" s="84"/>
      <c r="I250" s="84"/>
      <c r="J250" s="84"/>
      <c r="K250" s="84"/>
      <c r="L250" s="84"/>
      <c r="M250" s="84"/>
      <c r="N250" s="84"/>
      <c r="O250" s="84"/>
      <c r="P250" s="84"/>
      <c r="Q250" s="84"/>
      <c r="R250" s="84"/>
      <c r="S250" s="84"/>
      <c r="T250" s="84"/>
      <c r="U250" s="84"/>
      <c r="V250" s="84"/>
      <c r="W250" s="84"/>
      <c r="X250" s="84"/>
      <c r="Y250" s="84"/>
      <c r="Z250" s="84"/>
    </row>
    <row r="251" ht="15.75" customHeight="1">
      <c r="A251" s="84"/>
      <c r="B251" s="84"/>
      <c r="C251" s="84"/>
      <c r="D251" s="84"/>
      <c r="E251" s="84"/>
      <c r="F251" s="84"/>
      <c r="G251" s="84"/>
      <c r="H251" s="84"/>
      <c r="I251" s="84"/>
      <c r="J251" s="84"/>
      <c r="K251" s="84"/>
      <c r="L251" s="84"/>
      <c r="M251" s="84"/>
      <c r="N251" s="84"/>
      <c r="O251" s="84"/>
      <c r="P251" s="84"/>
      <c r="Q251" s="84"/>
      <c r="R251" s="84"/>
      <c r="S251" s="84"/>
      <c r="T251" s="84"/>
      <c r="U251" s="84"/>
      <c r="V251" s="84"/>
      <c r="W251" s="84"/>
      <c r="X251" s="84"/>
      <c r="Y251" s="84"/>
      <c r="Z251" s="84"/>
    </row>
    <row r="252" ht="15.75" customHeight="1">
      <c r="A252" s="84"/>
      <c r="B252" s="84"/>
      <c r="C252" s="84"/>
      <c r="D252" s="84"/>
      <c r="E252" s="84"/>
      <c r="F252" s="84"/>
      <c r="G252" s="84"/>
      <c r="H252" s="84"/>
      <c r="I252" s="84"/>
      <c r="J252" s="84"/>
      <c r="K252" s="84"/>
      <c r="L252" s="84"/>
      <c r="M252" s="84"/>
      <c r="N252" s="84"/>
      <c r="O252" s="84"/>
      <c r="P252" s="84"/>
      <c r="Q252" s="84"/>
      <c r="R252" s="84"/>
      <c r="S252" s="84"/>
      <c r="T252" s="84"/>
      <c r="U252" s="84"/>
      <c r="V252" s="84"/>
      <c r="W252" s="84"/>
      <c r="X252" s="84"/>
      <c r="Y252" s="84"/>
      <c r="Z252" s="84"/>
    </row>
    <row r="253" ht="15.75" customHeight="1">
      <c r="A253" s="84"/>
      <c r="B253" s="84"/>
      <c r="C253" s="84"/>
      <c r="D253" s="84"/>
      <c r="E253" s="84"/>
      <c r="F253" s="84"/>
      <c r="G253" s="84"/>
      <c r="H253" s="84"/>
      <c r="I253" s="84"/>
      <c r="J253" s="84"/>
      <c r="K253" s="84"/>
      <c r="L253" s="84"/>
      <c r="M253" s="84"/>
      <c r="N253" s="84"/>
      <c r="O253" s="84"/>
      <c r="P253" s="84"/>
      <c r="Q253" s="84"/>
      <c r="R253" s="84"/>
      <c r="S253" s="84"/>
      <c r="T253" s="84"/>
      <c r="U253" s="84"/>
      <c r="V253" s="84"/>
      <c r="W253" s="84"/>
      <c r="X253" s="84"/>
      <c r="Y253" s="84"/>
      <c r="Z253" s="84"/>
    </row>
    <row r="254" ht="15.75" customHeight="1">
      <c r="A254" s="84"/>
      <c r="B254" s="84"/>
      <c r="C254" s="84"/>
      <c r="D254" s="84"/>
      <c r="E254" s="84"/>
      <c r="F254" s="84"/>
      <c r="G254" s="84"/>
      <c r="H254" s="84"/>
      <c r="I254" s="84"/>
      <c r="J254" s="84"/>
      <c r="K254" s="84"/>
      <c r="L254" s="84"/>
      <c r="M254" s="84"/>
      <c r="N254" s="84"/>
      <c r="O254" s="84"/>
      <c r="P254" s="84"/>
      <c r="Q254" s="84"/>
      <c r="R254" s="84"/>
      <c r="S254" s="84"/>
      <c r="T254" s="84"/>
      <c r="U254" s="84"/>
      <c r="V254" s="84"/>
      <c r="W254" s="84"/>
      <c r="X254" s="84"/>
      <c r="Y254" s="84"/>
      <c r="Z254" s="84"/>
    </row>
    <row r="255" ht="15.75" customHeight="1">
      <c r="A255" s="84"/>
      <c r="B255" s="84"/>
      <c r="C255" s="84"/>
      <c r="D255" s="84"/>
      <c r="E255" s="84"/>
      <c r="F255" s="84"/>
      <c r="G255" s="84"/>
      <c r="H255" s="84"/>
      <c r="I255" s="84"/>
      <c r="J255" s="84"/>
      <c r="K255" s="84"/>
      <c r="L255" s="84"/>
      <c r="M255" s="84"/>
      <c r="N255" s="84"/>
      <c r="O255" s="84"/>
      <c r="P255" s="84"/>
      <c r="Q255" s="84"/>
      <c r="R255" s="84"/>
      <c r="S255" s="84"/>
      <c r="T255" s="84"/>
      <c r="U255" s="84"/>
      <c r="V255" s="84"/>
      <c r="W255" s="84"/>
      <c r="X255" s="84"/>
      <c r="Y255" s="84"/>
      <c r="Z255" s="84"/>
    </row>
    <row r="256" ht="15.75" customHeight="1">
      <c r="A256" s="84"/>
      <c r="B256" s="84"/>
      <c r="C256" s="84"/>
      <c r="D256" s="84"/>
      <c r="E256" s="84"/>
      <c r="F256" s="84"/>
      <c r="G256" s="84"/>
      <c r="H256" s="84"/>
      <c r="I256" s="84"/>
      <c r="J256" s="84"/>
      <c r="K256" s="84"/>
      <c r="L256" s="84"/>
      <c r="M256" s="84"/>
      <c r="N256" s="84"/>
      <c r="O256" s="84"/>
      <c r="P256" s="84"/>
      <c r="Q256" s="84"/>
      <c r="R256" s="84"/>
      <c r="S256" s="84"/>
      <c r="T256" s="84"/>
      <c r="U256" s="84"/>
      <c r="V256" s="84"/>
      <c r="W256" s="84"/>
      <c r="X256" s="84"/>
      <c r="Y256" s="84"/>
      <c r="Z256" s="84"/>
    </row>
    <row r="257" ht="15.75" customHeight="1">
      <c r="A257" s="84"/>
      <c r="B257" s="84"/>
      <c r="C257" s="84"/>
      <c r="D257" s="84"/>
      <c r="E257" s="84"/>
      <c r="F257" s="84"/>
      <c r="G257" s="84"/>
      <c r="H257" s="84"/>
      <c r="I257" s="84"/>
      <c r="J257" s="84"/>
      <c r="K257" s="84"/>
      <c r="L257" s="84"/>
      <c r="M257" s="84"/>
      <c r="N257" s="84"/>
      <c r="O257" s="84"/>
      <c r="P257" s="84"/>
      <c r="Q257" s="84"/>
      <c r="R257" s="84"/>
      <c r="S257" s="84"/>
      <c r="T257" s="84"/>
      <c r="U257" s="84"/>
      <c r="V257" s="84"/>
      <c r="W257" s="84"/>
      <c r="X257" s="84"/>
      <c r="Y257" s="84"/>
      <c r="Z257" s="84"/>
    </row>
    <row r="258" ht="15.75" customHeight="1">
      <c r="A258" s="84"/>
      <c r="B258" s="84"/>
      <c r="C258" s="84"/>
      <c r="D258" s="84"/>
      <c r="E258" s="84"/>
      <c r="F258" s="84"/>
      <c r="G258" s="84"/>
      <c r="H258" s="84"/>
      <c r="I258" s="84"/>
      <c r="J258" s="84"/>
      <c r="K258" s="84"/>
      <c r="L258" s="84"/>
      <c r="M258" s="84"/>
      <c r="N258" s="84"/>
      <c r="O258" s="84"/>
      <c r="P258" s="84"/>
      <c r="Q258" s="84"/>
      <c r="R258" s="84"/>
      <c r="S258" s="84"/>
      <c r="T258" s="84"/>
      <c r="U258" s="84"/>
      <c r="V258" s="84"/>
      <c r="W258" s="84"/>
      <c r="X258" s="84"/>
      <c r="Y258" s="84"/>
      <c r="Z258" s="84"/>
    </row>
    <row r="259" ht="15.75" customHeight="1">
      <c r="A259" s="84"/>
      <c r="B259" s="84"/>
      <c r="C259" s="84"/>
      <c r="D259" s="84"/>
      <c r="E259" s="84"/>
      <c r="F259" s="84"/>
      <c r="G259" s="84"/>
      <c r="H259" s="84"/>
      <c r="I259" s="84"/>
      <c r="J259" s="84"/>
      <c r="K259" s="84"/>
      <c r="L259" s="84"/>
      <c r="M259" s="84"/>
      <c r="N259" s="84"/>
      <c r="O259" s="84"/>
      <c r="P259" s="84"/>
      <c r="Q259" s="84"/>
      <c r="R259" s="84"/>
      <c r="S259" s="84"/>
      <c r="T259" s="84"/>
      <c r="U259" s="84"/>
      <c r="V259" s="84"/>
      <c r="W259" s="84"/>
      <c r="X259" s="84"/>
      <c r="Y259" s="84"/>
      <c r="Z259" s="84"/>
    </row>
    <row r="260" ht="15.75" customHeight="1">
      <c r="A260" s="84"/>
      <c r="B260" s="84"/>
      <c r="C260" s="84"/>
      <c r="D260" s="84"/>
      <c r="E260" s="84"/>
      <c r="F260" s="84"/>
      <c r="G260" s="84"/>
      <c r="H260" s="84"/>
      <c r="I260" s="84"/>
      <c r="J260" s="84"/>
      <c r="K260" s="84"/>
      <c r="L260" s="84"/>
      <c r="M260" s="84"/>
      <c r="N260" s="84"/>
      <c r="O260" s="84"/>
      <c r="P260" s="84"/>
      <c r="Q260" s="84"/>
      <c r="R260" s="84"/>
      <c r="S260" s="84"/>
      <c r="T260" s="84"/>
      <c r="U260" s="84"/>
      <c r="V260" s="84"/>
      <c r="W260" s="84"/>
      <c r="X260" s="84"/>
      <c r="Y260" s="84"/>
      <c r="Z260" s="84"/>
    </row>
    <row r="261" ht="15.75" customHeight="1">
      <c r="A261" s="84"/>
      <c r="B261" s="84"/>
      <c r="C261" s="84"/>
      <c r="D261" s="84"/>
      <c r="E261" s="84"/>
      <c r="F261" s="84"/>
      <c r="G261" s="84"/>
      <c r="H261" s="84"/>
      <c r="I261" s="84"/>
      <c r="J261" s="84"/>
      <c r="K261" s="84"/>
      <c r="L261" s="84"/>
      <c r="M261" s="84"/>
      <c r="N261" s="84"/>
      <c r="O261" s="84"/>
      <c r="P261" s="84"/>
      <c r="Q261" s="84"/>
      <c r="R261" s="84"/>
      <c r="S261" s="84"/>
      <c r="T261" s="84"/>
      <c r="U261" s="84"/>
      <c r="V261" s="84"/>
      <c r="W261" s="84"/>
      <c r="X261" s="84"/>
      <c r="Y261" s="84"/>
      <c r="Z261" s="84"/>
    </row>
    <row r="262" ht="15.75" customHeight="1">
      <c r="A262" s="84"/>
      <c r="B262" s="84"/>
      <c r="C262" s="84"/>
      <c r="D262" s="84"/>
      <c r="E262" s="84"/>
      <c r="F262" s="84"/>
      <c r="G262" s="84"/>
      <c r="H262" s="84"/>
      <c r="I262" s="84"/>
      <c r="J262" s="84"/>
      <c r="K262" s="84"/>
      <c r="L262" s="84"/>
      <c r="M262" s="84"/>
      <c r="N262" s="84"/>
      <c r="O262" s="84"/>
      <c r="P262" s="84"/>
      <c r="Q262" s="84"/>
      <c r="R262" s="84"/>
      <c r="S262" s="84"/>
      <c r="T262" s="84"/>
      <c r="U262" s="84"/>
      <c r="V262" s="84"/>
      <c r="W262" s="84"/>
      <c r="X262" s="84"/>
      <c r="Y262" s="84"/>
      <c r="Z262" s="84"/>
    </row>
    <row r="263" ht="15.75" customHeight="1">
      <c r="A263" s="84"/>
      <c r="B263" s="84"/>
      <c r="C263" s="84"/>
      <c r="D263" s="84"/>
      <c r="E263" s="84"/>
      <c r="F263" s="84"/>
      <c r="G263" s="84"/>
      <c r="H263" s="84"/>
      <c r="I263" s="84"/>
      <c r="J263" s="84"/>
      <c r="K263" s="84"/>
      <c r="L263" s="84"/>
      <c r="M263" s="84"/>
      <c r="N263" s="84"/>
      <c r="O263" s="84"/>
      <c r="P263" s="84"/>
      <c r="Q263" s="84"/>
      <c r="R263" s="84"/>
      <c r="S263" s="84"/>
      <c r="T263" s="84"/>
      <c r="U263" s="84"/>
      <c r="V263" s="84"/>
      <c r="W263" s="84"/>
      <c r="X263" s="84"/>
      <c r="Y263" s="84"/>
      <c r="Z263" s="84"/>
    </row>
    <row r="264" ht="15.75" customHeight="1">
      <c r="A264" s="84"/>
      <c r="B264" s="84"/>
      <c r="C264" s="84"/>
      <c r="D264" s="84"/>
      <c r="E264" s="84"/>
      <c r="F264" s="84"/>
      <c r="G264" s="84"/>
      <c r="H264" s="84"/>
      <c r="I264" s="84"/>
      <c r="J264" s="84"/>
      <c r="K264" s="84"/>
      <c r="L264" s="84"/>
      <c r="M264" s="84"/>
      <c r="N264" s="84"/>
      <c r="O264" s="84"/>
      <c r="P264" s="84"/>
      <c r="Q264" s="84"/>
      <c r="R264" s="84"/>
      <c r="S264" s="84"/>
      <c r="T264" s="84"/>
      <c r="U264" s="84"/>
      <c r="V264" s="84"/>
      <c r="W264" s="84"/>
      <c r="X264" s="84"/>
      <c r="Y264" s="84"/>
      <c r="Z264" s="84"/>
    </row>
    <row r="265" ht="15.75" customHeight="1">
      <c r="A265" s="84"/>
      <c r="B265" s="84"/>
      <c r="C265" s="84"/>
      <c r="D265" s="84"/>
      <c r="E265" s="84"/>
      <c r="F265" s="84"/>
      <c r="G265" s="84"/>
      <c r="H265" s="84"/>
      <c r="I265" s="84"/>
      <c r="J265" s="84"/>
      <c r="K265" s="84"/>
      <c r="L265" s="84"/>
      <c r="M265" s="84"/>
      <c r="N265" s="84"/>
      <c r="O265" s="84"/>
      <c r="P265" s="84"/>
      <c r="Q265" s="84"/>
      <c r="R265" s="84"/>
      <c r="S265" s="84"/>
      <c r="T265" s="84"/>
      <c r="U265" s="84"/>
      <c r="V265" s="84"/>
      <c r="W265" s="84"/>
      <c r="X265" s="84"/>
      <c r="Y265" s="84"/>
      <c r="Z265" s="84"/>
    </row>
    <row r="266" ht="15.75" customHeight="1">
      <c r="A266" s="84"/>
      <c r="B266" s="84"/>
      <c r="C266" s="84"/>
      <c r="D266" s="84"/>
      <c r="E266" s="84"/>
      <c r="F266" s="84"/>
      <c r="G266" s="84"/>
      <c r="H266" s="84"/>
      <c r="I266" s="84"/>
      <c r="J266" s="84"/>
      <c r="K266" s="84"/>
      <c r="L266" s="84"/>
      <c r="M266" s="84"/>
      <c r="N266" s="84"/>
      <c r="O266" s="84"/>
      <c r="P266" s="84"/>
      <c r="Q266" s="84"/>
      <c r="R266" s="84"/>
      <c r="S266" s="84"/>
      <c r="T266" s="84"/>
      <c r="U266" s="84"/>
      <c r="V266" s="84"/>
      <c r="W266" s="84"/>
      <c r="X266" s="84"/>
      <c r="Y266" s="84"/>
      <c r="Z266" s="84"/>
    </row>
    <row r="267" ht="15.75" customHeight="1">
      <c r="A267" s="84"/>
      <c r="B267" s="84"/>
      <c r="C267" s="84"/>
      <c r="D267" s="84"/>
      <c r="E267" s="84"/>
      <c r="F267" s="84"/>
      <c r="G267" s="84"/>
      <c r="H267" s="84"/>
      <c r="I267" s="84"/>
      <c r="J267" s="84"/>
      <c r="K267" s="84"/>
      <c r="L267" s="84"/>
      <c r="M267" s="84"/>
      <c r="N267" s="84"/>
      <c r="O267" s="84"/>
      <c r="P267" s="84"/>
      <c r="Q267" s="84"/>
      <c r="R267" s="84"/>
      <c r="S267" s="84"/>
      <c r="T267" s="84"/>
      <c r="U267" s="84"/>
      <c r="V267" s="84"/>
      <c r="W267" s="84"/>
      <c r="X267" s="84"/>
      <c r="Y267" s="84"/>
      <c r="Z267" s="84"/>
    </row>
    <row r="268" ht="15.75" customHeight="1">
      <c r="A268" s="84"/>
      <c r="B268" s="84"/>
      <c r="C268" s="84"/>
      <c r="D268" s="84"/>
      <c r="E268" s="84"/>
      <c r="F268" s="84"/>
      <c r="G268" s="84"/>
      <c r="H268" s="84"/>
      <c r="I268" s="84"/>
      <c r="J268" s="84"/>
      <c r="K268" s="84"/>
      <c r="L268" s="84"/>
      <c r="M268" s="84"/>
      <c r="N268" s="84"/>
      <c r="O268" s="84"/>
      <c r="P268" s="84"/>
      <c r="Q268" s="84"/>
      <c r="R268" s="84"/>
      <c r="S268" s="84"/>
      <c r="T268" s="84"/>
      <c r="U268" s="84"/>
      <c r="V268" s="84"/>
      <c r="W268" s="84"/>
      <c r="X268" s="84"/>
      <c r="Y268" s="84"/>
      <c r="Z268" s="84"/>
    </row>
    <row r="269" ht="15.75" customHeight="1">
      <c r="A269" s="84"/>
      <c r="B269" s="84"/>
      <c r="C269" s="84"/>
      <c r="D269" s="84"/>
      <c r="E269" s="84"/>
      <c r="F269" s="84"/>
      <c r="G269" s="84"/>
      <c r="H269" s="84"/>
      <c r="I269" s="84"/>
      <c r="J269" s="84"/>
      <c r="K269" s="84"/>
      <c r="L269" s="84"/>
      <c r="M269" s="84"/>
      <c r="N269" s="84"/>
      <c r="O269" s="84"/>
      <c r="P269" s="84"/>
      <c r="Q269" s="84"/>
      <c r="R269" s="84"/>
      <c r="S269" s="84"/>
      <c r="T269" s="84"/>
      <c r="U269" s="84"/>
      <c r="V269" s="84"/>
      <c r="W269" s="84"/>
      <c r="X269" s="84"/>
      <c r="Y269" s="84"/>
      <c r="Z269" s="84"/>
    </row>
    <row r="270" ht="15.75" customHeight="1">
      <c r="A270" s="84"/>
      <c r="B270" s="84"/>
      <c r="C270" s="84"/>
      <c r="D270" s="84"/>
      <c r="E270" s="84"/>
      <c r="F270" s="84"/>
      <c r="G270" s="84"/>
      <c r="H270" s="84"/>
      <c r="I270" s="84"/>
      <c r="J270" s="84"/>
      <c r="K270" s="84"/>
      <c r="L270" s="84"/>
      <c r="M270" s="84"/>
      <c r="N270" s="84"/>
      <c r="O270" s="84"/>
      <c r="P270" s="84"/>
      <c r="Q270" s="84"/>
      <c r="R270" s="84"/>
      <c r="S270" s="84"/>
      <c r="T270" s="84"/>
      <c r="U270" s="84"/>
      <c r="V270" s="84"/>
      <c r="W270" s="84"/>
      <c r="X270" s="84"/>
      <c r="Y270" s="84"/>
      <c r="Z270" s="84"/>
    </row>
    <row r="271" ht="15.75" customHeight="1">
      <c r="A271" s="84"/>
      <c r="B271" s="84"/>
      <c r="C271" s="84"/>
      <c r="D271" s="84"/>
      <c r="E271" s="84"/>
      <c r="F271" s="84"/>
      <c r="G271" s="84"/>
      <c r="H271" s="84"/>
      <c r="I271" s="84"/>
      <c r="J271" s="84"/>
      <c r="K271" s="84"/>
      <c r="L271" s="84"/>
      <c r="M271" s="84"/>
      <c r="N271" s="84"/>
      <c r="O271" s="84"/>
      <c r="P271" s="84"/>
      <c r="Q271" s="84"/>
      <c r="R271" s="84"/>
      <c r="S271" s="84"/>
      <c r="T271" s="84"/>
      <c r="U271" s="84"/>
      <c r="V271" s="84"/>
      <c r="W271" s="84"/>
      <c r="X271" s="84"/>
      <c r="Y271" s="84"/>
      <c r="Z271" s="84"/>
    </row>
    <row r="272" ht="15.75" customHeight="1">
      <c r="A272" s="84"/>
      <c r="B272" s="84"/>
      <c r="C272" s="84"/>
      <c r="D272" s="84"/>
      <c r="E272" s="84"/>
      <c r="F272" s="84"/>
      <c r="G272" s="84"/>
      <c r="H272" s="84"/>
      <c r="I272" s="84"/>
      <c r="J272" s="84"/>
      <c r="K272" s="84"/>
      <c r="L272" s="84"/>
      <c r="M272" s="84"/>
      <c r="N272" s="84"/>
      <c r="O272" s="84"/>
      <c r="P272" s="84"/>
      <c r="Q272" s="84"/>
      <c r="R272" s="84"/>
      <c r="S272" s="84"/>
      <c r="T272" s="84"/>
      <c r="U272" s="84"/>
      <c r="V272" s="84"/>
      <c r="W272" s="84"/>
      <c r="X272" s="84"/>
      <c r="Y272" s="84"/>
      <c r="Z272" s="84"/>
    </row>
    <row r="273" ht="15.75" customHeight="1">
      <c r="A273" s="84"/>
      <c r="B273" s="84"/>
      <c r="C273" s="84"/>
      <c r="D273" s="84"/>
      <c r="E273" s="84"/>
      <c r="F273" s="84"/>
      <c r="G273" s="84"/>
      <c r="H273" s="84"/>
      <c r="I273" s="84"/>
      <c r="J273" s="84"/>
      <c r="K273" s="84"/>
      <c r="L273" s="84"/>
      <c r="M273" s="84"/>
      <c r="N273" s="84"/>
      <c r="O273" s="84"/>
      <c r="P273" s="84"/>
      <c r="Q273" s="84"/>
      <c r="R273" s="84"/>
      <c r="S273" s="84"/>
      <c r="T273" s="84"/>
      <c r="U273" s="84"/>
      <c r="V273" s="84"/>
      <c r="W273" s="84"/>
      <c r="X273" s="84"/>
      <c r="Y273" s="84"/>
      <c r="Z273" s="84"/>
    </row>
    <row r="274" ht="15.75" customHeight="1">
      <c r="A274" s="84"/>
      <c r="B274" s="84"/>
      <c r="C274" s="84"/>
      <c r="D274" s="84"/>
      <c r="E274" s="84"/>
      <c r="F274" s="84"/>
      <c r="G274" s="84"/>
      <c r="H274" s="84"/>
      <c r="I274" s="84"/>
      <c r="J274" s="84"/>
      <c r="K274" s="84"/>
      <c r="L274" s="84"/>
      <c r="M274" s="84"/>
      <c r="N274" s="84"/>
      <c r="O274" s="84"/>
      <c r="P274" s="84"/>
      <c r="Q274" s="84"/>
      <c r="R274" s="84"/>
      <c r="S274" s="84"/>
      <c r="T274" s="84"/>
      <c r="U274" s="84"/>
      <c r="V274" s="84"/>
      <c r="W274" s="84"/>
      <c r="X274" s="84"/>
      <c r="Y274" s="84"/>
      <c r="Z274" s="84"/>
    </row>
    <row r="275" ht="15.75" customHeight="1">
      <c r="A275" s="84"/>
      <c r="B275" s="84"/>
      <c r="C275" s="84"/>
      <c r="D275" s="84"/>
      <c r="E275" s="84"/>
      <c r="F275" s="84"/>
      <c r="G275" s="84"/>
      <c r="H275" s="84"/>
      <c r="I275" s="84"/>
      <c r="J275" s="84"/>
      <c r="K275" s="84"/>
      <c r="L275" s="84"/>
      <c r="M275" s="84"/>
      <c r="N275" s="84"/>
      <c r="O275" s="84"/>
      <c r="P275" s="84"/>
      <c r="Q275" s="84"/>
      <c r="R275" s="84"/>
      <c r="S275" s="84"/>
      <c r="T275" s="84"/>
      <c r="U275" s="84"/>
      <c r="V275" s="84"/>
      <c r="W275" s="84"/>
      <c r="X275" s="84"/>
      <c r="Y275" s="84"/>
      <c r="Z275" s="84"/>
    </row>
    <row r="276" ht="15.75" customHeight="1">
      <c r="A276" s="84"/>
      <c r="B276" s="84"/>
      <c r="C276" s="84"/>
      <c r="D276" s="84"/>
      <c r="E276" s="84"/>
      <c r="F276" s="84"/>
      <c r="G276" s="84"/>
      <c r="H276" s="84"/>
      <c r="I276" s="84"/>
      <c r="J276" s="84"/>
      <c r="K276" s="84"/>
      <c r="L276" s="84"/>
      <c r="M276" s="84"/>
      <c r="N276" s="84"/>
      <c r="O276" s="84"/>
      <c r="P276" s="84"/>
      <c r="Q276" s="84"/>
      <c r="R276" s="84"/>
      <c r="S276" s="84"/>
      <c r="T276" s="84"/>
      <c r="U276" s="84"/>
      <c r="V276" s="84"/>
      <c r="W276" s="84"/>
      <c r="X276" s="84"/>
      <c r="Y276" s="84"/>
      <c r="Z276" s="84"/>
    </row>
    <row r="277" ht="15.75" customHeight="1">
      <c r="A277" s="84"/>
      <c r="B277" s="84"/>
      <c r="C277" s="84"/>
      <c r="D277" s="84"/>
      <c r="E277" s="84"/>
      <c r="F277" s="84"/>
      <c r="G277" s="84"/>
      <c r="H277" s="84"/>
      <c r="I277" s="84"/>
      <c r="J277" s="84"/>
      <c r="K277" s="84"/>
      <c r="L277" s="84"/>
      <c r="M277" s="84"/>
      <c r="N277" s="84"/>
      <c r="O277" s="84"/>
      <c r="P277" s="84"/>
      <c r="Q277" s="84"/>
      <c r="R277" s="84"/>
      <c r="S277" s="84"/>
      <c r="T277" s="84"/>
      <c r="U277" s="84"/>
      <c r="V277" s="84"/>
      <c r="W277" s="84"/>
      <c r="X277" s="84"/>
      <c r="Y277" s="84"/>
      <c r="Z277" s="84"/>
    </row>
    <row r="278" ht="15.75" customHeight="1">
      <c r="A278" s="84"/>
      <c r="B278" s="84"/>
      <c r="C278" s="84"/>
      <c r="D278" s="84"/>
      <c r="E278" s="84"/>
      <c r="F278" s="84"/>
      <c r="G278" s="84"/>
      <c r="H278" s="84"/>
      <c r="I278" s="84"/>
      <c r="J278" s="84"/>
      <c r="K278" s="84"/>
      <c r="L278" s="84"/>
      <c r="M278" s="84"/>
      <c r="N278" s="84"/>
      <c r="O278" s="84"/>
      <c r="P278" s="84"/>
      <c r="Q278" s="84"/>
      <c r="R278" s="84"/>
      <c r="S278" s="84"/>
      <c r="T278" s="84"/>
      <c r="U278" s="84"/>
      <c r="V278" s="84"/>
      <c r="W278" s="84"/>
      <c r="X278" s="84"/>
      <c r="Y278" s="84"/>
      <c r="Z278" s="84"/>
    </row>
    <row r="279" ht="15.75" customHeight="1">
      <c r="A279" s="84"/>
      <c r="B279" s="84"/>
      <c r="C279" s="84"/>
      <c r="D279" s="84"/>
      <c r="E279" s="84"/>
      <c r="F279" s="84"/>
      <c r="G279" s="84"/>
      <c r="H279" s="84"/>
      <c r="I279" s="84"/>
      <c r="J279" s="84"/>
      <c r="K279" s="84"/>
      <c r="L279" s="84"/>
      <c r="M279" s="84"/>
      <c r="N279" s="84"/>
      <c r="O279" s="84"/>
      <c r="P279" s="84"/>
      <c r="Q279" s="84"/>
      <c r="R279" s="84"/>
      <c r="S279" s="84"/>
      <c r="T279" s="84"/>
      <c r="U279" s="84"/>
      <c r="V279" s="84"/>
      <c r="W279" s="84"/>
      <c r="X279" s="84"/>
      <c r="Y279" s="84"/>
      <c r="Z279" s="84"/>
    </row>
    <row r="280" ht="15.75" customHeight="1">
      <c r="A280" s="84"/>
      <c r="B280" s="84"/>
      <c r="C280" s="84"/>
      <c r="D280" s="84"/>
      <c r="E280" s="84"/>
      <c r="F280" s="84"/>
      <c r="G280" s="84"/>
      <c r="H280" s="84"/>
      <c r="I280" s="84"/>
      <c r="J280" s="84"/>
      <c r="K280" s="84"/>
      <c r="L280" s="84"/>
      <c r="M280" s="84"/>
      <c r="N280" s="84"/>
      <c r="O280" s="84"/>
      <c r="P280" s="84"/>
      <c r="Q280" s="84"/>
      <c r="R280" s="84"/>
      <c r="S280" s="84"/>
      <c r="T280" s="84"/>
      <c r="U280" s="84"/>
      <c r="V280" s="84"/>
      <c r="W280" s="84"/>
      <c r="X280" s="84"/>
      <c r="Y280" s="84"/>
      <c r="Z280" s="84"/>
    </row>
    <row r="281" ht="15.75" customHeight="1">
      <c r="A281" s="84"/>
      <c r="B281" s="84"/>
      <c r="C281" s="84"/>
      <c r="D281" s="84"/>
      <c r="E281" s="84"/>
      <c r="F281" s="84"/>
      <c r="G281" s="84"/>
      <c r="H281" s="84"/>
      <c r="I281" s="84"/>
      <c r="J281" s="84"/>
      <c r="K281" s="84"/>
      <c r="L281" s="84"/>
      <c r="M281" s="84"/>
      <c r="N281" s="84"/>
      <c r="O281" s="84"/>
      <c r="P281" s="84"/>
      <c r="Q281" s="84"/>
      <c r="R281" s="84"/>
      <c r="S281" s="84"/>
      <c r="T281" s="84"/>
      <c r="U281" s="84"/>
      <c r="V281" s="84"/>
      <c r="W281" s="84"/>
      <c r="X281" s="84"/>
      <c r="Y281" s="84"/>
      <c r="Z281" s="84"/>
    </row>
    <row r="282" ht="15.75" customHeight="1">
      <c r="A282" s="84"/>
      <c r="B282" s="84"/>
      <c r="C282" s="84"/>
      <c r="D282" s="84"/>
      <c r="E282" s="84"/>
      <c r="F282" s="84"/>
      <c r="G282" s="84"/>
      <c r="H282" s="84"/>
      <c r="I282" s="84"/>
      <c r="J282" s="84"/>
      <c r="K282" s="84"/>
      <c r="L282" s="84"/>
      <c r="M282" s="84"/>
      <c r="N282" s="84"/>
      <c r="O282" s="84"/>
      <c r="P282" s="84"/>
      <c r="Q282" s="84"/>
      <c r="R282" s="84"/>
      <c r="S282" s="84"/>
      <c r="T282" s="84"/>
      <c r="U282" s="84"/>
      <c r="V282" s="84"/>
      <c r="W282" s="84"/>
      <c r="X282" s="84"/>
      <c r="Y282" s="84"/>
      <c r="Z282" s="84"/>
    </row>
    <row r="283" ht="15.75" customHeight="1">
      <c r="A283" s="84"/>
      <c r="B283" s="84"/>
      <c r="C283" s="84"/>
      <c r="D283" s="84"/>
      <c r="E283" s="84"/>
      <c r="F283" s="84"/>
      <c r="G283" s="84"/>
      <c r="H283" s="84"/>
      <c r="I283" s="84"/>
      <c r="J283" s="84"/>
      <c r="K283" s="84"/>
      <c r="L283" s="84"/>
      <c r="M283" s="84"/>
      <c r="N283" s="84"/>
      <c r="O283" s="84"/>
      <c r="P283" s="84"/>
      <c r="Q283" s="84"/>
      <c r="R283" s="84"/>
      <c r="S283" s="84"/>
      <c r="T283" s="84"/>
      <c r="U283" s="84"/>
      <c r="V283" s="84"/>
      <c r="W283" s="84"/>
      <c r="X283" s="84"/>
      <c r="Y283" s="84"/>
      <c r="Z283" s="84"/>
    </row>
    <row r="284" ht="15.75" customHeight="1">
      <c r="A284" s="84"/>
      <c r="B284" s="84"/>
      <c r="C284" s="84"/>
      <c r="D284" s="84"/>
      <c r="E284" s="84"/>
      <c r="F284" s="84"/>
      <c r="G284" s="84"/>
      <c r="H284" s="84"/>
      <c r="I284" s="84"/>
      <c r="J284" s="84"/>
      <c r="K284" s="84"/>
      <c r="L284" s="84"/>
      <c r="M284" s="84"/>
      <c r="N284" s="84"/>
      <c r="O284" s="84"/>
      <c r="P284" s="84"/>
      <c r="Q284" s="84"/>
      <c r="R284" s="84"/>
      <c r="S284" s="84"/>
      <c r="T284" s="84"/>
      <c r="U284" s="84"/>
      <c r="V284" s="84"/>
      <c r="W284" s="84"/>
      <c r="X284" s="84"/>
      <c r="Y284" s="84"/>
      <c r="Z284" s="84"/>
    </row>
    <row r="285" ht="15.75" customHeight="1">
      <c r="A285" s="84"/>
      <c r="B285" s="84"/>
      <c r="C285" s="84"/>
      <c r="D285" s="84"/>
      <c r="E285" s="84"/>
      <c r="F285" s="84"/>
      <c r="G285" s="84"/>
      <c r="H285" s="84"/>
      <c r="I285" s="84"/>
      <c r="J285" s="84"/>
      <c r="K285" s="84"/>
      <c r="L285" s="84"/>
      <c r="M285" s="84"/>
      <c r="N285" s="84"/>
      <c r="O285" s="84"/>
      <c r="P285" s="84"/>
      <c r="Q285" s="84"/>
      <c r="R285" s="84"/>
      <c r="S285" s="84"/>
      <c r="T285" s="84"/>
      <c r="U285" s="84"/>
      <c r="V285" s="84"/>
      <c r="W285" s="84"/>
      <c r="X285" s="84"/>
      <c r="Y285" s="84"/>
      <c r="Z285" s="84"/>
    </row>
    <row r="286" ht="15.75" customHeight="1">
      <c r="A286" s="84"/>
      <c r="B286" s="84"/>
      <c r="C286" s="84"/>
      <c r="D286" s="84"/>
      <c r="E286" s="84"/>
      <c r="F286" s="84"/>
      <c r="G286" s="84"/>
      <c r="H286" s="84"/>
      <c r="I286" s="84"/>
      <c r="J286" s="84"/>
      <c r="K286" s="84"/>
      <c r="L286" s="84"/>
      <c r="M286" s="84"/>
      <c r="N286" s="84"/>
      <c r="O286" s="84"/>
      <c r="P286" s="84"/>
      <c r="Q286" s="84"/>
      <c r="R286" s="84"/>
      <c r="S286" s="84"/>
      <c r="T286" s="84"/>
      <c r="U286" s="84"/>
      <c r="V286" s="84"/>
      <c r="W286" s="84"/>
      <c r="X286" s="84"/>
      <c r="Y286" s="84"/>
      <c r="Z286" s="84"/>
    </row>
    <row r="287" ht="15.75" customHeight="1">
      <c r="A287" s="84"/>
      <c r="B287" s="84"/>
      <c r="C287" s="84"/>
      <c r="D287" s="84"/>
      <c r="E287" s="84"/>
      <c r="F287" s="84"/>
      <c r="G287" s="84"/>
      <c r="H287" s="84"/>
      <c r="I287" s="84"/>
      <c r="J287" s="84"/>
      <c r="K287" s="84"/>
      <c r="L287" s="84"/>
      <c r="M287" s="84"/>
      <c r="N287" s="84"/>
      <c r="O287" s="84"/>
      <c r="P287" s="84"/>
      <c r="Q287" s="84"/>
      <c r="R287" s="84"/>
      <c r="S287" s="84"/>
      <c r="T287" s="84"/>
      <c r="U287" s="84"/>
      <c r="V287" s="84"/>
      <c r="W287" s="84"/>
      <c r="X287" s="84"/>
      <c r="Y287" s="84"/>
      <c r="Z287" s="84"/>
    </row>
    <row r="288" ht="15.75" customHeight="1">
      <c r="A288" s="84"/>
      <c r="B288" s="84"/>
      <c r="C288" s="84"/>
      <c r="D288" s="84"/>
      <c r="E288" s="84"/>
      <c r="F288" s="84"/>
      <c r="G288" s="84"/>
      <c r="H288" s="84"/>
      <c r="I288" s="84"/>
      <c r="J288" s="84"/>
      <c r="K288" s="84"/>
      <c r="L288" s="84"/>
      <c r="M288" s="84"/>
      <c r="N288" s="84"/>
      <c r="O288" s="84"/>
      <c r="P288" s="84"/>
      <c r="Q288" s="84"/>
      <c r="R288" s="84"/>
      <c r="S288" s="84"/>
      <c r="T288" s="84"/>
      <c r="U288" s="84"/>
      <c r="V288" s="84"/>
      <c r="W288" s="84"/>
      <c r="X288" s="84"/>
      <c r="Y288" s="84"/>
      <c r="Z288" s="84"/>
    </row>
    <row r="289" ht="15.75" customHeight="1">
      <c r="A289" s="84"/>
      <c r="B289" s="84"/>
      <c r="C289" s="84"/>
      <c r="D289" s="84"/>
      <c r="E289" s="84"/>
      <c r="F289" s="84"/>
      <c r="G289" s="84"/>
      <c r="H289" s="84"/>
      <c r="I289" s="84"/>
      <c r="J289" s="84"/>
      <c r="K289" s="84"/>
      <c r="L289" s="84"/>
      <c r="M289" s="84"/>
      <c r="N289" s="84"/>
      <c r="O289" s="84"/>
      <c r="P289" s="84"/>
      <c r="Q289" s="84"/>
      <c r="R289" s="84"/>
      <c r="S289" s="84"/>
      <c r="T289" s="84"/>
      <c r="U289" s="84"/>
      <c r="V289" s="84"/>
      <c r="W289" s="84"/>
      <c r="X289" s="84"/>
      <c r="Y289" s="84"/>
      <c r="Z289" s="84"/>
    </row>
    <row r="290" ht="15.75" customHeight="1">
      <c r="A290" s="84"/>
      <c r="B290" s="84"/>
      <c r="C290" s="84"/>
      <c r="D290" s="84"/>
      <c r="E290" s="84"/>
      <c r="F290" s="84"/>
      <c r="G290" s="84"/>
      <c r="H290" s="84"/>
      <c r="I290" s="84"/>
      <c r="J290" s="84"/>
      <c r="K290" s="84"/>
      <c r="L290" s="84"/>
      <c r="M290" s="84"/>
      <c r="N290" s="84"/>
      <c r="O290" s="84"/>
      <c r="P290" s="84"/>
      <c r="Q290" s="84"/>
      <c r="R290" s="84"/>
      <c r="S290" s="84"/>
      <c r="T290" s="84"/>
      <c r="U290" s="84"/>
      <c r="V290" s="84"/>
      <c r="W290" s="84"/>
      <c r="X290" s="84"/>
      <c r="Y290" s="84"/>
      <c r="Z290" s="84"/>
    </row>
    <row r="291" ht="15.75" customHeight="1">
      <c r="A291" s="84"/>
      <c r="B291" s="84"/>
      <c r="C291" s="84"/>
      <c r="D291" s="84"/>
      <c r="E291" s="84"/>
      <c r="F291" s="84"/>
      <c r="G291" s="84"/>
      <c r="H291" s="84"/>
      <c r="I291" s="84"/>
      <c r="J291" s="84"/>
      <c r="K291" s="84"/>
      <c r="L291" s="84"/>
      <c r="M291" s="84"/>
      <c r="N291" s="84"/>
      <c r="O291" s="84"/>
      <c r="P291" s="84"/>
      <c r="Q291" s="84"/>
      <c r="R291" s="84"/>
      <c r="S291" s="84"/>
      <c r="T291" s="84"/>
      <c r="U291" s="84"/>
      <c r="V291" s="84"/>
      <c r="W291" s="84"/>
      <c r="X291" s="84"/>
      <c r="Y291" s="84"/>
      <c r="Z291" s="84"/>
    </row>
    <row r="292" ht="15.75" customHeight="1">
      <c r="A292" s="84"/>
      <c r="B292" s="84"/>
      <c r="C292" s="84"/>
      <c r="D292" s="84"/>
      <c r="E292" s="84"/>
      <c r="F292" s="84"/>
      <c r="G292" s="84"/>
      <c r="H292" s="84"/>
      <c r="I292" s="84"/>
      <c r="J292" s="84"/>
      <c r="K292" s="84"/>
      <c r="L292" s="84"/>
      <c r="M292" s="84"/>
      <c r="N292" s="84"/>
      <c r="O292" s="84"/>
      <c r="P292" s="84"/>
      <c r="Q292" s="84"/>
      <c r="R292" s="84"/>
      <c r="S292" s="84"/>
      <c r="T292" s="84"/>
      <c r="U292" s="84"/>
      <c r="V292" s="84"/>
      <c r="W292" s="84"/>
      <c r="X292" s="84"/>
      <c r="Y292" s="84"/>
      <c r="Z292" s="84"/>
    </row>
    <row r="293" ht="15.75" customHeight="1">
      <c r="A293" s="84"/>
      <c r="B293" s="84"/>
      <c r="C293" s="84"/>
      <c r="D293" s="84"/>
      <c r="E293" s="84"/>
      <c r="F293" s="84"/>
      <c r="G293" s="84"/>
      <c r="H293" s="84"/>
      <c r="I293" s="84"/>
      <c r="J293" s="84"/>
      <c r="K293" s="84"/>
      <c r="L293" s="84"/>
      <c r="M293" s="84"/>
      <c r="N293" s="84"/>
      <c r="O293" s="84"/>
      <c r="P293" s="84"/>
      <c r="Q293" s="84"/>
      <c r="R293" s="84"/>
      <c r="S293" s="84"/>
      <c r="T293" s="84"/>
      <c r="U293" s="84"/>
      <c r="V293" s="84"/>
      <c r="W293" s="84"/>
      <c r="X293" s="84"/>
      <c r="Y293" s="84"/>
      <c r="Z293" s="84"/>
    </row>
    <row r="294" ht="15.75" customHeight="1">
      <c r="A294" s="84"/>
      <c r="B294" s="84"/>
      <c r="C294" s="84"/>
      <c r="D294" s="84"/>
      <c r="E294" s="84"/>
      <c r="F294" s="84"/>
      <c r="G294" s="84"/>
      <c r="H294" s="84"/>
      <c r="I294" s="84"/>
      <c r="J294" s="84"/>
      <c r="K294" s="84"/>
      <c r="L294" s="84"/>
      <c r="M294" s="84"/>
      <c r="N294" s="84"/>
      <c r="O294" s="84"/>
      <c r="P294" s="84"/>
      <c r="Q294" s="84"/>
      <c r="R294" s="84"/>
      <c r="S294" s="84"/>
      <c r="T294" s="84"/>
      <c r="U294" s="84"/>
      <c r="V294" s="84"/>
      <c r="W294" s="84"/>
      <c r="X294" s="84"/>
      <c r="Y294" s="84"/>
      <c r="Z294" s="84"/>
    </row>
    <row r="295" ht="15.75" customHeight="1">
      <c r="A295" s="84"/>
      <c r="B295" s="84"/>
      <c r="C295" s="84"/>
      <c r="D295" s="84"/>
      <c r="E295" s="84"/>
      <c r="F295" s="84"/>
      <c r="G295" s="84"/>
      <c r="H295" s="84"/>
      <c r="I295" s="84"/>
      <c r="J295" s="84"/>
      <c r="K295" s="84"/>
      <c r="L295" s="84"/>
      <c r="M295" s="84"/>
      <c r="N295" s="84"/>
      <c r="O295" s="84"/>
      <c r="P295" s="84"/>
      <c r="Q295" s="84"/>
      <c r="R295" s="84"/>
      <c r="S295" s="84"/>
      <c r="T295" s="84"/>
      <c r="U295" s="84"/>
      <c r="V295" s="84"/>
      <c r="W295" s="84"/>
      <c r="X295" s="84"/>
      <c r="Y295" s="84"/>
      <c r="Z295" s="84"/>
    </row>
    <row r="296" ht="15.75" customHeight="1">
      <c r="A296" s="84"/>
      <c r="B296" s="84"/>
      <c r="C296" s="84"/>
      <c r="D296" s="84"/>
      <c r="E296" s="84"/>
      <c r="F296" s="84"/>
      <c r="G296" s="84"/>
      <c r="H296" s="84"/>
      <c r="I296" s="84"/>
      <c r="J296" s="84"/>
      <c r="K296" s="84"/>
      <c r="L296" s="84"/>
      <c r="M296" s="84"/>
      <c r="N296" s="84"/>
      <c r="O296" s="84"/>
      <c r="P296" s="84"/>
      <c r="Q296" s="84"/>
      <c r="R296" s="84"/>
      <c r="S296" s="84"/>
      <c r="T296" s="84"/>
      <c r="U296" s="84"/>
      <c r="V296" s="84"/>
      <c r="W296" s="84"/>
      <c r="X296" s="84"/>
      <c r="Y296" s="84"/>
      <c r="Z296" s="84"/>
    </row>
    <row r="297" ht="15.75" customHeight="1">
      <c r="A297" s="84"/>
      <c r="B297" s="84"/>
      <c r="C297" s="84"/>
      <c r="D297" s="84"/>
      <c r="E297" s="84"/>
      <c r="F297" s="84"/>
      <c r="G297" s="84"/>
      <c r="H297" s="84"/>
      <c r="I297" s="84"/>
      <c r="J297" s="84"/>
      <c r="K297" s="84"/>
      <c r="L297" s="84"/>
      <c r="M297" s="84"/>
      <c r="N297" s="84"/>
      <c r="O297" s="84"/>
      <c r="P297" s="84"/>
      <c r="Q297" s="84"/>
      <c r="R297" s="84"/>
      <c r="S297" s="84"/>
      <c r="T297" s="84"/>
      <c r="U297" s="84"/>
      <c r="V297" s="84"/>
      <c r="W297" s="84"/>
      <c r="X297" s="84"/>
      <c r="Y297" s="84"/>
      <c r="Z297" s="84"/>
    </row>
    <row r="298" ht="15.75" customHeight="1">
      <c r="A298" s="84"/>
      <c r="B298" s="84"/>
      <c r="C298" s="84"/>
      <c r="D298" s="84"/>
      <c r="E298" s="84"/>
      <c r="F298" s="84"/>
      <c r="G298" s="84"/>
      <c r="H298" s="84"/>
      <c r="I298" s="84"/>
      <c r="J298" s="84"/>
      <c r="K298" s="84"/>
      <c r="L298" s="84"/>
      <c r="M298" s="84"/>
      <c r="N298" s="84"/>
      <c r="O298" s="84"/>
      <c r="P298" s="84"/>
      <c r="Q298" s="84"/>
      <c r="R298" s="84"/>
      <c r="S298" s="84"/>
      <c r="T298" s="84"/>
      <c r="U298" s="84"/>
      <c r="V298" s="84"/>
      <c r="W298" s="84"/>
      <c r="X298" s="84"/>
      <c r="Y298" s="84"/>
      <c r="Z298" s="84"/>
    </row>
    <row r="299" ht="15.75" customHeight="1">
      <c r="A299" s="84"/>
      <c r="B299" s="84"/>
      <c r="C299" s="84"/>
      <c r="D299" s="84"/>
      <c r="E299" s="84"/>
      <c r="F299" s="84"/>
      <c r="G299" s="84"/>
      <c r="H299" s="84"/>
      <c r="I299" s="84"/>
      <c r="J299" s="84"/>
      <c r="K299" s="84"/>
      <c r="L299" s="84"/>
      <c r="M299" s="84"/>
      <c r="N299" s="84"/>
      <c r="O299" s="84"/>
      <c r="P299" s="84"/>
      <c r="Q299" s="84"/>
      <c r="R299" s="84"/>
      <c r="S299" s="84"/>
      <c r="T299" s="84"/>
      <c r="U299" s="84"/>
      <c r="V299" s="84"/>
      <c r="W299" s="84"/>
      <c r="X299" s="84"/>
      <c r="Y299" s="84"/>
      <c r="Z299" s="84"/>
    </row>
    <row r="300" ht="15.75" customHeight="1">
      <c r="A300" s="84"/>
      <c r="B300" s="84"/>
      <c r="C300" s="84"/>
      <c r="D300" s="84"/>
      <c r="E300" s="84"/>
      <c r="F300" s="84"/>
      <c r="G300" s="84"/>
      <c r="H300" s="84"/>
      <c r="I300" s="84"/>
      <c r="J300" s="84"/>
      <c r="K300" s="84"/>
      <c r="L300" s="84"/>
      <c r="M300" s="84"/>
      <c r="N300" s="84"/>
      <c r="O300" s="84"/>
      <c r="P300" s="84"/>
      <c r="Q300" s="84"/>
      <c r="R300" s="84"/>
      <c r="S300" s="84"/>
      <c r="T300" s="84"/>
      <c r="U300" s="84"/>
      <c r="V300" s="84"/>
      <c r="W300" s="84"/>
      <c r="X300" s="84"/>
      <c r="Y300" s="84"/>
      <c r="Z300" s="84"/>
    </row>
    <row r="301" ht="15.75" customHeight="1">
      <c r="A301" s="84"/>
      <c r="B301" s="84"/>
      <c r="C301" s="84"/>
      <c r="D301" s="84"/>
      <c r="E301" s="84"/>
      <c r="F301" s="84"/>
      <c r="G301" s="84"/>
      <c r="H301" s="84"/>
      <c r="I301" s="84"/>
      <c r="J301" s="84"/>
      <c r="K301" s="84"/>
      <c r="L301" s="84"/>
      <c r="M301" s="84"/>
      <c r="N301" s="84"/>
      <c r="O301" s="84"/>
      <c r="P301" s="84"/>
      <c r="Q301" s="84"/>
      <c r="R301" s="84"/>
      <c r="S301" s="84"/>
      <c r="T301" s="84"/>
      <c r="U301" s="84"/>
      <c r="V301" s="84"/>
      <c r="W301" s="84"/>
      <c r="X301" s="84"/>
      <c r="Y301" s="84"/>
      <c r="Z301" s="84"/>
    </row>
    <row r="302" ht="15.75" customHeight="1">
      <c r="A302" s="84"/>
      <c r="B302" s="84"/>
      <c r="C302" s="84"/>
      <c r="D302" s="84"/>
      <c r="E302" s="84"/>
      <c r="F302" s="84"/>
      <c r="G302" s="84"/>
      <c r="H302" s="84"/>
      <c r="I302" s="84"/>
      <c r="J302" s="84"/>
      <c r="K302" s="84"/>
      <c r="L302" s="84"/>
      <c r="M302" s="84"/>
      <c r="N302" s="84"/>
      <c r="O302" s="84"/>
      <c r="P302" s="84"/>
      <c r="Q302" s="84"/>
      <c r="R302" s="84"/>
      <c r="S302" s="84"/>
      <c r="T302" s="84"/>
      <c r="U302" s="84"/>
      <c r="V302" s="84"/>
      <c r="W302" s="84"/>
      <c r="X302" s="84"/>
      <c r="Y302" s="84"/>
      <c r="Z302" s="84"/>
    </row>
    <row r="303" ht="15.75" customHeight="1">
      <c r="A303" s="84"/>
      <c r="B303" s="84"/>
      <c r="C303" s="84"/>
      <c r="D303" s="84"/>
      <c r="E303" s="84"/>
      <c r="F303" s="84"/>
      <c r="G303" s="84"/>
      <c r="H303" s="84"/>
      <c r="I303" s="84"/>
      <c r="J303" s="84"/>
      <c r="K303" s="84"/>
      <c r="L303" s="84"/>
      <c r="M303" s="84"/>
      <c r="N303" s="84"/>
      <c r="O303" s="84"/>
      <c r="P303" s="84"/>
      <c r="Q303" s="84"/>
      <c r="R303" s="84"/>
      <c r="S303" s="84"/>
      <c r="T303" s="84"/>
      <c r="U303" s="84"/>
      <c r="V303" s="84"/>
      <c r="W303" s="84"/>
      <c r="X303" s="84"/>
      <c r="Y303" s="84"/>
      <c r="Z303" s="84"/>
    </row>
    <row r="304" ht="15.75" customHeight="1">
      <c r="A304" s="84"/>
      <c r="B304" s="84"/>
      <c r="C304" s="84"/>
      <c r="D304" s="84"/>
      <c r="E304" s="84"/>
      <c r="F304" s="84"/>
      <c r="G304" s="84"/>
      <c r="H304" s="84"/>
      <c r="I304" s="84"/>
      <c r="J304" s="84"/>
      <c r="K304" s="84"/>
      <c r="L304" s="84"/>
      <c r="M304" s="84"/>
      <c r="N304" s="84"/>
      <c r="O304" s="84"/>
      <c r="P304" s="84"/>
      <c r="Q304" s="84"/>
      <c r="R304" s="84"/>
      <c r="S304" s="84"/>
      <c r="T304" s="84"/>
      <c r="U304" s="84"/>
      <c r="V304" s="84"/>
      <c r="W304" s="84"/>
      <c r="X304" s="84"/>
      <c r="Y304" s="84"/>
      <c r="Z304" s="84"/>
    </row>
    <row r="305" ht="15.75" customHeight="1">
      <c r="A305" s="84"/>
      <c r="B305" s="84"/>
      <c r="C305" s="84"/>
      <c r="D305" s="84"/>
      <c r="E305" s="84"/>
      <c r="F305" s="84"/>
      <c r="G305" s="84"/>
      <c r="H305" s="84"/>
      <c r="I305" s="84"/>
      <c r="J305" s="84"/>
      <c r="K305" s="84"/>
      <c r="L305" s="84"/>
      <c r="M305" s="84"/>
      <c r="N305" s="84"/>
      <c r="O305" s="84"/>
      <c r="P305" s="84"/>
      <c r="Q305" s="84"/>
      <c r="R305" s="84"/>
      <c r="S305" s="84"/>
      <c r="T305" s="84"/>
      <c r="U305" s="84"/>
      <c r="V305" s="84"/>
      <c r="W305" s="84"/>
      <c r="X305" s="84"/>
      <c r="Y305" s="84"/>
      <c r="Z305" s="84"/>
    </row>
    <row r="306" ht="15.75" customHeight="1">
      <c r="A306" s="84"/>
      <c r="B306" s="84"/>
      <c r="C306" s="84"/>
      <c r="D306" s="84"/>
      <c r="E306" s="84"/>
      <c r="F306" s="84"/>
      <c r="G306" s="84"/>
      <c r="H306" s="84"/>
      <c r="I306" s="84"/>
      <c r="J306" s="84"/>
      <c r="K306" s="84"/>
      <c r="L306" s="84"/>
      <c r="M306" s="84"/>
      <c r="N306" s="84"/>
      <c r="O306" s="84"/>
      <c r="P306" s="84"/>
      <c r="Q306" s="84"/>
      <c r="R306" s="84"/>
      <c r="S306" s="84"/>
      <c r="T306" s="84"/>
      <c r="U306" s="84"/>
      <c r="V306" s="84"/>
      <c r="W306" s="84"/>
      <c r="X306" s="84"/>
      <c r="Y306" s="84"/>
      <c r="Z306" s="84"/>
    </row>
    <row r="307" ht="15.75" customHeight="1">
      <c r="A307" s="84"/>
      <c r="B307" s="84"/>
      <c r="C307" s="84"/>
      <c r="D307" s="84"/>
      <c r="E307" s="84"/>
      <c r="F307" s="84"/>
      <c r="G307" s="84"/>
      <c r="H307" s="84"/>
      <c r="I307" s="84"/>
      <c r="J307" s="84"/>
      <c r="K307" s="84"/>
      <c r="L307" s="84"/>
      <c r="M307" s="84"/>
      <c r="N307" s="84"/>
      <c r="O307" s="84"/>
      <c r="P307" s="84"/>
      <c r="Q307" s="84"/>
      <c r="R307" s="84"/>
      <c r="S307" s="84"/>
      <c r="T307" s="84"/>
      <c r="U307" s="84"/>
      <c r="V307" s="84"/>
      <c r="W307" s="84"/>
      <c r="X307" s="84"/>
      <c r="Y307" s="84"/>
      <c r="Z307" s="84"/>
    </row>
    <row r="308" ht="15.75" customHeight="1">
      <c r="A308" s="84"/>
      <c r="B308" s="84"/>
      <c r="C308" s="84"/>
      <c r="D308" s="84"/>
      <c r="E308" s="84"/>
      <c r="F308" s="84"/>
      <c r="G308" s="84"/>
      <c r="H308" s="84"/>
      <c r="I308" s="84"/>
      <c r="J308" s="84"/>
      <c r="K308" s="84"/>
      <c r="L308" s="84"/>
      <c r="M308" s="84"/>
      <c r="N308" s="84"/>
      <c r="O308" s="84"/>
      <c r="P308" s="84"/>
      <c r="Q308" s="84"/>
      <c r="R308" s="84"/>
      <c r="S308" s="84"/>
      <c r="T308" s="84"/>
      <c r="U308" s="84"/>
      <c r="V308" s="84"/>
      <c r="W308" s="84"/>
      <c r="X308" s="84"/>
      <c r="Y308" s="84"/>
      <c r="Z308" s="84"/>
    </row>
    <row r="309" ht="15.75" customHeight="1">
      <c r="A309" s="84"/>
      <c r="B309" s="84"/>
      <c r="C309" s="84"/>
      <c r="D309" s="84"/>
      <c r="E309" s="84"/>
      <c r="F309" s="84"/>
      <c r="G309" s="84"/>
      <c r="H309" s="84"/>
      <c r="I309" s="84"/>
      <c r="J309" s="84"/>
      <c r="K309" s="84"/>
      <c r="L309" s="84"/>
      <c r="M309" s="84"/>
      <c r="N309" s="84"/>
      <c r="O309" s="84"/>
      <c r="P309" s="84"/>
      <c r="Q309" s="84"/>
      <c r="R309" s="84"/>
      <c r="S309" s="84"/>
      <c r="T309" s="84"/>
      <c r="U309" s="84"/>
      <c r="V309" s="84"/>
      <c r="W309" s="84"/>
      <c r="X309" s="84"/>
      <c r="Y309" s="84"/>
      <c r="Z309" s="84"/>
    </row>
    <row r="310" ht="15.75" customHeight="1">
      <c r="A310" s="84"/>
      <c r="B310" s="84"/>
      <c r="C310" s="84"/>
      <c r="D310" s="84"/>
      <c r="E310" s="84"/>
      <c r="F310" s="84"/>
      <c r="G310" s="84"/>
      <c r="H310" s="84"/>
      <c r="I310" s="84"/>
      <c r="J310" s="84"/>
      <c r="K310" s="84"/>
      <c r="L310" s="84"/>
      <c r="M310" s="84"/>
      <c r="N310" s="84"/>
      <c r="O310" s="84"/>
      <c r="P310" s="84"/>
      <c r="Q310" s="84"/>
      <c r="R310" s="84"/>
      <c r="S310" s="84"/>
      <c r="T310" s="84"/>
      <c r="U310" s="84"/>
      <c r="V310" s="84"/>
      <c r="W310" s="84"/>
      <c r="X310" s="84"/>
      <c r="Y310" s="84"/>
      <c r="Z310" s="84"/>
    </row>
    <row r="311" ht="15.75" customHeight="1">
      <c r="A311" s="84"/>
      <c r="B311" s="84"/>
      <c r="C311" s="84"/>
      <c r="D311" s="84"/>
      <c r="E311" s="84"/>
      <c r="F311" s="84"/>
      <c r="G311" s="84"/>
      <c r="H311" s="84"/>
      <c r="I311" s="84"/>
      <c r="J311" s="84"/>
      <c r="K311" s="84"/>
      <c r="L311" s="84"/>
      <c r="M311" s="84"/>
      <c r="N311" s="84"/>
      <c r="O311" s="84"/>
      <c r="P311" s="84"/>
      <c r="Q311" s="84"/>
      <c r="R311" s="84"/>
      <c r="S311" s="84"/>
      <c r="T311" s="84"/>
      <c r="U311" s="84"/>
      <c r="V311" s="84"/>
      <c r="W311" s="84"/>
      <c r="X311" s="84"/>
      <c r="Y311" s="84"/>
      <c r="Z311" s="84"/>
    </row>
    <row r="312" ht="15.75" customHeight="1">
      <c r="A312" s="84"/>
      <c r="B312" s="84"/>
      <c r="C312" s="84"/>
      <c r="D312" s="84"/>
      <c r="E312" s="84"/>
      <c r="F312" s="84"/>
      <c r="G312" s="84"/>
      <c r="H312" s="84"/>
      <c r="I312" s="84"/>
      <c r="J312" s="84"/>
      <c r="K312" s="84"/>
      <c r="L312" s="84"/>
      <c r="M312" s="84"/>
      <c r="N312" s="84"/>
      <c r="O312" s="84"/>
      <c r="P312" s="84"/>
      <c r="Q312" s="84"/>
      <c r="R312" s="84"/>
      <c r="S312" s="84"/>
      <c r="T312" s="84"/>
      <c r="U312" s="84"/>
      <c r="V312" s="84"/>
      <c r="W312" s="84"/>
      <c r="X312" s="84"/>
      <c r="Y312" s="84"/>
      <c r="Z312" s="84"/>
    </row>
    <row r="313" ht="15.75" customHeight="1">
      <c r="A313" s="84"/>
      <c r="B313" s="84"/>
      <c r="C313" s="84"/>
      <c r="D313" s="84"/>
      <c r="E313" s="84"/>
      <c r="F313" s="84"/>
      <c r="G313" s="84"/>
      <c r="H313" s="84"/>
      <c r="I313" s="84"/>
      <c r="J313" s="84"/>
      <c r="K313" s="84"/>
      <c r="L313" s="84"/>
      <c r="M313" s="84"/>
      <c r="N313" s="84"/>
      <c r="O313" s="84"/>
      <c r="P313" s="84"/>
      <c r="Q313" s="84"/>
      <c r="R313" s="84"/>
      <c r="S313" s="84"/>
      <c r="T313" s="84"/>
      <c r="U313" s="84"/>
      <c r="V313" s="84"/>
      <c r="W313" s="84"/>
      <c r="X313" s="84"/>
      <c r="Y313" s="84"/>
      <c r="Z313" s="84"/>
    </row>
    <row r="314" ht="15.75" customHeight="1">
      <c r="A314" s="84"/>
      <c r="B314" s="84"/>
      <c r="C314" s="84"/>
      <c r="D314" s="84"/>
      <c r="E314" s="84"/>
      <c r="F314" s="84"/>
      <c r="G314" s="84"/>
      <c r="H314" s="84"/>
      <c r="I314" s="84"/>
      <c r="J314" s="84"/>
      <c r="K314" s="84"/>
      <c r="L314" s="84"/>
      <c r="M314" s="84"/>
      <c r="N314" s="84"/>
      <c r="O314" s="84"/>
      <c r="P314" s="84"/>
      <c r="Q314" s="84"/>
      <c r="R314" s="84"/>
      <c r="S314" s="84"/>
      <c r="T314" s="84"/>
      <c r="U314" s="84"/>
      <c r="V314" s="84"/>
      <c r="W314" s="84"/>
      <c r="X314" s="84"/>
      <c r="Y314" s="84"/>
      <c r="Z314" s="84"/>
    </row>
    <row r="315" ht="15.75" customHeight="1">
      <c r="A315" s="84"/>
      <c r="B315" s="84"/>
      <c r="C315" s="84"/>
      <c r="D315" s="84"/>
      <c r="E315" s="84"/>
      <c r="F315" s="84"/>
      <c r="G315" s="84"/>
      <c r="H315" s="84"/>
      <c r="I315" s="84"/>
      <c r="J315" s="84"/>
      <c r="K315" s="84"/>
      <c r="L315" s="84"/>
      <c r="M315" s="84"/>
      <c r="N315" s="84"/>
      <c r="O315" s="84"/>
      <c r="P315" s="84"/>
      <c r="Q315" s="84"/>
      <c r="R315" s="84"/>
      <c r="S315" s="84"/>
      <c r="T315" s="84"/>
      <c r="U315" s="84"/>
      <c r="V315" s="84"/>
      <c r="W315" s="84"/>
      <c r="X315" s="84"/>
      <c r="Y315" s="84"/>
      <c r="Z315" s="84"/>
    </row>
    <row r="316" ht="15.75" customHeight="1">
      <c r="A316" s="84"/>
      <c r="B316" s="84"/>
      <c r="C316" s="84"/>
      <c r="D316" s="84"/>
      <c r="E316" s="84"/>
      <c r="F316" s="84"/>
      <c r="G316" s="84"/>
      <c r="H316" s="84"/>
      <c r="I316" s="84"/>
      <c r="J316" s="84"/>
      <c r="K316" s="84"/>
      <c r="L316" s="84"/>
      <c r="M316" s="84"/>
      <c r="N316" s="84"/>
      <c r="O316" s="84"/>
      <c r="P316" s="84"/>
      <c r="Q316" s="84"/>
      <c r="R316" s="84"/>
      <c r="S316" s="84"/>
      <c r="T316" s="84"/>
      <c r="U316" s="84"/>
      <c r="V316" s="84"/>
      <c r="W316" s="84"/>
      <c r="X316" s="84"/>
      <c r="Y316" s="84"/>
      <c r="Z316" s="84"/>
    </row>
    <row r="317" ht="15.75" customHeight="1">
      <c r="A317" s="84"/>
      <c r="B317" s="84"/>
      <c r="C317" s="84"/>
      <c r="D317" s="84"/>
      <c r="E317" s="84"/>
      <c r="F317" s="84"/>
      <c r="G317" s="84"/>
      <c r="H317" s="84"/>
      <c r="I317" s="84"/>
      <c r="J317" s="84"/>
      <c r="K317" s="84"/>
      <c r="L317" s="84"/>
      <c r="M317" s="84"/>
      <c r="N317" s="84"/>
      <c r="O317" s="84"/>
      <c r="P317" s="84"/>
      <c r="Q317" s="84"/>
      <c r="R317" s="84"/>
      <c r="S317" s="84"/>
      <c r="T317" s="84"/>
      <c r="U317" s="84"/>
      <c r="V317" s="84"/>
      <c r="W317" s="84"/>
      <c r="X317" s="84"/>
      <c r="Y317" s="84"/>
      <c r="Z317" s="84"/>
    </row>
    <row r="318" ht="15.75" customHeight="1">
      <c r="A318" s="84"/>
      <c r="B318" s="84"/>
      <c r="C318" s="84"/>
      <c r="D318" s="84"/>
      <c r="E318" s="84"/>
      <c r="F318" s="84"/>
      <c r="G318" s="84"/>
      <c r="H318" s="84"/>
      <c r="I318" s="84"/>
      <c r="J318" s="84"/>
      <c r="K318" s="84"/>
      <c r="L318" s="84"/>
      <c r="M318" s="84"/>
      <c r="N318" s="84"/>
      <c r="O318" s="84"/>
      <c r="P318" s="84"/>
      <c r="Q318" s="84"/>
      <c r="R318" s="84"/>
      <c r="S318" s="84"/>
      <c r="T318" s="84"/>
      <c r="U318" s="84"/>
      <c r="V318" s="84"/>
      <c r="W318" s="84"/>
      <c r="X318" s="84"/>
      <c r="Y318" s="84"/>
      <c r="Z318" s="84"/>
    </row>
    <row r="319" ht="15.75" customHeight="1">
      <c r="A319" s="84"/>
      <c r="B319" s="84"/>
      <c r="C319" s="84"/>
      <c r="D319" s="84"/>
      <c r="E319" s="84"/>
      <c r="F319" s="84"/>
      <c r="G319" s="84"/>
      <c r="H319" s="84"/>
      <c r="I319" s="84"/>
      <c r="J319" s="84"/>
      <c r="K319" s="84"/>
      <c r="L319" s="84"/>
      <c r="M319" s="84"/>
      <c r="N319" s="84"/>
      <c r="O319" s="84"/>
      <c r="P319" s="84"/>
      <c r="Q319" s="84"/>
      <c r="R319" s="84"/>
      <c r="S319" s="84"/>
      <c r="T319" s="84"/>
      <c r="U319" s="84"/>
      <c r="V319" s="84"/>
      <c r="W319" s="84"/>
      <c r="X319" s="84"/>
      <c r="Y319" s="84"/>
      <c r="Z319" s="84"/>
    </row>
    <row r="320" ht="15.75" customHeight="1">
      <c r="A320" s="84"/>
      <c r="B320" s="84"/>
      <c r="C320" s="84"/>
      <c r="D320" s="84"/>
      <c r="E320" s="84"/>
      <c r="F320" s="84"/>
      <c r="G320" s="84"/>
      <c r="H320" s="84"/>
      <c r="I320" s="84"/>
      <c r="J320" s="84"/>
      <c r="K320" s="84"/>
      <c r="L320" s="84"/>
      <c r="M320" s="84"/>
      <c r="N320" s="84"/>
      <c r="O320" s="84"/>
      <c r="P320" s="84"/>
      <c r="Q320" s="84"/>
      <c r="R320" s="84"/>
      <c r="S320" s="84"/>
      <c r="T320" s="84"/>
      <c r="U320" s="84"/>
      <c r="V320" s="84"/>
      <c r="W320" s="84"/>
      <c r="X320" s="84"/>
      <c r="Y320" s="84"/>
      <c r="Z320" s="84"/>
    </row>
    <row r="321" ht="15.75" customHeight="1">
      <c r="A321" s="84"/>
      <c r="B321" s="84"/>
      <c r="C321" s="84"/>
      <c r="D321" s="84"/>
      <c r="E321" s="84"/>
      <c r="F321" s="84"/>
      <c r="G321" s="84"/>
      <c r="H321" s="84"/>
      <c r="I321" s="84"/>
      <c r="J321" s="84"/>
      <c r="K321" s="84"/>
      <c r="L321" s="84"/>
      <c r="M321" s="84"/>
      <c r="N321" s="84"/>
      <c r="O321" s="84"/>
      <c r="P321" s="84"/>
      <c r="Q321" s="84"/>
      <c r="R321" s="84"/>
      <c r="S321" s="84"/>
      <c r="T321" s="84"/>
      <c r="U321" s="84"/>
      <c r="V321" s="84"/>
      <c r="W321" s="84"/>
      <c r="X321" s="84"/>
      <c r="Y321" s="84"/>
      <c r="Z321" s="84"/>
    </row>
    <row r="322" ht="15.75" customHeight="1">
      <c r="A322" s="84"/>
      <c r="B322" s="84"/>
      <c r="C322" s="84"/>
      <c r="D322" s="84"/>
      <c r="E322" s="84"/>
      <c r="F322" s="84"/>
      <c r="G322" s="84"/>
      <c r="H322" s="84"/>
      <c r="I322" s="84"/>
      <c r="J322" s="84"/>
      <c r="K322" s="84"/>
      <c r="L322" s="84"/>
      <c r="M322" s="84"/>
      <c r="N322" s="84"/>
      <c r="O322" s="84"/>
      <c r="P322" s="84"/>
      <c r="Q322" s="84"/>
      <c r="R322" s="84"/>
      <c r="S322" s="84"/>
      <c r="T322" s="84"/>
      <c r="U322" s="84"/>
      <c r="V322" s="84"/>
      <c r="W322" s="84"/>
      <c r="X322" s="84"/>
      <c r="Y322" s="84"/>
      <c r="Z322" s="84"/>
    </row>
    <row r="323" ht="15.75" customHeight="1">
      <c r="A323" s="84"/>
      <c r="B323" s="84"/>
      <c r="C323" s="84"/>
      <c r="D323" s="84"/>
      <c r="E323" s="84"/>
      <c r="F323" s="84"/>
      <c r="G323" s="84"/>
      <c r="H323" s="84"/>
      <c r="I323" s="84"/>
      <c r="J323" s="84"/>
      <c r="K323" s="84"/>
      <c r="L323" s="84"/>
      <c r="M323" s="84"/>
      <c r="N323" s="84"/>
      <c r="O323" s="84"/>
      <c r="P323" s="84"/>
      <c r="Q323" s="84"/>
      <c r="R323" s="84"/>
      <c r="S323" s="84"/>
      <c r="T323" s="84"/>
      <c r="U323" s="84"/>
      <c r="V323" s="84"/>
      <c r="W323" s="84"/>
      <c r="X323" s="84"/>
      <c r="Y323" s="84"/>
      <c r="Z323" s="84"/>
    </row>
    <row r="324" ht="15.75" customHeight="1">
      <c r="A324" s="84"/>
      <c r="B324" s="84"/>
      <c r="C324" s="84"/>
      <c r="D324" s="84"/>
      <c r="E324" s="84"/>
      <c r="F324" s="84"/>
      <c r="G324" s="84"/>
      <c r="H324" s="84"/>
      <c r="I324" s="84"/>
      <c r="J324" s="84"/>
      <c r="K324" s="84"/>
      <c r="L324" s="84"/>
      <c r="M324" s="84"/>
      <c r="N324" s="84"/>
      <c r="O324" s="84"/>
      <c r="P324" s="84"/>
      <c r="Q324" s="84"/>
      <c r="R324" s="84"/>
      <c r="S324" s="84"/>
      <c r="T324" s="84"/>
      <c r="U324" s="84"/>
      <c r="V324" s="84"/>
      <c r="W324" s="84"/>
      <c r="X324" s="84"/>
      <c r="Y324" s="84"/>
      <c r="Z324" s="84"/>
    </row>
    <row r="325" ht="15.75" customHeight="1">
      <c r="A325" s="84"/>
      <c r="B325" s="84"/>
      <c r="C325" s="84"/>
      <c r="D325" s="84"/>
      <c r="E325" s="84"/>
      <c r="F325" s="84"/>
      <c r="G325" s="84"/>
      <c r="H325" s="84"/>
      <c r="I325" s="84"/>
      <c r="J325" s="84"/>
      <c r="K325" s="84"/>
      <c r="L325" s="84"/>
      <c r="M325" s="84"/>
      <c r="N325" s="84"/>
      <c r="O325" s="84"/>
      <c r="P325" s="84"/>
      <c r="Q325" s="84"/>
      <c r="R325" s="84"/>
      <c r="S325" s="84"/>
      <c r="T325" s="84"/>
      <c r="U325" s="84"/>
      <c r="V325" s="84"/>
      <c r="W325" s="84"/>
      <c r="X325" s="84"/>
      <c r="Y325" s="84"/>
      <c r="Z325" s="84"/>
    </row>
    <row r="326" ht="15.75" customHeight="1">
      <c r="A326" s="84"/>
      <c r="B326" s="84"/>
      <c r="C326" s="84"/>
      <c r="D326" s="84"/>
      <c r="E326" s="84"/>
      <c r="F326" s="84"/>
      <c r="G326" s="84"/>
      <c r="H326" s="84"/>
      <c r="I326" s="84"/>
      <c r="J326" s="84"/>
      <c r="K326" s="84"/>
      <c r="L326" s="84"/>
      <c r="M326" s="84"/>
      <c r="N326" s="84"/>
      <c r="O326" s="84"/>
      <c r="P326" s="84"/>
      <c r="Q326" s="84"/>
      <c r="R326" s="84"/>
      <c r="S326" s="84"/>
      <c r="T326" s="84"/>
      <c r="U326" s="84"/>
      <c r="V326" s="84"/>
      <c r="W326" s="84"/>
      <c r="X326" s="84"/>
      <c r="Y326" s="84"/>
      <c r="Z326" s="84"/>
    </row>
    <row r="327" ht="15.75" customHeight="1">
      <c r="A327" s="84"/>
      <c r="B327" s="84"/>
      <c r="C327" s="84"/>
      <c r="D327" s="84"/>
      <c r="E327" s="84"/>
      <c r="F327" s="84"/>
      <c r="G327" s="84"/>
      <c r="H327" s="84"/>
      <c r="I327" s="84"/>
      <c r="J327" s="84"/>
      <c r="K327" s="84"/>
      <c r="L327" s="84"/>
      <c r="M327" s="84"/>
      <c r="N327" s="84"/>
      <c r="O327" s="84"/>
      <c r="P327" s="84"/>
      <c r="Q327" s="84"/>
      <c r="R327" s="84"/>
      <c r="S327" s="84"/>
      <c r="T327" s="84"/>
      <c r="U327" s="84"/>
      <c r="V327" s="84"/>
      <c r="W327" s="84"/>
      <c r="X327" s="84"/>
      <c r="Y327" s="84"/>
      <c r="Z327" s="84"/>
    </row>
    <row r="328" ht="15.75" customHeight="1">
      <c r="A328" s="84"/>
      <c r="B328" s="84"/>
      <c r="C328" s="84"/>
      <c r="D328" s="84"/>
      <c r="E328" s="84"/>
      <c r="F328" s="84"/>
      <c r="G328" s="84"/>
      <c r="H328" s="84"/>
      <c r="I328" s="84"/>
      <c r="J328" s="84"/>
      <c r="K328" s="84"/>
      <c r="L328" s="84"/>
      <c r="M328" s="84"/>
      <c r="N328" s="84"/>
      <c r="O328" s="84"/>
      <c r="P328" s="84"/>
      <c r="Q328" s="84"/>
      <c r="R328" s="84"/>
      <c r="S328" s="84"/>
      <c r="T328" s="84"/>
      <c r="U328" s="84"/>
      <c r="V328" s="84"/>
      <c r="W328" s="84"/>
      <c r="X328" s="84"/>
      <c r="Y328" s="84"/>
      <c r="Z328" s="84"/>
    </row>
    <row r="329" ht="15.75" customHeight="1">
      <c r="A329" s="84"/>
      <c r="B329" s="84"/>
      <c r="C329" s="84"/>
      <c r="D329" s="84"/>
      <c r="E329" s="84"/>
      <c r="F329" s="84"/>
      <c r="G329" s="84"/>
      <c r="H329" s="84"/>
      <c r="I329" s="84"/>
      <c r="J329" s="84"/>
      <c r="K329" s="84"/>
      <c r="L329" s="84"/>
      <c r="M329" s="84"/>
      <c r="N329" s="84"/>
      <c r="O329" s="84"/>
      <c r="P329" s="84"/>
      <c r="Q329" s="84"/>
      <c r="R329" s="84"/>
      <c r="S329" s="84"/>
      <c r="T329" s="84"/>
      <c r="U329" s="84"/>
      <c r="V329" s="84"/>
      <c r="W329" s="84"/>
      <c r="X329" s="84"/>
      <c r="Y329" s="84"/>
      <c r="Z329" s="84"/>
    </row>
    <row r="330" ht="15.75" customHeight="1">
      <c r="A330" s="84"/>
      <c r="B330" s="84"/>
      <c r="C330" s="84"/>
      <c r="D330" s="84"/>
      <c r="E330" s="84"/>
      <c r="F330" s="84"/>
      <c r="G330" s="84"/>
      <c r="H330" s="84"/>
      <c r="I330" s="84"/>
      <c r="J330" s="84"/>
      <c r="K330" s="84"/>
      <c r="L330" s="84"/>
      <c r="M330" s="84"/>
      <c r="N330" s="84"/>
      <c r="O330" s="84"/>
      <c r="P330" s="84"/>
      <c r="Q330" s="84"/>
      <c r="R330" s="84"/>
      <c r="S330" s="84"/>
      <c r="T330" s="84"/>
      <c r="U330" s="84"/>
      <c r="V330" s="84"/>
      <c r="W330" s="84"/>
      <c r="X330" s="84"/>
      <c r="Y330" s="84"/>
      <c r="Z330" s="84"/>
    </row>
    <row r="331" ht="15.75" customHeight="1">
      <c r="A331" s="84"/>
      <c r="B331" s="84"/>
      <c r="C331" s="84"/>
      <c r="D331" s="84"/>
      <c r="E331" s="84"/>
      <c r="F331" s="84"/>
      <c r="G331" s="84"/>
      <c r="H331" s="84"/>
      <c r="I331" s="84"/>
      <c r="J331" s="84"/>
      <c r="K331" s="84"/>
      <c r="L331" s="84"/>
      <c r="M331" s="84"/>
      <c r="N331" s="84"/>
      <c r="O331" s="84"/>
      <c r="P331" s="84"/>
      <c r="Q331" s="84"/>
      <c r="R331" s="84"/>
      <c r="S331" s="84"/>
      <c r="T331" s="84"/>
      <c r="U331" s="84"/>
      <c r="V331" s="84"/>
      <c r="W331" s="84"/>
      <c r="X331" s="84"/>
      <c r="Y331" s="84"/>
      <c r="Z331" s="84"/>
    </row>
    <row r="332" ht="15.75" customHeight="1">
      <c r="A332" s="84"/>
      <c r="B332" s="84"/>
      <c r="C332" s="84"/>
      <c r="D332" s="84"/>
      <c r="E332" s="84"/>
      <c r="F332" s="84"/>
      <c r="G332" s="84"/>
      <c r="H332" s="84"/>
      <c r="I332" s="84"/>
      <c r="J332" s="84"/>
      <c r="K332" s="84"/>
      <c r="L332" s="84"/>
      <c r="M332" s="84"/>
      <c r="N332" s="84"/>
      <c r="O332" s="84"/>
      <c r="P332" s="84"/>
      <c r="Q332" s="84"/>
      <c r="R332" s="84"/>
      <c r="S332" s="84"/>
      <c r="T332" s="84"/>
      <c r="U332" s="84"/>
      <c r="V332" s="84"/>
      <c r="W332" s="84"/>
      <c r="X332" s="84"/>
      <c r="Y332" s="84"/>
      <c r="Z332" s="84"/>
    </row>
    <row r="333" ht="15.75" customHeight="1">
      <c r="A333" s="84"/>
      <c r="B333" s="84"/>
      <c r="C333" s="84"/>
      <c r="D333" s="84"/>
      <c r="E333" s="84"/>
      <c r="F333" s="84"/>
      <c r="G333" s="84"/>
      <c r="H333" s="84"/>
      <c r="I333" s="84"/>
      <c r="J333" s="84"/>
      <c r="K333" s="84"/>
      <c r="L333" s="84"/>
      <c r="M333" s="84"/>
      <c r="N333" s="84"/>
      <c r="O333" s="84"/>
      <c r="P333" s="84"/>
      <c r="Q333" s="84"/>
      <c r="R333" s="84"/>
      <c r="S333" s="84"/>
      <c r="T333" s="84"/>
      <c r="U333" s="84"/>
      <c r="V333" s="84"/>
      <c r="W333" s="84"/>
      <c r="X333" s="84"/>
      <c r="Y333" s="84"/>
      <c r="Z333" s="84"/>
    </row>
    <row r="334" ht="15.75" customHeight="1">
      <c r="A334" s="84"/>
      <c r="B334" s="84"/>
      <c r="C334" s="84"/>
      <c r="D334" s="84"/>
      <c r="E334" s="84"/>
      <c r="F334" s="84"/>
      <c r="G334" s="84"/>
      <c r="H334" s="84"/>
      <c r="I334" s="84"/>
      <c r="J334" s="84"/>
      <c r="K334" s="84"/>
      <c r="L334" s="84"/>
      <c r="M334" s="84"/>
      <c r="N334" s="84"/>
      <c r="O334" s="84"/>
      <c r="P334" s="84"/>
      <c r="Q334" s="84"/>
      <c r="R334" s="84"/>
      <c r="S334" s="84"/>
      <c r="T334" s="84"/>
      <c r="U334" s="84"/>
      <c r="V334" s="84"/>
      <c r="W334" s="84"/>
      <c r="X334" s="84"/>
      <c r="Y334" s="84"/>
      <c r="Z334" s="84"/>
    </row>
    <row r="335" ht="15.75" customHeight="1">
      <c r="A335" s="84"/>
      <c r="B335" s="84"/>
      <c r="C335" s="84"/>
      <c r="D335" s="84"/>
      <c r="E335" s="84"/>
      <c r="F335" s="84"/>
      <c r="G335" s="84"/>
      <c r="H335" s="84"/>
      <c r="I335" s="84"/>
      <c r="J335" s="84"/>
      <c r="K335" s="84"/>
      <c r="L335" s="84"/>
      <c r="M335" s="84"/>
      <c r="N335" s="84"/>
      <c r="O335" s="84"/>
      <c r="P335" s="84"/>
      <c r="Q335" s="84"/>
      <c r="R335" s="84"/>
      <c r="S335" s="84"/>
      <c r="T335" s="84"/>
      <c r="U335" s="84"/>
      <c r="V335" s="84"/>
      <c r="W335" s="84"/>
      <c r="X335" s="84"/>
      <c r="Y335" s="84"/>
      <c r="Z335" s="84"/>
    </row>
    <row r="336" ht="15.75" customHeight="1">
      <c r="A336" s="84"/>
      <c r="B336" s="84"/>
      <c r="C336" s="84"/>
      <c r="D336" s="84"/>
      <c r="E336" s="84"/>
      <c r="F336" s="84"/>
      <c r="G336" s="84"/>
      <c r="H336" s="84"/>
      <c r="I336" s="84"/>
      <c r="J336" s="84"/>
      <c r="K336" s="84"/>
      <c r="L336" s="84"/>
      <c r="M336" s="84"/>
      <c r="N336" s="84"/>
      <c r="O336" s="84"/>
      <c r="P336" s="84"/>
      <c r="Q336" s="84"/>
      <c r="R336" s="84"/>
      <c r="S336" s="84"/>
      <c r="T336" s="84"/>
      <c r="U336" s="84"/>
      <c r="V336" s="84"/>
      <c r="W336" s="84"/>
      <c r="X336" s="84"/>
      <c r="Y336" s="84"/>
      <c r="Z336" s="84"/>
    </row>
    <row r="337" ht="15.75" customHeight="1">
      <c r="A337" s="84"/>
      <c r="B337" s="84"/>
      <c r="C337" s="84"/>
      <c r="D337" s="84"/>
      <c r="E337" s="84"/>
      <c r="F337" s="84"/>
      <c r="G337" s="84"/>
      <c r="H337" s="84"/>
      <c r="I337" s="84"/>
      <c r="J337" s="84"/>
      <c r="K337" s="84"/>
      <c r="L337" s="84"/>
      <c r="M337" s="84"/>
      <c r="N337" s="84"/>
      <c r="O337" s="84"/>
      <c r="P337" s="84"/>
      <c r="Q337" s="84"/>
      <c r="R337" s="84"/>
      <c r="S337" s="84"/>
      <c r="T337" s="84"/>
      <c r="U337" s="84"/>
      <c r="V337" s="84"/>
      <c r="W337" s="84"/>
      <c r="X337" s="84"/>
      <c r="Y337" s="84"/>
      <c r="Z337" s="84"/>
    </row>
    <row r="338" ht="15.75" customHeight="1">
      <c r="A338" s="84"/>
      <c r="B338" s="84"/>
      <c r="C338" s="84"/>
      <c r="D338" s="84"/>
      <c r="E338" s="84"/>
      <c r="F338" s="84"/>
      <c r="G338" s="84"/>
      <c r="H338" s="84"/>
      <c r="I338" s="84"/>
      <c r="J338" s="84"/>
      <c r="K338" s="84"/>
      <c r="L338" s="84"/>
      <c r="M338" s="84"/>
      <c r="N338" s="84"/>
      <c r="O338" s="84"/>
      <c r="P338" s="84"/>
      <c r="Q338" s="84"/>
      <c r="R338" s="84"/>
      <c r="S338" s="84"/>
      <c r="T338" s="84"/>
      <c r="U338" s="84"/>
      <c r="V338" s="84"/>
      <c r="W338" s="84"/>
      <c r="X338" s="84"/>
      <c r="Y338" s="84"/>
      <c r="Z338" s="84"/>
    </row>
    <row r="339" ht="15.75" customHeight="1">
      <c r="A339" s="84"/>
      <c r="B339" s="84"/>
      <c r="C339" s="84"/>
      <c r="D339" s="84"/>
      <c r="E339" s="84"/>
      <c r="F339" s="84"/>
      <c r="G339" s="84"/>
      <c r="H339" s="84"/>
      <c r="I339" s="84"/>
      <c r="J339" s="84"/>
      <c r="K339" s="84"/>
      <c r="L339" s="84"/>
      <c r="M339" s="84"/>
      <c r="N339" s="84"/>
      <c r="O339" s="84"/>
      <c r="P339" s="84"/>
      <c r="Q339" s="84"/>
      <c r="R339" s="84"/>
      <c r="S339" s="84"/>
      <c r="T339" s="84"/>
      <c r="U339" s="84"/>
      <c r="V339" s="84"/>
      <c r="W339" s="84"/>
      <c r="X339" s="84"/>
      <c r="Y339" s="84"/>
      <c r="Z339" s="84"/>
    </row>
    <row r="340" ht="15.75" customHeight="1">
      <c r="A340" s="84"/>
      <c r="B340" s="84"/>
      <c r="C340" s="84"/>
      <c r="D340" s="84"/>
      <c r="E340" s="84"/>
      <c r="F340" s="84"/>
      <c r="G340" s="84"/>
      <c r="H340" s="84"/>
      <c r="I340" s="84"/>
      <c r="J340" s="84"/>
      <c r="K340" s="84"/>
      <c r="L340" s="84"/>
      <c r="M340" s="84"/>
      <c r="N340" s="84"/>
      <c r="O340" s="84"/>
      <c r="P340" s="84"/>
      <c r="Q340" s="84"/>
      <c r="R340" s="84"/>
      <c r="S340" s="84"/>
      <c r="T340" s="84"/>
      <c r="U340" s="84"/>
      <c r="V340" s="84"/>
      <c r="W340" s="84"/>
      <c r="X340" s="84"/>
      <c r="Y340" s="84"/>
      <c r="Z340" s="84"/>
    </row>
    <row r="341" ht="15.75" customHeight="1">
      <c r="A341" s="84"/>
      <c r="B341" s="84"/>
      <c r="C341" s="84"/>
      <c r="D341" s="84"/>
      <c r="E341" s="84"/>
      <c r="F341" s="84"/>
      <c r="G341" s="84"/>
      <c r="H341" s="84"/>
      <c r="I341" s="84"/>
      <c r="J341" s="84"/>
      <c r="K341" s="84"/>
      <c r="L341" s="84"/>
      <c r="M341" s="84"/>
      <c r="N341" s="84"/>
      <c r="O341" s="84"/>
      <c r="P341" s="84"/>
      <c r="Q341" s="84"/>
      <c r="R341" s="84"/>
      <c r="S341" s="84"/>
      <c r="T341" s="84"/>
      <c r="U341" s="84"/>
      <c r="V341" s="84"/>
      <c r="W341" s="84"/>
      <c r="X341" s="84"/>
      <c r="Y341" s="84"/>
      <c r="Z341" s="84"/>
    </row>
    <row r="342" ht="15.75" customHeight="1">
      <c r="A342" s="84"/>
      <c r="B342" s="84"/>
      <c r="C342" s="84"/>
      <c r="D342" s="84"/>
      <c r="E342" s="84"/>
      <c r="F342" s="84"/>
      <c r="G342" s="84"/>
      <c r="H342" s="84"/>
      <c r="I342" s="84"/>
      <c r="J342" s="84"/>
      <c r="K342" s="84"/>
      <c r="L342" s="84"/>
      <c r="M342" s="84"/>
      <c r="N342" s="84"/>
      <c r="O342" s="84"/>
      <c r="P342" s="84"/>
      <c r="Q342" s="84"/>
      <c r="R342" s="84"/>
      <c r="S342" s="84"/>
      <c r="T342" s="84"/>
      <c r="U342" s="84"/>
      <c r="V342" s="84"/>
      <c r="W342" s="84"/>
      <c r="X342" s="84"/>
      <c r="Y342" s="84"/>
      <c r="Z342" s="84"/>
    </row>
    <row r="343" ht="15.75" customHeight="1">
      <c r="A343" s="84"/>
      <c r="B343" s="84"/>
      <c r="C343" s="84"/>
      <c r="D343" s="84"/>
      <c r="E343" s="84"/>
      <c r="F343" s="84"/>
      <c r="G343" s="84"/>
      <c r="H343" s="84"/>
      <c r="I343" s="84"/>
      <c r="J343" s="84"/>
      <c r="K343" s="84"/>
      <c r="L343" s="84"/>
      <c r="M343" s="84"/>
      <c r="N343" s="84"/>
      <c r="O343" s="84"/>
      <c r="P343" s="84"/>
      <c r="Q343" s="84"/>
      <c r="R343" s="84"/>
      <c r="S343" s="84"/>
      <c r="T343" s="84"/>
      <c r="U343" s="84"/>
      <c r="V343" s="84"/>
      <c r="W343" s="84"/>
      <c r="X343" s="84"/>
      <c r="Y343" s="84"/>
      <c r="Z343" s="84"/>
    </row>
    <row r="344" ht="15.75" customHeight="1">
      <c r="A344" s="84"/>
      <c r="B344" s="84"/>
      <c r="C344" s="84"/>
      <c r="D344" s="84"/>
      <c r="E344" s="84"/>
      <c r="F344" s="84"/>
      <c r="G344" s="84"/>
      <c r="H344" s="84"/>
      <c r="I344" s="84"/>
      <c r="J344" s="84"/>
      <c r="K344" s="84"/>
      <c r="L344" s="84"/>
      <c r="M344" s="84"/>
      <c r="N344" s="84"/>
      <c r="O344" s="84"/>
      <c r="P344" s="84"/>
      <c r="Q344" s="84"/>
      <c r="R344" s="84"/>
      <c r="S344" s="84"/>
      <c r="T344" s="84"/>
      <c r="U344" s="84"/>
      <c r="V344" s="84"/>
      <c r="W344" s="84"/>
      <c r="X344" s="84"/>
      <c r="Y344" s="84"/>
      <c r="Z344" s="84"/>
    </row>
    <row r="345" ht="15.75" customHeight="1">
      <c r="A345" s="84"/>
      <c r="B345" s="84"/>
      <c r="C345" s="84"/>
      <c r="D345" s="84"/>
      <c r="E345" s="84"/>
      <c r="F345" s="84"/>
      <c r="G345" s="84"/>
      <c r="H345" s="84"/>
      <c r="I345" s="84"/>
      <c r="J345" s="84"/>
      <c r="K345" s="84"/>
      <c r="L345" s="84"/>
      <c r="M345" s="84"/>
      <c r="N345" s="84"/>
      <c r="O345" s="84"/>
      <c r="P345" s="84"/>
      <c r="Q345" s="84"/>
      <c r="R345" s="84"/>
      <c r="S345" s="84"/>
      <c r="T345" s="84"/>
      <c r="U345" s="84"/>
      <c r="V345" s="84"/>
      <c r="W345" s="84"/>
      <c r="X345" s="84"/>
      <c r="Y345" s="84"/>
      <c r="Z345" s="84"/>
    </row>
    <row r="346" ht="15.75" customHeight="1">
      <c r="A346" s="84"/>
      <c r="B346" s="84"/>
      <c r="C346" s="84"/>
      <c r="D346" s="84"/>
      <c r="E346" s="84"/>
      <c r="F346" s="84"/>
      <c r="G346" s="84"/>
      <c r="H346" s="84"/>
      <c r="I346" s="84"/>
      <c r="J346" s="84"/>
      <c r="K346" s="84"/>
      <c r="L346" s="84"/>
      <c r="M346" s="84"/>
      <c r="N346" s="84"/>
      <c r="O346" s="84"/>
      <c r="P346" s="84"/>
      <c r="Q346" s="84"/>
      <c r="R346" s="84"/>
      <c r="S346" s="84"/>
      <c r="T346" s="84"/>
      <c r="U346" s="84"/>
      <c r="V346" s="84"/>
      <c r="W346" s="84"/>
      <c r="X346" s="84"/>
      <c r="Y346" s="84"/>
      <c r="Z346" s="84"/>
    </row>
    <row r="347" ht="15.75" customHeight="1">
      <c r="A347" s="84"/>
      <c r="B347" s="84"/>
      <c r="C347" s="84"/>
      <c r="D347" s="84"/>
      <c r="E347" s="84"/>
      <c r="F347" s="84"/>
      <c r="G347" s="84"/>
      <c r="H347" s="84"/>
      <c r="I347" s="84"/>
      <c r="J347" s="84"/>
      <c r="K347" s="84"/>
      <c r="L347" s="84"/>
      <c r="M347" s="84"/>
      <c r="N347" s="84"/>
      <c r="O347" s="84"/>
      <c r="P347" s="84"/>
      <c r="Q347" s="84"/>
      <c r="R347" s="84"/>
      <c r="S347" s="84"/>
      <c r="T347" s="84"/>
      <c r="U347" s="84"/>
      <c r="V347" s="84"/>
      <c r="W347" s="84"/>
      <c r="X347" s="84"/>
      <c r="Y347" s="84"/>
      <c r="Z347" s="84"/>
    </row>
    <row r="348" ht="15.75" customHeight="1">
      <c r="A348" s="84"/>
      <c r="B348" s="84"/>
      <c r="C348" s="84"/>
      <c r="D348" s="84"/>
      <c r="E348" s="84"/>
      <c r="F348" s="84"/>
      <c r="G348" s="84"/>
      <c r="H348" s="84"/>
      <c r="I348" s="84"/>
      <c r="J348" s="84"/>
      <c r="K348" s="84"/>
      <c r="L348" s="84"/>
      <c r="M348" s="84"/>
      <c r="N348" s="84"/>
      <c r="O348" s="84"/>
      <c r="P348" s="84"/>
      <c r="Q348" s="84"/>
      <c r="R348" s="84"/>
      <c r="S348" s="84"/>
      <c r="T348" s="84"/>
      <c r="U348" s="84"/>
      <c r="V348" s="84"/>
      <c r="W348" s="84"/>
      <c r="X348" s="84"/>
      <c r="Y348" s="84"/>
      <c r="Z348" s="84"/>
    </row>
    <row r="349" ht="15.75" customHeight="1">
      <c r="A349" s="84"/>
      <c r="B349" s="84"/>
      <c r="C349" s="84"/>
      <c r="D349" s="84"/>
      <c r="E349" s="84"/>
      <c r="F349" s="84"/>
      <c r="G349" s="84"/>
      <c r="H349" s="84"/>
      <c r="I349" s="84"/>
      <c r="J349" s="84"/>
      <c r="K349" s="84"/>
      <c r="L349" s="84"/>
      <c r="M349" s="84"/>
      <c r="N349" s="84"/>
      <c r="O349" s="84"/>
      <c r="P349" s="84"/>
      <c r="Q349" s="84"/>
      <c r="R349" s="84"/>
      <c r="S349" s="84"/>
      <c r="T349" s="84"/>
      <c r="U349" s="84"/>
      <c r="V349" s="84"/>
      <c r="W349" s="84"/>
      <c r="X349" s="84"/>
      <c r="Y349" s="84"/>
      <c r="Z349" s="84"/>
    </row>
    <row r="350" ht="15.75" customHeight="1">
      <c r="A350" s="84"/>
      <c r="B350" s="84"/>
      <c r="C350" s="84"/>
      <c r="D350" s="84"/>
      <c r="E350" s="84"/>
      <c r="F350" s="84"/>
      <c r="G350" s="84"/>
      <c r="H350" s="84"/>
      <c r="I350" s="84"/>
      <c r="J350" s="84"/>
      <c r="K350" s="84"/>
      <c r="L350" s="84"/>
      <c r="M350" s="84"/>
      <c r="N350" s="84"/>
      <c r="O350" s="84"/>
      <c r="P350" s="84"/>
      <c r="Q350" s="84"/>
      <c r="R350" s="84"/>
      <c r="S350" s="84"/>
      <c r="T350" s="84"/>
      <c r="U350" s="84"/>
      <c r="V350" s="84"/>
      <c r="W350" s="84"/>
      <c r="X350" s="84"/>
      <c r="Y350" s="84"/>
      <c r="Z350" s="84"/>
    </row>
    <row r="351" ht="15.75" customHeight="1">
      <c r="A351" s="84"/>
      <c r="B351" s="84"/>
      <c r="C351" s="84"/>
      <c r="D351" s="84"/>
      <c r="E351" s="84"/>
      <c r="F351" s="84"/>
      <c r="G351" s="84"/>
      <c r="H351" s="84"/>
      <c r="I351" s="84"/>
      <c r="J351" s="84"/>
      <c r="K351" s="84"/>
      <c r="L351" s="84"/>
      <c r="M351" s="84"/>
      <c r="N351" s="84"/>
      <c r="O351" s="84"/>
      <c r="P351" s="84"/>
      <c r="Q351" s="84"/>
      <c r="R351" s="84"/>
      <c r="S351" s="84"/>
      <c r="T351" s="84"/>
      <c r="U351" s="84"/>
      <c r="V351" s="84"/>
      <c r="W351" s="84"/>
      <c r="X351" s="84"/>
      <c r="Y351" s="84"/>
      <c r="Z351" s="84"/>
    </row>
    <row r="352" ht="15.75" customHeight="1">
      <c r="A352" s="84"/>
      <c r="B352" s="84"/>
      <c r="C352" s="84"/>
      <c r="D352" s="84"/>
      <c r="E352" s="84"/>
      <c r="F352" s="84"/>
      <c r="G352" s="84"/>
      <c r="H352" s="84"/>
      <c r="I352" s="84"/>
      <c r="J352" s="84"/>
      <c r="K352" s="84"/>
      <c r="L352" s="84"/>
      <c r="M352" s="84"/>
      <c r="N352" s="84"/>
      <c r="O352" s="84"/>
      <c r="P352" s="84"/>
      <c r="Q352" s="84"/>
      <c r="R352" s="84"/>
      <c r="S352" s="84"/>
      <c r="T352" s="84"/>
      <c r="U352" s="84"/>
      <c r="V352" s="84"/>
      <c r="W352" s="84"/>
      <c r="X352" s="84"/>
      <c r="Y352" s="84"/>
      <c r="Z352" s="84"/>
    </row>
    <row r="353" ht="15.75" customHeight="1">
      <c r="A353" s="84"/>
      <c r="B353" s="84"/>
      <c r="C353" s="84"/>
      <c r="D353" s="84"/>
      <c r="E353" s="84"/>
      <c r="F353" s="84"/>
      <c r="G353" s="84"/>
      <c r="H353" s="84"/>
      <c r="I353" s="84"/>
      <c r="J353" s="84"/>
      <c r="K353" s="84"/>
      <c r="L353" s="84"/>
      <c r="M353" s="84"/>
      <c r="N353" s="84"/>
      <c r="O353" s="84"/>
      <c r="P353" s="84"/>
      <c r="Q353" s="84"/>
      <c r="R353" s="84"/>
      <c r="S353" s="84"/>
      <c r="T353" s="84"/>
      <c r="U353" s="84"/>
      <c r="V353" s="84"/>
      <c r="W353" s="84"/>
      <c r="X353" s="84"/>
      <c r="Y353" s="84"/>
      <c r="Z353" s="84"/>
    </row>
    <row r="354" ht="15.75" customHeight="1">
      <c r="A354" s="84"/>
      <c r="B354" s="84"/>
      <c r="C354" s="84"/>
      <c r="D354" s="84"/>
      <c r="E354" s="84"/>
      <c r="F354" s="84"/>
      <c r="G354" s="84"/>
      <c r="H354" s="84"/>
      <c r="I354" s="84"/>
      <c r="J354" s="84"/>
      <c r="K354" s="84"/>
      <c r="L354" s="84"/>
      <c r="M354" s="84"/>
      <c r="N354" s="84"/>
      <c r="O354" s="84"/>
      <c r="P354" s="84"/>
      <c r="Q354" s="84"/>
      <c r="R354" s="84"/>
      <c r="S354" s="84"/>
      <c r="T354" s="84"/>
      <c r="U354" s="84"/>
      <c r="V354" s="84"/>
      <c r="W354" s="84"/>
      <c r="X354" s="84"/>
      <c r="Y354" s="84"/>
      <c r="Z354" s="84"/>
    </row>
    <row r="355" ht="15.75" customHeight="1">
      <c r="A355" s="84"/>
      <c r="B355" s="84"/>
      <c r="C355" s="84"/>
      <c r="D355" s="84"/>
      <c r="E355" s="84"/>
      <c r="F355" s="84"/>
      <c r="G355" s="84"/>
      <c r="H355" s="84"/>
      <c r="I355" s="84"/>
      <c r="J355" s="84"/>
      <c r="K355" s="84"/>
      <c r="L355" s="84"/>
      <c r="M355" s="84"/>
      <c r="N355" s="84"/>
      <c r="O355" s="84"/>
      <c r="P355" s="84"/>
      <c r="Q355" s="84"/>
      <c r="R355" s="84"/>
      <c r="S355" s="84"/>
      <c r="T355" s="84"/>
      <c r="U355" s="84"/>
      <c r="V355" s="84"/>
      <c r="W355" s="84"/>
      <c r="X355" s="84"/>
      <c r="Y355" s="84"/>
      <c r="Z355" s="84"/>
    </row>
    <row r="356" ht="15.75" customHeight="1">
      <c r="A356" s="84"/>
      <c r="B356" s="84"/>
      <c r="C356" s="84"/>
      <c r="D356" s="84"/>
      <c r="E356" s="84"/>
      <c r="F356" s="84"/>
      <c r="G356" s="84"/>
      <c r="H356" s="84"/>
      <c r="I356" s="84"/>
      <c r="J356" s="84"/>
      <c r="K356" s="84"/>
      <c r="L356" s="84"/>
      <c r="M356" s="84"/>
      <c r="N356" s="84"/>
      <c r="O356" s="84"/>
      <c r="P356" s="84"/>
      <c r="Q356" s="84"/>
      <c r="R356" s="84"/>
      <c r="S356" s="84"/>
      <c r="T356" s="84"/>
      <c r="U356" s="84"/>
      <c r="V356" s="84"/>
      <c r="W356" s="84"/>
      <c r="X356" s="84"/>
      <c r="Y356" s="84"/>
      <c r="Z356" s="84"/>
    </row>
    <row r="357" ht="15.75" customHeight="1">
      <c r="A357" s="84"/>
      <c r="B357" s="84"/>
      <c r="C357" s="84"/>
      <c r="D357" s="84"/>
      <c r="E357" s="84"/>
      <c r="F357" s="84"/>
      <c r="G357" s="84"/>
      <c r="H357" s="84"/>
      <c r="I357" s="84"/>
      <c r="J357" s="84"/>
      <c r="K357" s="84"/>
      <c r="L357" s="84"/>
      <c r="M357" s="84"/>
      <c r="N357" s="84"/>
      <c r="O357" s="84"/>
      <c r="P357" s="84"/>
      <c r="Q357" s="84"/>
      <c r="R357" s="84"/>
      <c r="S357" s="84"/>
      <c r="T357" s="84"/>
      <c r="U357" s="84"/>
      <c r="V357" s="84"/>
      <c r="W357" s="84"/>
      <c r="X357" s="84"/>
      <c r="Y357" s="84"/>
      <c r="Z357" s="84"/>
    </row>
    <row r="358" ht="15.75" customHeight="1">
      <c r="A358" s="84"/>
      <c r="B358" s="84"/>
      <c r="C358" s="84"/>
      <c r="D358" s="84"/>
      <c r="E358" s="84"/>
      <c r="F358" s="84"/>
      <c r="G358" s="84"/>
      <c r="H358" s="84"/>
      <c r="I358" s="84"/>
      <c r="J358" s="84"/>
      <c r="K358" s="84"/>
      <c r="L358" s="84"/>
      <c r="M358" s="84"/>
      <c r="N358" s="84"/>
      <c r="O358" s="84"/>
      <c r="P358" s="84"/>
      <c r="Q358" s="84"/>
      <c r="R358" s="84"/>
      <c r="S358" s="84"/>
      <c r="T358" s="84"/>
      <c r="U358" s="84"/>
      <c r="V358" s="84"/>
      <c r="W358" s="84"/>
      <c r="X358" s="84"/>
      <c r="Y358" s="84"/>
      <c r="Z358" s="84"/>
    </row>
    <row r="359" ht="15.75" customHeight="1">
      <c r="A359" s="84"/>
      <c r="B359" s="84"/>
      <c r="C359" s="84"/>
      <c r="D359" s="84"/>
      <c r="E359" s="84"/>
      <c r="F359" s="84"/>
      <c r="G359" s="84"/>
      <c r="H359" s="84"/>
      <c r="I359" s="84"/>
      <c r="J359" s="84"/>
      <c r="K359" s="84"/>
      <c r="L359" s="84"/>
      <c r="M359" s="84"/>
      <c r="N359" s="84"/>
      <c r="O359" s="84"/>
      <c r="P359" s="84"/>
      <c r="Q359" s="84"/>
      <c r="R359" s="84"/>
      <c r="S359" s="84"/>
      <c r="T359" s="84"/>
      <c r="U359" s="84"/>
      <c r="V359" s="84"/>
      <c r="W359" s="84"/>
      <c r="X359" s="84"/>
      <c r="Y359" s="84"/>
      <c r="Z359" s="84"/>
    </row>
    <row r="360" ht="15.75" customHeight="1">
      <c r="A360" s="84"/>
      <c r="B360" s="84"/>
      <c r="C360" s="84"/>
      <c r="D360" s="84"/>
      <c r="E360" s="84"/>
      <c r="F360" s="84"/>
      <c r="G360" s="84"/>
      <c r="H360" s="84"/>
      <c r="I360" s="84"/>
      <c r="J360" s="84"/>
      <c r="K360" s="84"/>
      <c r="L360" s="84"/>
      <c r="M360" s="84"/>
      <c r="N360" s="84"/>
      <c r="O360" s="84"/>
      <c r="P360" s="84"/>
      <c r="Q360" s="84"/>
      <c r="R360" s="84"/>
      <c r="S360" s="84"/>
      <c r="T360" s="84"/>
      <c r="U360" s="84"/>
      <c r="V360" s="84"/>
      <c r="W360" s="84"/>
      <c r="X360" s="84"/>
      <c r="Y360" s="84"/>
      <c r="Z360" s="84"/>
    </row>
    <row r="361" ht="15.75" customHeight="1">
      <c r="A361" s="84"/>
      <c r="B361" s="84"/>
      <c r="C361" s="84"/>
      <c r="D361" s="84"/>
      <c r="E361" s="84"/>
      <c r="F361" s="84"/>
      <c r="G361" s="84"/>
      <c r="H361" s="84"/>
      <c r="I361" s="84"/>
      <c r="J361" s="84"/>
      <c r="K361" s="84"/>
      <c r="L361" s="84"/>
      <c r="M361" s="84"/>
      <c r="N361" s="84"/>
      <c r="O361" s="84"/>
      <c r="P361" s="84"/>
      <c r="Q361" s="84"/>
      <c r="R361" s="84"/>
      <c r="S361" s="84"/>
      <c r="T361" s="84"/>
      <c r="U361" s="84"/>
      <c r="V361" s="84"/>
      <c r="W361" s="84"/>
      <c r="X361" s="84"/>
      <c r="Y361" s="84"/>
      <c r="Z361" s="84"/>
    </row>
    <row r="362" ht="15.75" customHeight="1">
      <c r="A362" s="84"/>
      <c r="B362" s="84"/>
      <c r="C362" s="84"/>
      <c r="D362" s="84"/>
      <c r="E362" s="84"/>
      <c r="F362" s="84"/>
      <c r="G362" s="84"/>
      <c r="H362" s="84"/>
      <c r="I362" s="84"/>
      <c r="J362" s="84"/>
      <c r="K362" s="84"/>
      <c r="L362" s="84"/>
      <c r="M362" s="84"/>
      <c r="N362" s="84"/>
      <c r="O362" s="84"/>
      <c r="P362" s="84"/>
      <c r="Q362" s="84"/>
      <c r="R362" s="84"/>
      <c r="S362" s="84"/>
      <c r="T362" s="84"/>
      <c r="U362" s="84"/>
      <c r="V362" s="84"/>
      <c r="W362" s="84"/>
      <c r="X362" s="84"/>
      <c r="Y362" s="84"/>
      <c r="Z362" s="84"/>
    </row>
    <row r="363" ht="15.75" customHeight="1">
      <c r="A363" s="84"/>
      <c r="B363" s="84"/>
      <c r="C363" s="84"/>
      <c r="D363" s="84"/>
      <c r="E363" s="84"/>
      <c r="F363" s="84"/>
      <c r="G363" s="84"/>
      <c r="H363" s="84"/>
      <c r="I363" s="84"/>
      <c r="J363" s="84"/>
      <c r="K363" s="84"/>
      <c r="L363" s="84"/>
      <c r="M363" s="84"/>
      <c r="N363" s="84"/>
      <c r="O363" s="84"/>
      <c r="P363" s="84"/>
      <c r="Q363" s="84"/>
      <c r="R363" s="84"/>
      <c r="S363" s="84"/>
      <c r="T363" s="84"/>
      <c r="U363" s="84"/>
      <c r="V363" s="84"/>
      <c r="W363" s="84"/>
      <c r="X363" s="84"/>
      <c r="Y363" s="84"/>
      <c r="Z363" s="84"/>
    </row>
    <row r="364" ht="15.75" customHeight="1">
      <c r="A364" s="84"/>
      <c r="B364" s="84"/>
      <c r="C364" s="84"/>
      <c r="D364" s="84"/>
      <c r="E364" s="84"/>
      <c r="F364" s="84"/>
      <c r="G364" s="84"/>
      <c r="H364" s="84"/>
      <c r="I364" s="84"/>
      <c r="J364" s="84"/>
      <c r="K364" s="84"/>
      <c r="L364" s="84"/>
      <c r="M364" s="84"/>
      <c r="N364" s="84"/>
      <c r="O364" s="84"/>
      <c r="P364" s="84"/>
      <c r="Q364" s="84"/>
      <c r="R364" s="84"/>
      <c r="S364" s="84"/>
      <c r="T364" s="84"/>
      <c r="U364" s="84"/>
      <c r="V364" s="84"/>
      <c r="W364" s="84"/>
      <c r="X364" s="84"/>
      <c r="Y364" s="84"/>
      <c r="Z364" s="84"/>
    </row>
    <row r="365" ht="15.75" customHeight="1">
      <c r="A365" s="84"/>
      <c r="B365" s="84"/>
      <c r="C365" s="84"/>
      <c r="D365" s="84"/>
      <c r="E365" s="84"/>
      <c r="F365" s="84"/>
      <c r="G365" s="84"/>
      <c r="H365" s="84"/>
      <c r="I365" s="84"/>
      <c r="J365" s="84"/>
      <c r="K365" s="84"/>
      <c r="L365" s="84"/>
      <c r="M365" s="84"/>
      <c r="N365" s="84"/>
      <c r="O365" s="84"/>
      <c r="P365" s="84"/>
      <c r="Q365" s="84"/>
      <c r="R365" s="84"/>
      <c r="S365" s="84"/>
      <c r="T365" s="84"/>
      <c r="U365" s="84"/>
      <c r="V365" s="84"/>
      <c r="W365" s="84"/>
      <c r="X365" s="84"/>
      <c r="Y365" s="84"/>
      <c r="Z365" s="84"/>
    </row>
    <row r="366" ht="15.75" customHeight="1">
      <c r="A366" s="84"/>
      <c r="B366" s="84"/>
      <c r="C366" s="84"/>
      <c r="D366" s="84"/>
      <c r="E366" s="84"/>
      <c r="F366" s="84"/>
      <c r="G366" s="84"/>
      <c r="H366" s="84"/>
      <c r="I366" s="84"/>
      <c r="J366" s="84"/>
      <c r="K366" s="84"/>
      <c r="L366" s="84"/>
      <c r="M366" s="84"/>
      <c r="N366" s="84"/>
      <c r="O366" s="84"/>
      <c r="P366" s="84"/>
      <c r="Q366" s="84"/>
      <c r="R366" s="84"/>
      <c r="S366" s="84"/>
      <c r="T366" s="84"/>
      <c r="U366" s="84"/>
      <c r="V366" s="84"/>
      <c r="W366" s="84"/>
      <c r="X366" s="84"/>
      <c r="Y366" s="84"/>
      <c r="Z366" s="84"/>
    </row>
    <row r="367" ht="15.75" customHeight="1">
      <c r="A367" s="84"/>
      <c r="B367" s="84"/>
      <c r="C367" s="84"/>
      <c r="D367" s="84"/>
      <c r="E367" s="84"/>
      <c r="F367" s="84"/>
      <c r="G367" s="84"/>
      <c r="H367" s="84"/>
      <c r="I367" s="84"/>
      <c r="J367" s="84"/>
      <c r="K367" s="84"/>
      <c r="L367" s="84"/>
      <c r="M367" s="84"/>
      <c r="N367" s="84"/>
      <c r="O367" s="84"/>
      <c r="P367" s="84"/>
      <c r="Q367" s="84"/>
      <c r="R367" s="84"/>
      <c r="S367" s="84"/>
      <c r="T367" s="84"/>
      <c r="U367" s="84"/>
      <c r="V367" s="84"/>
      <c r="W367" s="84"/>
      <c r="X367" s="84"/>
      <c r="Y367" s="84"/>
      <c r="Z367" s="84"/>
    </row>
    <row r="368" ht="15.75" customHeight="1">
      <c r="A368" s="84"/>
      <c r="B368" s="84"/>
      <c r="C368" s="84"/>
      <c r="D368" s="84"/>
      <c r="E368" s="84"/>
      <c r="F368" s="84"/>
      <c r="G368" s="84"/>
      <c r="H368" s="84"/>
      <c r="I368" s="84"/>
      <c r="J368" s="84"/>
      <c r="K368" s="84"/>
      <c r="L368" s="84"/>
      <c r="M368" s="84"/>
      <c r="N368" s="84"/>
      <c r="O368" s="84"/>
      <c r="P368" s="84"/>
      <c r="Q368" s="84"/>
      <c r="R368" s="84"/>
      <c r="S368" s="84"/>
      <c r="T368" s="84"/>
      <c r="U368" s="84"/>
      <c r="V368" s="84"/>
      <c r="W368" s="84"/>
      <c r="X368" s="84"/>
      <c r="Y368" s="84"/>
      <c r="Z368" s="84"/>
    </row>
    <row r="369" ht="15.75" customHeight="1">
      <c r="A369" s="84"/>
      <c r="B369" s="84"/>
      <c r="C369" s="84"/>
      <c r="D369" s="84"/>
      <c r="E369" s="84"/>
      <c r="F369" s="84"/>
      <c r="G369" s="84"/>
      <c r="H369" s="84"/>
      <c r="I369" s="84"/>
      <c r="J369" s="84"/>
      <c r="K369" s="84"/>
      <c r="L369" s="84"/>
      <c r="M369" s="84"/>
      <c r="N369" s="84"/>
      <c r="O369" s="84"/>
      <c r="P369" s="84"/>
      <c r="Q369" s="84"/>
      <c r="R369" s="84"/>
      <c r="S369" s="84"/>
      <c r="T369" s="84"/>
      <c r="U369" s="84"/>
      <c r="V369" s="84"/>
      <c r="W369" s="84"/>
      <c r="X369" s="84"/>
      <c r="Y369" s="84"/>
      <c r="Z369" s="84"/>
    </row>
    <row r="370" ht="15.75" customHeight="1">
      <c r="A370" s="84"/>
      <c r="B370" s="84"/>
      <c r="C370" s="84"/>
      <c r="D370" s="84"/>
      <c r="E370" s="84"/>
      <c r="F370" s="84"/>
      <c r="G370" s="84"/>
      <c r="H370" s="84"/>
      <c r="I370" s="84"/>
      <c r="J370" s="84"/>
      <c r="K370" s="84"/>
      <c r="L370" s="84"/>
      <c r="M370" s="84"/>
      <c r="N370" s="84"/>
      <c r="O370" s="84"/>
      <c r="P370" s="84"/>
      <c r="Q370" s="84"/>
      <c r="R370" s="84"/>
      <c r="S370" s="84"/>
      <c r="T370" s="84"/>
      <c r="U370" s="84"/>
      <c r="V370" s="84"/>
      <c r="W370" s="84"/>
      <c r="X370" s="84"/>
      <c r="Y370" s="84"/>
      <c r="Z370" s="84"/>
    </row>
    <row r="371" ht="15.75" customHeight="1">
      <c r="A371" s="84"/>
      <c r="B371" s="84"/>
      <c r="C371" s="84"/>
      <c r="D371" s="84"/>
      <c r="E371" s="84"/>
      <c r="F371" s="84"/>
      <c r="G371" s="84"/>
      <c r="H371" s="84"/>
      <c r="I371" s="84"/>
      <c r="J371" s="84"/>
      <c r="K371" s="84"/>
      <c r="L371" s="84"/>
      <c r="M371" s="84"/>
      <c r="N371" s="84"/>
      <c r="O371" s="84"/>
      <c r="P371" s="84"/>
      <c r="Q371" s="84"/>
      <c r="R371" s="84"/>
      <c r="S371" s="84"/>
      <c r="T371" s="84"/>
      <c r="U371" s="84"/>
      <c r="V371" s="84"/>
      <c r="W371" s="84"/>
      <c r="X371" s="84"/>
      <c r="Y371" s="84"/>
      <c r="Z371" s="84"/>
    </row>
    <row r="372" ht="15.75" customHeight="1">
      <c r="A372" s="84"/>
      <c r="B372" s="84"/>
      <c r="C372" s="84"/>
      <c r="D372" s="84"/>
      <c r="E372" s="84"/>
      <c r="F372" s="84"/>
      <c r="G372" s="84"/>
      <c r="H372" s="84"/>
      <c r="I372" s="84"/>
      <c r="J372" s="84"/>
      <c r="K372" s="84"/>
      <c r="L372" s="84"/>
      <c r="M372" s="84"/>
      <c r="N372" s="84"/>
      <c r="O372" s="84"/>
      <c r="P372" s="84"/>
      <c r="Q372" s="84"/>
      <c r="R372" s="84"/>
      <c r="S372" s="84"/>
      <c r="T372" s="84"/>
      <c r="U372" s="84"/>
      <c r="V372" s="84"/>
      <c r="W372" s="84"/>
      <c r="X372" s="84"/>
      <c r="Y372" s="84"/>
      <c r="Z372" s="84"/>
    </row>
    <row r="373" ht="15.75" customHeight="1">
      <c r="A373" s="84"/>
      <c r="B373" s="84"/>
      <c r="C373" s="84"/>
      <c r="D373" s="84"/>
      <c r="E373" s="84"/>
      <c r="F373" s="84"/>
      <c r="G373" s="84"/>
      <c r="H373" s="84"/>
      <c r="I373" s="84"/>
      <c r="J373" s="84"/>
      <c r="K373" s="84"/>
      <c r="L373" s="84"/>
      <c r="M373" s="84"/>
      <c r="N373" s="84"/>
      <c r="O373" s="84"/>
      <c r="P373" s="84"/>
      <c r="Q373" s="84"/>
      <c r="R373" s="84"/>
      <c r="S373" s="84"/>
      <c r="T373" s="84"/>
      <c r="U373" s="84"/>
      <c r="V373" s="84"/>
      <c r="W373" s="84"/>
      <c r="X373" s="84"/>
      <c r="Y373" s="84"/>
      <c r="Z373" s="84"/>
    </row>
    <row r="374" ht="15.75" customHeight="1">
      <c r="A374" s="84"/>
      <c r="B374" s="84"/>
      <c r="C374" s="84"/>
      <c r="D374" s="84"/>
      <c r="E374" s="84"/>
      <c r="F374" s="84"/>
      <c r="G374" s="84"/>
      <c r="H374" s="84"/>
      <c r="I374" s="84"/>
      <c r="J374" s="84"/>
      <c r="K374" s="84"/>
      <c r="L374" s="84"/>
      <c r="M374" s="84"/>
      <c r="N374" s="84"/>
      <c r="O374" s="84"/>
      <c r="P374" s="84"/>
      <c r="Q374" s="84"/>
      <c r="R374" s="84"/>
      <c r="S374" s="84"/>
      <c r="T374" s="84"/>
      <c r="U374" s="84"/>
      <c r="V374" s="84"/>
      <c r="W374" s="84"/>
      <c r="X374" s="84"/>
      <c r="Y374" s="84"/>
      <c r="Z374" s="84"/>
    </row>
    <row r="375" ht="15.75" customHeight="1">
      <c r="A375" s="84"/>
      <c r="B375" s="84"/>
      <c r="C375" s="84"/>
      <c r="D375" s="84"/>
      <c r="E375" s="84"/>
      <c r="F375" s="84"/>
      <c r="G375" s="84"/>
      <c r="H375" s="84"/>
      <c r="I375" s="84"/>
      <c r="J375" s="84"/>
      <c r="K375" s="84"/>
      <c r="L375" s="84"/>
      <c r="M375" s="84"/>
      <c r="N375" s="84"/>
      <c r="O375" s="84"/>
      <c r="P375" s="84"/>
      <c r="Q375" s="84"/>
      <c r="R375" s="84"/>
      <c r="S375" s="84"/>
      <c r="T375" s="84"/>
      <c r="U375" s="84"/>
      <c r="V375" s="84"/>
      <c r="W375" s="84"/>
      <c r="X375" s="84"/>
      <c r="Y375" s="84"/>
      <c r="Z375" s="84"/>
    </row>
    <row r="376" ht="15.75" customHeight="1">
      <c r="A376" s="84"/>
      <c r="B376" s="84"/>
      <c r="C376" s="84"/>
      <c r="D376" s="84"/>
      <c r="E376" s="84"/>
      <c r="F376" s="84"/>
      <c r="G376" s="84"/>
      <c r="H376" s="84"/>
      <c r="I376" s="84"/>
      <c r="J376" s="84"/>
      <c r="K376" s="84"/>
      <c r="L376" s="84"/>
      <c r="M376" s="84"/>
      <c r="N376" s="84"/>
      <c r="O376" s="84"/>
      <c r="P376" s="84"/>
      <c r="Q376" s="84"/>
      <c r="R376" s="84"/>
      <c r="S376" s="84"/>
      <c r="T376" s="84"/>
      <c r="U376" s="84"/>
      <c r="V376" s="84"/>
      <c r="W376" s="84"/>
      <c r="X376" s="84"/>
      <c r="Y376" s="84"/>
      <c r="Z376" s="84"/>
    </row>
    <row r="377" ht="15.75" customHeight="1">
      <c r="A377" s="84"/>
      <c r="B377" s="84"/>
      <c r="C377" s="84"/>
      <c r="D377" s="84"/>
      <c r="E377" s="84"/>
      <c r="F377" s="84"/>
      <c r="G377" s="84"/>
      <c r="H377" s="84"/>
      <c r="I377" s="84"/>
      <c r="J377" s="84"/>
      <c r="K377" s="84"/>
      <c r="L377" s="84"/>
      <c r="M377" s="84"/>
      <c r="N377" s="84"/>
      <c r="O377" s="84"/>
      <c r="P377" s="84"/>
      <c r="Q377" s="84"/>
      <c r="R377" s="84"/>
      <c r="S377" s="84"/>
      <c r="T377" s="84"/>
      <c r="U377" s="84"/>
      <c r="V377" s="84"/>
      <c r="W377" s="84"/>
      <c r="X377" s="84"/>
      <c r="Y377" s="84"/>
      <c r="Z377" s="84"/>
    </row>
    <row r="378" ht="15.75" customHeight="1">
      <c r="A378" s="84"/>
      <c r="B378" s="84"/>
      <c r="C378" s="84"/>
      <c r="D378" s="84"/>
      <c r="E378" s="84"/>
      <c r="F378" s="84"/>
      <c r="G378" s="84"/>
      <c r="H378" s="84"/>
      <c r="I378" s="84"/>
      <c r="J378" s="84"/>
      <c r="K378" s="84"/>
      <c r="L378" s="84"/>
      <c r="M378" s="84"/>
      <c r="N378" s="84"/>
      <c r="O378" s="84"/>
      <c r="P378" s="84"/>
      <c r="Q378" s="84"/>
      <c r="R378" s="84"/>
      <c r="S378" s="84"/>
      <c r="T378" s="84"/>
      <c r="U378" s="84"/>
      <c r="V378" s="84"/>
      <c r="W378" s="84"/>
      <c r="X378" s="84"/>
      <c r="Y378" s="84"/>
      <c r="Z378" s="84"/>
    </row>
    <row r="379" ht="15.75" customHeight="1">
      <c r="A379" s="84"/>
      <c r="B379" s="84"/>
      <c r="C379" s="84"/>
      <c r="D379" s="84"/>
      <c r="E379" s="84"/>
      <c r="F379" s="84"/>
      <c r="G379" s="84"/>
      <c r="H379" s="84"/>
      <c r="I379" s="84"/>
      <c r="J379" s="84"/>
      <c r="K379" s="84"/>
      <c r="L379" s="84"/>
      <c r="M379" s="84"/>
      <c r="N379" s="84"/>
      <c r="O379" s="84"/>
      <c r="P379" s="84"/>
      <c r="Q379" s="84"/>
      <c r="R379" s="84"/>
      <c r="S379" s="84"/>
      <c r="T379" s="84"/>
      <c r="U379" s="84"/>
      <c r="V379" s="84"/>
      <c r="W379" s="84"/>
      <c r="X379" s="84"/>
      <c r="Y379" s="84"/>
      <c r="Z379" s="84"/>
    </row>
    <row r="380" ht="15.75" customHeight="1">
      <c r="A380" s="84"/>
      <c r="B380" s="84"/>
      <c r="C380" s="84"/>
      <c r="D380" s="84"/>
      <c r="E380" s="84"/>
      <c r="F380" s="84"/>
      <c r="G380" s="84"/>
      <c r="H380" s="84"/>
      <c r="I380" s="84"/>
      <c r="J380" s="84"/>
      <c r="K380" s="84"/>
      <c r="L380" s="84"/>
      <c r="M380" s="84"/>
      <c r="N380" s="84"/>
      <c r="O380" s="84"/>
      <c r="P380" s="84"/>
      <c r="Q380" s="84"/>
      <c r="R380" s="84"/>
      <c r="S380" s="84"/>
      <c r="T380" s="84"/>
      <c r="U380" s="84"/>
      <c r="V380" s="84"/>
      <c r="W380" s="84"/>
      <c r="X380" s="84"/>
      <c r="Y380" s="84"/>
      <c r="Z380" s="84"/>
    </row>
    <row r="381" ht="15.75" customHeight="1">
      <c r="A381" s="84"/>
      <c r="B381" s="84"/>
      <c r="C381" s="84"/>
      <c r="D381" s="84"/>
      <c r="E381" s="84"/>
      <c r="F381" s="84"/>
      <c r="G381" s="84"/>
      <c r="H381" s="84"/>
      <c r="I381" s="84"/>
      <c r="J381" s="84"/>
      <c r="K381" s="84"/>
      <c r="L381" s="84"/>
      <c r="M381" s="84"/>
      <c r="N381" s="84"/>
      <c r="O381" s="84"/>
      <c r="P381" s="84"/>
      <c r="Q381" s="84"/>
      <c r="R381" s="84"/>
      <c r="S381" s="84"/>
      <c r="T381" s="84"/>
      <c r="U381" s="84"/>
      <c r="V381" s="84"/>
      <c r="W381" s="84"/>
      <c r="X381" s="84"/>
      <c r="Y381" s="84"/>
      <c r="Z381" s="84"/>
    </row>
    <row r="382" ht="15.75" customHeight="1">
      <c r="A382" s="84"/>
      <c r="B382" s="84"/>
      <c r="C382" s="84"/>
      <c r="D382" s="84"/>
      <c r="E382" s="84"/>
      <c r="F382" s="84"/>
      <c r="G382" s="84"/>
      <c r="H382" s="84"/>
      <c r="I382" s="84"/>
      <c r="J382" s="84"/>
      <c r="K382" s="84"/>
      <c r="L382" s="84"/>
      <c r="M382" s="84"/>
      <c r="N382" s="84"/>
      <c r="O382" s="84"/>
      <c r="P382" s="84"/>
      <c r="Q382" s="84"/>
      <c r="R382" s="84"/>
      <c r="S382" s="84"/>
      <c r="T382" s="84"/>
      <c r="U382" s="84"/>
      <c r="V382" s="84"/>
      <c r="W382" s="84"/>
      <c r="X382" s="84"/>
      <c r="Y382" s="84"/>
      <c r="Z382" s="84"/>
    </row>
    <row r="383" ht="15.75" customHeight="1">
      <c r="A383" s="84"/>
      <c r="B383" s="84"/>
      <c r="C383" s="84"/>
      <c r="D383" s="84"/>
      <c r="E383" s="84"/>
      <c r="F383" s="84"/>
      <c r="G383" s="84"/>
      <c r="H383" s="84"/>
      <c r="I383" s="84"/>
      <c r="J383" s="84"/>
      <c r="K383" s="84"/>
      <c r="L383" s="84"/>
      <c r="M383" s="84"/>
      <c r="N383" s="84"/>
      <c r="O383" s="84"/>
      <c r="P383" s="84"/>
      <c r="Q383" s="84"/>
      <c r="R383" s="84"/>
      <c r="S383" s="84"/>
      <c r="T383" s="84"/>
      <c r="U383" s="84"/>
      <c r="V383" s="84"/>
      <c r="W383" s="84"/>
      <c r="X383" s="84"/>
      <c r="Y383" s="84"/>
      <c r="Z383" s="84"/>
    </row>
    <row r="384" ht="15.75" customHeight="1">
      <c r="A384" s="84"/>
      <c r="B384" s="84"/>
      <c r="C384" s="84"/>
      <c r="D384" s="84"/>
      <c r="E384" s="84"/>
      <c r="F384" s="84"/>
      <c r="G384" s="84"/>
      <c r="H384" s="84"/>
      <c r="I384" s="84"/>
      <c r="J384" s="84"/>
      <c r="K384" s="84"/>
      <c r="L384" s="84"/>
      <c r="M384" s="84"/>
      <c r="N384" s="84"/>
      <c r="O384" s="84"/>
      <c r="P384" s="84"/>
      <c r="Q384" s="84"/>
      <c r="R384" s="84"/>
      <c r="S384" s="84"/>
      <c r="T384" s="84"/>
      <c r="U384" s="84"/>
      <c r="V384" s="84"/>
      <c r="W384" s="84"/>
      <c r="X384" s="84"/>
      <c r="Y384" s="84"/>
      <c r="Z384" s="84"/>
    </row>
    <row r="385" ht="15.75" customHeight="1">
      <c r="A385" s="84"/>
      <c r="B385" s="84"/>
      <c r="C385" s="84"/>
      <c r="D385" s="84"/>
      <c r="E385" s="84"/>
      <c r="F385" s="84"/>
      <c r="G385" s="84"/>
      <c r="H385" s="84"/>
      <c r="I385" s="84"/>
      <c r="J385" s="84"/>
      <c r="K385" s="84"/>
      <c r="L385" s="84"/>
      <c r="M385" s="84"/>
      <c r="N385" s="84"/>
      <c r="O385" s="84"/>
      <c r="P385" s="84"/>
      <c r="Q385" s="84"/>
      <c r="R385" s="84"/>
      <c r="S385" s="84"/>
      <c r="T385" s="84"/>
      <c r="U385" s="84"/>
      <c r="V385" s="84"/>
      <c r="W385" s="84"/>
      <c r="X385" s="84"/>
      <c r="Y385" s="84"/>
      <c r="Z385" s="84"/>
    </row>
    <row r="386" ht="15.75" customHeight="1">
      <c r="A386" s="84"/>
      <c r="B386" s="84"/>
      <c r="C386" s="84"/>
      <c r="D386" s="84"/>
      <c r="E386" s="84"/>
      <c r="F386" s="84"/>
      <c r="G386" s="84"/>
      <c r="H386" s="84"/>
      <c r="I386" s="84"/>
      <c r="J386" s="84"/>
      <c r="K386" s="84"/>
      <c r="L386" s="84"/>
      <c r="M386" s="84"/>
      <c r="N386" s="84"/>
      <c r="O386" s="84"/>
      <c r="P386" s="84"/>
      <c r="Q386" s="84"/>
      <c r="R386" s="84"/>
      <c r="S386" s="84"/>
      <c r="T386" s="84"/>
      <c r="U386" s="84"/>
      <c r="V386" s="84"/>
      <c r="W386" s="84"/>
      <c r="X386" s="84"/>
      <c r="Y386" s="84"/>
      <c r="Z386" s="84"/>
    </row>
    <row r="387" ht="15.75" customHeight="1">
      <c r="A387" s="84"/>
      <c r="B387" s="84"/>
      <c r="C387" s="84"/>
      <c r="D387" s="84"/>
      <c r="E387" s="84"/>
      <c r="F387" s="84"/>
      <c r="G387" s="84"/>
      <c r="H387" s="84"/>
      <c r="I387" s="84"/>
      <c r="J387" s="84"/>
      <c r="K387" s="84"/>
      <c r="L387" s="84"/>
      <c r="M387" s="84"/>
      <c r="N387" s="84"/>
      <c r="O387" s="84"/>
      <c r="P387" s="84"/>
      <c r="Q387" s="84"/>
      <c r="R387" s="84"/>
      <c r="S387" s="84"/>
      <c r="T387" s="84"/>
      <c r="U387" s="84"/>
      <c r="V387" s="84"/>
      <c r="W387" s="84"/>
      <c r="X387" s="84"/>
      <c r="Y387" s="84"/>
      <c r="Z387" s="84"/>
    </row>
    <row r="388" ht="15.75" customHeight="1">
      <c r="A388" s="84"/>
      <c r="B388" s="84"/>
      <c r="C388" s="84"/>
      <c r="D388" s="84"/>
      <c r="E388" s="84"/>
      <c r="F388" s="84"/>
      <c r="G388" s="84"/>
      <c r="H388" s="84"/>
      <c r="I388" s="84"/>
      <c r="J388" s="84"/>
      <c r="K388" s="84"/>
      <c r="L388" s="84"/>
      <c r="M388" s="84"/>
      <c r="N388" s="84"/>
      <c r="O388" s="84"/>
      <c r="P388" s="84"/>
      <c r="Q388" s="84"/>
      <c r="R388" s="84"/>
      <c r="S388" s="84"/>
      <c r="T388" s="84"/>
      <c r="U388" s="84"/>
      <c r="V388" s="84"/>
      <c r="W388" s="84"/>
      <c r="X388" s="84"/>
      <c r="Y388" s="84"/>
      <c r="Z388" s="84"/>
    </row>
    <row r="389" ht="15.75" customHeight="1">
      <c r="A389" s="84"/>
      <c r="B389" s="84"/>
      <c r="C389" s="84"/>
      <c r="D389" s="84"/>
      <c r="E389" s="84"/>
      <c r="F389" s="84"/>
      <c r="G389" s="84"/>
      <c r="H389" s="84"/>
      <c r="I389" s="84"/>
      <c r="J389" s="84"/>
      <c r="K389" s="84"/>
      <c r="L389" s="84"/>
      <c r="M389" s="84"/>
      <c r="N389" s="84"/>
      <c r="O389" s="84"/>
      <c r="P389" s="84"/>
      <c r="Q389" s="84"/>
      <c r="R389" s="84"/>
      <c r="S389" s="84"/>
      <c r="T389" s="84"/>
      <c r="U389" s="84"/>
      <c r="V389" s="84"/>
      <c r="W389" s="84"/>
      <c r="X389" s="84"/>
      <c r="Y389" s="84"/>
      <c r="Z389" s="84"/>
    </row>
    <row r="390" ht="15.75" customHeight="1">
      <c r="A390" s="84"/>
      <c r="B390" s="84"/>
      <c r="C390" s="84"/>
      <c r="D390" s="84"/>
      <c r="E390" s="84"/>
      <c r="F390" s="84"/>
      <c r="G390" s="84"/>
      <c r="H390" s="84"/>
      <c r="I390" s="84"/>
      <c r="J390" s="84"/>
      <c r="K390" s="84"/>
      <c r="L390" s="84"/>
      <c r="M390" s="84"/>
      <c r="N390" s="84"/>
      <c r="O390" s="84"/>
      <c r="P390" s="84"/>
      <c r="Q390" s="84"/>
      <c r="R390" s="84"/>
      <c r="S390" s="84"/>
      <c r="T390" s="84"/>
      <c r="U390" s="84"/>
      <c r="V390" s="84"/>
      <c r="W390" s="84"/>
      <c r="X390" s="84"/>
      <c r="Y390" s="84"/>
      <c r="Z390" s="84"/>
    </row>
    <row r="391" ht="15.75" customHeight="1">
      <c r="A391" s="84"/>
      <c r="B391" s="84"/>
      <c r="C391" s="84"/>
      <c r="D391" s="84"/>
      <c r="E391" s="84"/>
      <c r="F391" s="84"/>
      <c r="G391" s="84"/>
      <c r="H391" s="84"/>
      <c r="I391" s="84"/>
      <c r="J391" s="84"/>
      <c r="K391" s="84"/>
      <c r="L391" s="84"/>
      <c r="M391" s="84"/>
      <c r="N391" s="84"/>
      <c r="O391" s="84"/>
      <c r="P391" s="84"/>
      <c r="Q391" s="84"/>
      <c r="R391" s="84"/>
      <c r="S391" s="84"/>
      <c r="T391" s="84"/>
      <c r="U391" s="84"/>
      <c r="V391" s="84"/>
      <c r="W391" s="84"/>
      <c r="X391" s="84"/>
      <c r="Y391" s="84"/>
      <c r="Z391" s="84"/>
    </row>
    <row r="392" ht="15.75" customHeight="1">
      <c r="A392" s="84"/>
      <c r="B392" s="84"/>
      <c r="C392" s="84"/>
      <c r="D392" s="84"/>
      <c r="E392" s="84"/>
      <c r="F392" s="84"/>
      <c r="G392" s="84"/>
      <c r="H392" s="84"/>
      <c r="I392" s="84"/>
      <c r="J392" s="84"/>
      <c r="K392" s="84"/>
      <c r="L392" s="84"/>
      <c r="M392" s="84"/>
      <c r="N392" s="84"/>
      <c r="O392" s="84"/>
      <c r="P392" s="84"/>
      <c r="Q392" s="84"/>
      <c r="R392" s="84"/>
      <c r="S392" s="84"/>
      <c r="T392" s="84"/>
      <c r="U392" s="84"/>
      <c r="V392" s="84"/>
      <c r="W392" s="84"/>
      <c r="X392" s="84"/>
      <c r="Y392" s="84"/>
      <c r="Z392" s="84"/>
    </row>
    <row r="393" ht="15.75" customHeight="1">
      <c r="A393" s="84"/>
      <c r="B393" s="84"/>
      <c r="C393" s="84"/>
      <c r="D393" s="84"/>
      <c r="E393" s="84"/>
      <c r="F393" s="84"/>
      <c r="G393" s="84"/>
      <c r="H393" s="84"/>
      <c r="I393" s="84"/>
      <c r="J393" s="84"/>
      <c r="K393" s="84"/>
      <c r="L393" s="84"/>
      <c r="M393" s="84"/>
      <c r="N393" s="84"/>
      <c r="O393" s="84"/>
      <c r="P393" s="84"/>
      <c r="Q393" s="84"/>
      <c r="R393" s="84"/>
      <c r="S393" s="84"/>
      <c r="T393" s="84"/>
      <c r="U393" s="84"/>
      <c r="V393" s="84"/>
      <c r="W393" s="84"/>
      <c r="X393" s="84"/>
      <c r="Y393" s="84"/>
      <c r="Z393" s="84"/>
    </row>
    <row r="394" ht="15.75" customHeight="1">
      <c r="A394" s="84"/>
      <c r="B394" s="84"/>
      <c r="C394" s="84"/>
      <c r="D394" s="84"/>
      <c r="E394" s="84"/>
      <c r="F394" s="84"/>
      <c r="G394" s="84"/>
      <c r="H394" s="84"/>
      <c r="I394" s="84"/>
      <c r="J394" s="84"/>
      <c r="K394" s="84"/>
      <c r="L394" s="84"/>
      <c r="M394" s="84"/>
      <c r="N394" s="84"/>
      <c r="O394" s="84"/>
      <c r="P394" s="84"/>
      <c r="Q394" s="84"/>
      <c r="R394" s="84"/>
      <c r="S394" s="84"/>
      <c r="T394" s="84"/>
      <c r="U394" s="84"/>
      <c r="V394" s="84"/>
      <c r="W394" s="84"/>
      <c r="X394" s="84"/>
      <c r="Y394" s="84"/>
      <c r="Z394" s="84"/>
    </row>
    <row r="395" ht="15.75" customHeight="1">
      <c r="A395" s="84"/>
      <c r="B395" s="84"/>
      <c r="C395" s="84"/>
      <c r="D395" s="84"/>
      <c r="E395" s="84"/>
      <c r="F395" s="84"/>
      <c r="G395" s="84"/>
      <c r="H395" s="84"/>
      <c r="I395" s="84"/>
      <c r="J395" s="84"/>
      <c r="K395" s="84"/>
      <c r="L395" s="84"/>
      <c r="M395" s="84"/>
      <c r="N395" s="84"/>
      <c r="O395" s="84"/>
      <c r="P395" s="84"/>
      <c r="Q395" s="84"/>
      <c r="R395" s="84"/>
      <c r="S395" s="84"/>
      <c r="T395" s="84"/>
      <c r="U395" s="84"/>
      <c r="V395" s="84"/>
      <c r="W395" s="84"/>
      <c r="X395" s="84"/>
      <c r="Y395" s="84"/>
      <c r="Z395" s="84"/>
    </row>
    <row r="396" ht="15.75" customHeight="1">
      <c r="A396" s="84"/>
      <c r="B396" s="84"/>
      <c r="C396" s="84"/>
      <c r="D396" s="84"/>
      <c r="E396" s="84"/>
      <c r="F396" s="84"/>
      <c r="G396" s="84"/>
      <c r="H396" s="84"/>
      <c r="I396" s="84"/>
      <c r="J396" s="84"/>
      <c r="K396" s="84"/>
      <c r="L396" s="84"/>
      <c r="M396" s="84"/>
      <c r="N396" s="84"/>
      <c r="O396" s="84"/>
      <c r="P396" s="84"/>
      <c r="Q396" s="84"/>
      <c r="R396" s="84"/>
      <c r="S396" s="84"/>
      <c r="T396" s="84"/>
      <c r="U396" s="84"/>
      <c r="V396" s="84"/>
      <c r="W396" s="84"/>
      <c r="X396" s="84"/>
      <c r="Y396" s="84"/>
      <c r="Z396" s="84"/>
    </row>
    <row r="397" ht="15.75" customHeight="1">
      <c r="A397" s="84"/>
      <c r="B397" s="84"/>
      <c r="C397" s="84"/>
      <c r="D397" s="84"/>
      <c r="E397" s="84"/>
      <c r="F397" s="84"/>
      <c r="G397" s="84"/>
      <c r="H397" s="84"/>
      <c r="I397" s="84"/>
      <c r="J397" s="84"/>
      <c r="K397" s="84"/>
      <c r="L397" s="84"/>
      <c r="M397" s="84"/>
      <c r="N397" s="84"/>
      <c r="O397" s="84"/>
      <c r="P397" s="84"/>
      <c r="Q397" s="84"/>
      <c r="R397" s="84"/>
      <c r="S397" s="84"/>
      <c r="T397" s="84"/>
      <c r="U397" s="84"/>
      <c r="V397" s="84"/>
      <c r="W397" s="84"/>
      <c r="X397" s="84"/>
      <c r="Y397" s="84"/>
      <c r="Z397" s="84"/>
    </row>
    <row r="398" ht="15.75" customHeight="1">
      <c r="A398" s="84"/>
      <c r="B398" s="84"/>
      <c r="C398" s="84"/>
      <c r="D398" s="84"/>
      <c r="E398" s="84"/>
      <c r="F398" s="84"/>
      <c r="G398" s="84"/>
      <c r="H398" s="84"/>
      <c r="I398" s="84"/>
      <c r="J398" s="84"/>
      <c r="K398" s="84"/>
      <c r="L398" s="84"/>
      <c r="M398" s="84"/>
      <c r="N398" s="84"/>
      <c r="O398" s="84"/>
      <c r="P398" s="84"/>
      <c r="Q398" s="84"/>
      <c r="R398" s="84"/>
      <c r="S398" s="84"/>
      <c r="T398" s="84"/>
      <c r="U398" s="84"/>
      <c r="V398" s="84"/>
      <c r="W398" s="84"/>
      <c r="X398" s="84"/>
      <c r="Y398" s="84"/>
      <c r="Z398" s="84"/>
    </row>
    <row r="399" ht="15.75" customHeight="1">
      <c r="A399" s="84"/>
      <c r="B399" s="84"/>
      <c r="C399" s="84"/>
      <c r="D399" s="84"/>
      <c r="E399" s="84"/>
      <c r="F399" s="84"/>
      <c r="G399" s="84"/>
      <c r="H399" s="84"/>
      <c r="I399" s="84"/>
      <c r="J399" s="84"/>
      <c r="K399" s="84"/>
      <c r="L399" s="84"/>
      <c r="M399" s="84"/>
      <c r="N399" s="84"/>
      <c r="O399" s="84"/>
      <c r="P399" s="84"/>
      <c r="Q399" s="84"/>
      <c r="R399" s="84"/>
      <c r="S399" s="84"/>
      <c r="T399" s="84"/>
      <c r="U399" s="84"/>
      <c r="V399" s="84"/>
      <c r="W399" s="84"/>
      <c r="X399" s="84"/>
      <c r="Y399" s="84"/>
      <c r="Z399" s="84"/>
    </row>
    <row r="400" ht="15.75" customHeight="1">
      <c r="A400" s="84"/>
      <c r="B400" s="84"/>
      <c r="C400" s="84"/>
      <c r="D400" s="84"/>
      <c r="E400" s="84"/>
      <c r="F400" s="84"/>
      <c r="G400" s="84"/>
      <c r="H400" s="84"/>
      <c r="I400" s="84"/>
      <c r="J400" s="84"/>
      <c r="K400" s="84"/>
      <c r="L400" s="84"/>
      <c r="M400" s="84"/>
      <c r="N400" s="84"/>
      <c r="O400" s="84"/>
      <c r="P400" s="84"/>
      <c r="Q400" s="84"/>
      <c r="R400" s="84"/>
      <c r="S400" s="84"/>
      <c r="T400" s="84"/>
      <c r="U400" s="84"/>
      <c r="V400" s="84"/>
      <c r="W400" s="84"/>
      <c r="X400" s="84"/>
      <c r="Y400" s="84"/>
      <c r="Z400" s="84"/>
    </row>
    <row r="401" ht="15.75" customHeight="1">
      <c r="A401" s="84"/>
      <c r="B401" s="84"/>
      <c r="C401" s="84"/>
      <c r="D401" s="84"/>
      <c r="E401" s="84"/>
      <c r="F401" s="84"/>
      <c r="G401" s="84"/>
      <c r="H401" s="84"/>
      <c r="I401" s="84"/>
      <c r="J401" s="84"/>
      <c r="K401" s="84"/>
      <c r="L401" s="84"/>
      <c r="M401" s="84"/>
      <c r="N401" s="84"/>
      <c r="O401" s="84"/>
      <c r="P401" s="84"/>
      <c r="Q401" s="84"/>
      <c r="R401" s="84"/>
      <c r="S401" s="84"/>
      <c r="T401" s="84"/>
      <c r="U401" s="84"/>
      <c r="V401" s="84"/>
      <c r="W401" s="84"/>
      <c r="X401" s="84"/>
      <c r="Y401" s="84"/>
      <c r="Z401" s="84"/>
    </row>
    <row r="402" ht="15.75" customHeight="1">
      <c r="A402" s="84"/>
      <c r="B402" s="84"/>
      <c r="C402" s="84"/>
      <c r="D402" s="84"/>
      <c r="E402" s="84"/>
      <c r="F402" s="84"/>
      <c r="G402" s="84"/>
      <c r="H402" s="84"/>
      <c r="I402" s="84"/>
      <c r="J402" s="84"/>
      <c r="K402" s="84"/>
      <c r="L402" s="84"/>
      <c r="M402" s="84"/>
      <c r="N402" s="84"/>
      <c r="O402" s="84"/>
      <c r="P402" s="84"/>
      <c r="Q402" s="84"/>
      <c r="R402" s="84"/>
      <c r="S402" s="84"/>
      <c r="T402" s="84"/>
      <c r="U402" s="84"/>
      <c r="V402" s="84"/>
      <c r="W402" s="84"/>
      <c r="X402" s="84"/>
      <c r="Y402" s="84"/>
      <c r="Z402" s="84"/>
    </row>
    <row r="403" ht="15.75" customHeight="1">
      <c r="A403" s="84"/>
      <c r="B403" s="84"/>
      <c r="C403" s="84"/>
      <c r="D403" s="84"/>
      <c r="E403" s="84"/>
      <c r="F403" s="84"/>
      <c r="G403" s="84"/>
      <c r="H403" s="84"/>
      <c r="I403" s="84"/>
      <c r="J403" s="84"/>
      <c r="K403" s="84"/>
      <c r="L403" s="84"/>
      <c r="M403" s="84"/>
      <c r="N403" s="84"/>
      <c r="O403" s="84"/>
      <c r="P403" s="84"/>
      <c r="Q403" s="84"/>
      <c r="R403" s="84"/>
      <c r="S403" s="84"/>
      <c r="T403" s="84"/>
      <c r="U403" s="84"/>
      <c r="V403" s="84"/>
      <c r="W403" s="84"/>
      <c r="X403" s="84"/>
      <c r="Y403" s="84"/>
      <c r="Z403" s="84"/>
    </row>
    <row r="404" ht="15.75" customHeight="1">
      <c r="A404" s="84"/>
      <c r="B404" s="84"/>
      <c r="C404" s="84"/>
      <c r="D404" s="84"/>
      <c r="E404" s="84"/>
      <c r="F404" s="84"/>
      <c r="G404" s="84"/>
      <c r="H404" s="84"/>
      <c r="I404" s="84"/>
      <c r="J404" s="84"/>
      <c r="K404" s="84"/>
      <c r="L404" s="84"/>
      <c r="M404" s="84"/>
      <c r="N404" s="84"/>
      <c r="O404" s="84"/>
      <c r="P404" s="84"/>
      <c r="Q404" s="84"/>
      <c r="R404" s="84"/>
      <c r="S404" s="84"/>
      <c r="T404" s="84"/>
      <c r="U404" s="84"/>
      <c r="V404" s="84"/>
      <c r="W404" s="84"/>
      <c r="X404" s="84"/>
      <c r="Y404" s="84"/>
      <c r="Z404" s="84"/>
    </row>
    <row r="405" ht="15.75" customHeight="1">
      <c r="A405" s="84"/>
      <c r="B405" s="84"/>
      <c r="C405" s="84"/>
      <c r="D405" s="84"/>
      <c r="E405" s="84"/>
      <c r="F405" s="84"/>
      <c r="G405" s="84"/>
      <c r="H405" s="84"/>
      <c r="I405" s="84"/>
      <c r="J405" s="84"/>
      <c r="K405" s="84"/>
      <c r="L405" s="84"/>
      <c r="M405" s="84"/>
      <c r="N405" s="84"/>
      <c r="O405" s="84"/>
      <c r="P405" s="84"/>
      <c r="Q405" s="84"/>
      <c r="R405" s="84"/>
      <c r="S405" s="84"/>
      <c r="T405" s="84"/>
      <c r="U405" s="84"/>
      <c r="V405" s="84"/>
      <c r="W405" s="84"/>
      <c r="X405" s="84"/>
      <c r="Y405" s="84"/>
      <c r="Z405" s="84"/>
    </row>
    <row r="406" ht="15.75" customHeight="1">
      <c r="A406" s="84"/>
      <c r="B406" s="84"/>
      <c r="C406" s="84"/>
      <c r="D406" s="84"/>
      <c r="E406" s="84"/>
      <c r="F406" s="84"/>
      <c r="G406" s="84"/>
      <c r="H406" s="84"/>
      <c r="I406" s="84"/>
      <c r="J406" s="84"/>
      <c r="K406" s="84"/>
      <c r="L406" s="84"/>
      <c r="M406" s="84"/>
      <c r="N406" s="84"/>
      <c r="O406" s="84"/>
      <c r="P406" s="84"/>
      <c r="Q406" s="84"/>
      <c r="R406" s="84"/>
      <c r="S406" s="84"/>
      <c r="T406" s="84"/>
      <c r="U406" s="84"/>
      <c r="V406" s="84"/>
      <c r="W406" s="84"/>
      <c r="X406" s="84"/>
      <c r="Y406" s="84"/>
      <c r="Z406" s="84"/>
    </row>
    <row r="407" ht="15.75" customHeight="1">
      <c r="A407" s="84"/>
      <c r="B407" s="84"/>
      <c r="C407" s="84"/>
      <c r="D407" s="84"/>
      <c r="E407" s="84"/>
      <c r="F407" s="84"/>
      <c r="G407" s="84"/>
      <c r="H407" s="84"/>
      <c r="I407" s="84"/>
      <c r="J407" s="84"/>
      <c r="K407" s="84"/>
      <c r="L407" s="84"/>
      <c r="M407" s="84"/>
      <c r="N407" s="84"/>
      <c r="O407" s="84"/>
      <c r="P407" s="84"/>
      <c r="Q407" s="84"/>
      <c r="R407" s="84"/>
      <c r="S407" s="84"/>
      <c r="T407" s="84"/>
      <c r="U407" s="84"/>
      <c r="V407" s="84"/>
      <c r="W407" s="84"/>
      <c r="X407" s="84"/>
      <c r="Y407" s="84"/>
      <c r="Z407" s="84"/>
    </row>
    <row r="408" ht="15.75" customHeight="1">
      <c r="A408" s="84"/>
      <c r="B408" s="84"/>
      <c r="C408" s="84"/>
      <c r="D408" s="84"/>
      <c r="E408" s="84"/>
      <c r="F408" s="84"/>
      <c r="G408" s="84"/>
      <c r="H408" s="84"/>
      <c r="I408" s="84"/>
      <c r="J408" s="84"/>
      <c r="K408" s="84"/>
      <c r="L408" s="84"/>
      <c r="M408" s="84"/>
      <c r="N408" s="84"/>
      <c r="O408" s="84"/>
      <c r="P408" s="84"/>
      <c r="Q408" s="84"/>
      <c r="R408" s="84"/>
      <c r="S408" s="84"/>
      <c r="T408" s="84"/>
      <c r="U408" s="84"/>
      <c r="V408" s="84"/>
      <c r="W408" s="84"/>
      <c r="X408" s="84"/>
      <c r="Y408" s="84"/>
      <c r="Z408" s="84"/>
    </row>
    <row r="409" ht="15.75" customHeight="1">
      <c r="A409" s="84"/>
      <c r="B409" s="84"/>
      <c r="C409" s="84"/>
      <c r="D409" s="84"/>
      <c r="E409" s="84"/>
      <c r="F409" s="84"/>
      <c r="G409" s="84"/>
      <c r="H409" s="84"/>
      <c r="I409" s="84"/>
      <c r="J409" s="84"/>
      <c r="K409" s="84"/>
      <c r="L409" s="84"/>
    </row>
    <row r="410" ht="15.75" customHeight="1">
      <c r="A410" s="84"/>
      <c r="B410" s="84"/>
      <c r="C410" s="84"/>
      <c r="D410" s="84"/>
      <c r="E410" s="84"/>
      <c r="F410" s="84"/>
      <c r="G410" s="84"/>
      <c r="H410" s="84"/>
      <c r="I410" s="84"/>
      <c r="J410" s="84"/>
      <c r="K410" s="84"/>
      <c r="L410" s="84"/>
    </row>
    <row r="411" ht="15.75" customHeight="1">
      <c r="A411" s="84"/>
      <c r="B411" s="84"/>
      <c r="C411" s="84"/>
      <c r="D411" s="84"/>
      <c r="E411" s="84"/>
      <c r="F411" s="84"/>
      <c r="G411" s="84"/>
      <c r="H411" s="84"/>
      <c r="I411" s="84"/>
      <c r="J411" s="84"/>
      <c r="K411" s="84"/>
      <c r="L411" s="84"/>
    </row>
    <row r="412" ht="15.75" customHeight="1">
      <c r="A412" s="84"/>
      <c r="B412" s="84"/>
      <c r="C412" s="84"/>
      <c r="D412" s="84"/>
      <c r="E412" s="84"/>
      <c r="F412" s="84"/>
      <c r="G412" s="84"/>
      <c r="H412" s="84"/>
      <c r="I412" s="84"/>
      <c r="J412" s="84"/>
      <c r="K412" s="84"/>
      <c r="L412" s="84"/>
    </row>
    <row r="413" ht="15.75" customHeight="1">
      <c r="A413" s="84"/>
      <c r="B413" s="84"/>
      <c r="C413" s="84"/>
      <c r="D413" s="84"/>
      <c r="E413" s="84"/>
      <c r="F413" s="84"/>
      <c r="G413" s="84"/>
      <c r="H413" s="84"/>
      <c r="I413" s="84"/>
      <c r="J413" s="84"/>
      <c r="K413" s="84"/>
      <c r="L413" s="84"/>
    </row>
    <row r="414" ht="15.75" customHeight="1">
      <c r="A414" s="84"/>
      <c r="B414" s="84"/>
      <c r="C414" s="84"/>
      <c r="D414" s="84"/>
      <c r="E414" s="84"/>
      <c r="F414" s="84"/>
      <c r="G414" s="84"/>
      <c r="H414" s="84"/>
      <c r="I414" s="84"/>
      <c r="J414" s="84"/>
      <c r="K414" s="84"/>
      <c r="L414" s="84"/>
    </row>
    <row r="415" ht="15.75" customHeight="1">
      <c r="A415" s="84"/>
      <c r="B415" s="84"/>
      <c r="C415" s="84"/>
      <c r="D415" s="84"/>
      <c r="E415" s="84"/>
      <c r="F415" s="84"/>
      <c r="G415" s="84"/>
      <c r="H415" s="84"/>
      <c r="I415" s="84"/>
      <c r="J415" s="84"/>
      <c r="K415" s="84"/>
      <c r="L415" s="84"/>
    </row>
    <row r="416" ht="15.75" customHeight="1">
      <c r="A416" s="84"/>
      <c r="B416" s="84"/>
      <c r="C416" s="84"/>
      <c r="D416" s="84"/>
      <c r="E416" s="84"/>
      <c r="F416" s="84"/>
      <c r="G416" s="84"/>
      <c r="H416" s="84"/>
      <c r="I416" s="84"/>
      <c r="J416" s="84"/>
      <c r="K416" s="84"/>
      <c r="L416" s="84"/>
    </row>
    <row r="417" ht="15.75" customHeight="1">
      <c r="A417" s="84"/>
      <c r="B417" s="84"/>
      <c r="C417" s="84"/>
      <c r="D417" s="84"/>
      <c r="E417" s="84"/>
      <c r="F417" s="84"/>
      <c r="G417" s="84"/>
      <c r="H417" s="84"/>
      <c r="I417" s="84"/>
      <c r="J417" s="84"/>
      <c r="K417" s="84"/>
      <c r="L417" s="84"/>
    </row>
    <row r="418" ht="15.75" customHeight="1">
      <c r="A418" s="84"/>
      <c r="B418" s="84"/>
      <c r="C418" s="84"/>
      <c r="D418" s="84"/>
      <c r="E418" s="84"/>
      <c r="F418" s="84"/>
      <c r="G418" s="84"/>
      <c r="H418" s="84"/>
      <c r="I418" s="84"/>
      <c r="J418" s="84"/>
      <c r="K418" s="84"/>
      <c r="L418" s="84"/>
    </row>
    <row r="419" ht="15.75" customHeight="1">
      <c r="A419" s="84"/>
      <c r="B419" s="84"/>
      <c r="C419" s="84"/>
      <c r="D419" s="84"/>
      <c r="E419" s="84"/>
      <c r="F419" s="84"/>
      <c r="G419" s="84"/>
      <c r="H419" s="84"/>
      <c r="I419" s="84"/>
      <c r="J419" s="84"/>
      <c r="K419" s="84"/>
      <c r="L419" s="84"/>
    </row>
    <row r="420" ht="15.75" customHeight="1">
      <c r="A420" s="84"/>
      <c r="B420" s="84"/>
      <c r="C420" s="84"/>
      <c r="D420" s="84"/>
      <c r="E420" s="84"/>
      <c r="F420" s="84"/>
      <c r="G420" s="84"/>
      <c r="H420" s="84"/>
      <c r="I420" s="84"/>
      <c r="J420" s="84"/>
      <c r="K420" s="84"/>
      <c r="L420" s="84"/>
    </row>
    <row r="421" ht="15.75" customHeight="1">
      <c r="A421" s="84"/>
      <c r="B421" s="84"/>
      <c r="C421" s="84"/>
      <c r="D421" s="84"/>
      <c r="E421" s="84"/>
      <c r="F421" s="84"/>
      <c r="G421" s="84"/>
      <c r="H421" s="84"/>
      <c r="I421" s="84"/>
      <c r="J421" s="84"/>
      <c r="K421" s="84"/>
      <c r="L421" s="84"/>
    </row>
    <row r="422" ht="15.75" customHeight="1">
      <c r="A422" s="84"/>
      <c r="B422" s="84"/>
      <c r="C422" s="84"/>
      <c r="D422" s="84"/>
      <c r="E422" s="84"/>
      <c r="F422" s="84"/>
      <c r="G422" s="84"/>
      <c r="H422" s="84"/>
      <c r="I422" s="84"/>
      <c r="J422" s="84"/>
      <c r="K422" s="84"/>
      <c r="L422" s="84"/>
    </row>
    <row r="423" ht="15.75" customHeight="1">
      <c r="A423" s="84"/>
      <c r="B423" s="84"/>
      <c r="C423" s="84"/>
      <c r="D423" s="84"/>
      <c r="E423" s="84"/>
      <c r="F423" s="84"/>
      <c r="G423" s="84"/>
      <c r="H423" s="84"/>
      <c r="I423" s="84"/>
      <c r="J423" s="84"/>
      <c r="K423" s="84"/>
      <c r="L423" s="84"/>
    </row>
    <row r="424" ht="15.75" customHeight="1">
      <c r="A424" s="84"/>
      <c r="B424" s="84"/>
      <c r="C424" s="84"/>
      <c r="D424" s="84"/>
      <c r="E424" s="84"/>
      <c r="F424" s="84"/>
      <c r="G424" s="84"/>
      <c r="H424" s="84"/>
      <c r="I424" s="84"/>
      <c r="J424" s="84"/>
      <c r="K424" s="84"/>
      <c r="L424" s="84"/>
    </row>
    <row r="425" ht="15.75" customHeight="1">
      <c r="A425" s="84"/>
      <c r="B425" s="84"/>
      <c r="C425" s="84"/>
      <c r="D425" s="84"/>
      <c r="E425" s="84"/>
      <c r="F425" s="84"/>
      <c r="G425" s="84"/>
      <c r="H425" s="84"/>
      <c r="I425" s="84"/>
      <c r="J425" s="84"/>
      <c r="K425" s="84"/>
      <c r="L425" s="84"/>
    </row>
    <row r="426" ht="15.75" customHeight="1">
      <c r="A426" s="84"/>
      <c r="B426" s="84"/>
      <c r="C426" s="84"/>
      <c r="D426" s="84"/>
      <c r="E426" s="84"/>
      <c r="F426" s="84"/>
      <c r="G426" s="84"/>
      <c r="H426" s="84"/>
      <c r="I426" s="84"/>
      <c r="J426" s="84"/>
      <c r="K426" s="84"/>
      <c r="L426" s="84"/>
    </row>
    <row r="427" ht="15.75" customHeight="1">
      <c r="A427" s="84"/>
      <c r="B427" s="84"/>
      <c r="C427" s="84"/>
      <c r="D427" s="84"/>
      <c r="E427" s="84"/>
      <c r="F427" s="84"/>
      <c r="G427" s="84"/>
      <c r="H427" s="84"/>
      <c r="I427" s="84"/>
      <c r="J427" s="84"/>
      <c r="K427" s="84"/>
      <c r="L427" s="84"/>
    </row>
    <row r="428" ht="15.75" customHeight="1">
      <c r="A428" s="84"/>
      <c r="B428" s="84"/>
      <c r="C428" s="84"/>
      <c r="D428" s="84"/>
      <c r="E428" s="84"/>
      <c r="F428" s="84"/>
      <c r="G428" s="84"/>
      <c r="H428" s="84"/>
      <c r="I428" s="84"/>
      <c r="J428" s="84"/>
      <c r="K428" s="84"/>
      <c r="L428" s="84"/>
    </row>
    <row r="429" ht="15.75" customHeight="1">
      <c r="A429" s="84"/>
      <c r="B429" s="84"/>
      <c r="C429" s="84"/>
      <c r="D429" s="84"/>
      <c r="E429" s="84"/>
      <c r="F429" s="84"/>
      <c r="G429" s="84"/>
      <c r="H429" s="84"/>
      <c r="I429" s="84"/>
      <c r="J429" s="84"/>
      <c r="K429" s="84"/>
      <c r="L429" s="84"/>
    </row>
    <row r="430" ht="15.75" customHeight="1">
      <c r="A430" s="84"/>
      <c r="B430" s="84"/>
      <c r="C430" s="84"/>
      <c r="D430" s="84"/>
      <c r="E430" s="84"/>
      <c r="F430" s="84"/>
      <c r="G430" s="84"/>
      <c r="H430" s="84"/>
      <c r="I430" s="84"/>
      <c r="J430" s="84"/>
      <c r="K430" s="84"/>
      <c r="L430" s="84"/>
    </row>
    <row r="431" ht="15.75" customHeight="1">
      <c r="A431" s="84"/>
      <c r="B431" s="84"/>
      <c r="C431" s="84"/>
      <c r="D431" s="84"/>
      <c r="E431" s="84"/>
      <c r="F431" s="84"/>
      <c r="G431" s="84"/>
      <c r="H431" s="84"/>
      <c r="I431" s="84"/>
      <c r="J431" s="84"/>
      <c r="K431" s="84"/>
      <c r="L431" s="84"/>
    </row>
    <row r="432" ht="15.75" customHeight="1">
      <c r="A432" s="84"/>
      <c r="B432" s="84"/>
      <c r="C432" s="84"/>
      <c r="D432" s="84"/>
      <c r="E432" s="84"/>
      <c r="F432" s="84"/>
      <c r="G432" s="84"/>
      <c r="H432" s="84"/>
      <c r="I432" s="84"/>
      <c r="J432" s="84"/>
      <c r="K432" s="84"/>
      <c r="L432" s="84"/>
    </row>
    <row r="433" ht="15.75" customHeight="1">
      <c r="A433" s="84"/>
      <c r="B433" s="84"/>
      <c r="C433" s="84"/>
      <c r="D433" s="84"/>
      <c r="E433" s="84"/>
      <c r="F433" s="84"/>
      <c r="G433" s="84"/>
      <c r="H433" s="84"/>
      <c r="I433" s="84"/>
      <c r="J433" s="84"/>
      <c r="K433" s="84"/>
      <c r="L433" s="84"/>
    </row>
    <row r="434" ht="15.75" customHeight="1">
      <c r="A434" s="84"/>
      <c r="B434" s="84"/>
      <c r="C434" s="84"/>
      <c r="D434" s="84"/>
      <c r="E434" s="84"/>
      <c r="F434" s="84"/>
      <c r="G434" s="84"/>
      <c r="H434" s="84"/>
      <c r="I434" s="84"/>
      <c r="J434" s="84"/>
      <c r="K434" s="84"/>
      <c r="L434" s="84"/>
    </row>
    <row r="435" ht="15.75" customHeight="1">
      <c r="A435" s="84"/>
      <c r="B435" s="84"/>
      <c r="C435" s="84"/>
      <c r="D435" s="84"/>
      <c r="E435" s="84"/>
      <c r="F435" s="84"/>
      <c r="G435" s="84"/>
      <c r="H435" s="84"/>
      <c r="I435" s="84"/>
      <c r="J435" s="84"/>
      <c r="K435" s="84"/>
      <c r="L435" s="84"/>
    </row>
    <row r="436" ht="15.75" customHeight="1">
      <c r="A436" s="84"/>
      <c r="B436" s="84"/>
      <c r="C436" s="84"/>
      <c r="D436" s="84"/>
      <c r="E436" s="84"/>
      <c r="F436" s="84"/>
      <c r="G436" s="84"/>
      <c r="H436" s="84"/>
      <c r="I436" s="84"/>
      <c r="J436" s="84"/>
      <c r="K436" s="84"/>
      <c r="L436" s="84"/>
    </row>
    <row r="437" ht="15.75" customHeight="1">
      <c r="A437" s="84"/>
      <c r="B437" s="84"/>
      <c r="C437" s="84"/>
      <c r="D437" s="84"/>
      <c r="E437" s="84"/>
      <c r="F437" s="84"/>
      <c r="G437" s="84"/>
      <c r="H437" s="84"/>
      <c r="I437" s="84"/>
      <c r="J437" s="84"/>
      <c r="K437" s="84"/>
      <c r="L437" s="84"/>
    </row>
    <row r="438" ht="15.75" customHeight="1">
      <c r="A438" s="84"/>
      <c r="B438" s="84"/>
      <c r="C438" s="84"/>
      <c r="D438" s="84"/>
      <c r="E438" s="84"/>
      <c r="F438" s="84"/>
      <c r="G438" s="84"/>
      <c r="H438" s="84"/>
      <c r="I438" s="84"/>
      <c r="J438" s="84"/>
      <c r="K438" s="84"/>
      <c r="L438" s="84"/>
    </row>
    <row r="439" ht="15.75" customHeight="1">
      <c r="A439" s="84"/>
      <c r="B439" s="84"/>
      <c r="C439" s="84"/>
      <c r="D439" s="84"/>
      <c r="E439" s="84"/>
      <c r="F439" s="84"/>
      <c r="G439" s="84"/>
      <c r="H439" s="84"/>
      <c r="I439" s="84"/>
      <c r="J439" s="84"/>
      <c r="K439" s="84"/>
      <c r="L439" s="84"/>
    </row>
    <row r="440" ht="15.75" customHeight="1">
      <c r="A440" s="84"/>
      <c r="B440" s="84"/>
      <c r="C440" s="84"/>
      <c r="D440" s="84"/>
      <c r="E440" s="84"/>
      <c r="F440" s="84"/>
      <c r="G440" s="84"/>
      <c r="H440" s="84"/>
      <c r="I440" s="84"/>
      <c r="J440" s="84"/>
      <c r="K440" s="84"/>
      <c r="L440" s="84"/>
    </row>
    <row r="441" ht="15.75" customHeight="1">
      <c r="A441" s="84"/>
      <c r="B441" s="84"/>
      <c r="C441" s="84"/>
      <c r="D441" s="84"/>
      <c r="E441" s="84"/>
      <c r="F441" s="84"/>
      <c r="G441" s="84"/>
      <c r="H441" s="84"/>
      <c r="I441" s="84"/>
      <c r="J441" s="84"/>
      <c r="K441" s="84"/>
      <c r="L441" s="84"/>
    </row>
    <row r="442" ht="15.75" customHeight="1">
      <c r="A442" s="84"/>
      <c r="B442" s="84"/>
      <c r="C442" s="84"/>
      <c r="D442" s="84"/>
      <c r="E442" s="84"/>
      <c r="F442" s="84"/>
      <c r="G442" s="84"/>
      <c r="H442" s="84"/>
      <c r="I442" s="84"/>
      <c r="J442" s="84"/>
      <c r="K442" s="84"/>
      <c r="L442" s="84"/>
    </row>
    <row r="443" ht="15.75" customHeight="1">
      <c r="A443" s="84"/>
      <c r="B443" s="84"/>
      <c r="C443" s="84"/>
      <c r="D443" s="84"/>
      <c r="E443" s="84"/>
      <c r="F443" s="84"/>
      <c r="G443" s="84"/>
      <c r="H443" s="84"/>
      <c r="I443" s="84"/>
      <c r="J443" s="84"/>
      <c r="K443" s="84"/>
      <c r="L443" s="84"/>
    </row>
    <row r="444" ht="15.75" customHeight="1">
      <c r="A444" s="84"/>
      <c r="B444" s="84"/>
      <c r="C444" s="84"/>
      <c r="D444" s="84"/>
      <c r="E444" s="84"/>
      <c r="F444" s="84"/>
      <c r="G444" s="84"/>
      <c r="H444" s="84"/>
      <c r="I444" s="84"/>
      <c r="J444" s="84"/>
      <c r="K444" s="84"/>
      <c r="L444" s="84"/>
    </row>
    <row r="445" ht="15.75" customHeight="1">
      <c r="A445" s="84"/>
      <c r="B445" s="84"/>
      <c r="C445" s="84"/>
      <c r="D445" s="84"/>
      <c r="E445" s="84"/>
      <c r="F445" s="84"/>
      <c r="G445" s="84"/>
      <c r="H445" s="84"/>
      <c r="I445" s="84"/>
      <c r="J445" s="84"/>
      <c r="K445" s="84"/>
      <c r="L445" s="84"/>
    </row>
    <row r="446" ht="15.75" customHeight="1">
      <c r="A446" s="84"/>
      <c r="B446" s="84"/>
      <c r="C446" s="84"/>
      <c r="D446" s="84"/>
      <c r="E446" s="84"/>
      <c r="F446" s="84"/>
      <c r="G446" s="84"/>
      <c r="H446" s="84"/>
      <c r="I446" s="84"/>
      <c r="J446" s="84"/>
      <c r="K446" s="84"/>
      <c r="L446" s="84"/>
    </row>
    <row r="447" ht="15.75" customHeight="1">
      <c r="A447" s="84"/>
      <c r="B447" s="84"/>
      <c r="C447" s="84"/>
      <c r="D447" s="84"/>
      <c r="E447" s="84"/>
      <c r="F447" s="84"/>
      <c r="G447" s="84"/>
      <c r="H447" s="84"/>
      <c r="I447" s="84"/>
      <c r="J447" s="84"/>
      <c r="K447" s="84"/>
      <c r="L447" s="84"/>
    </row>
    <row r="448" ht="15.75" customHeight="1">
      <c r="A448" s="84"/>
      <c r="B448" s="84"/>
      <c r="C448" s="84"/>
      <c r="D448" s="84"/>
      <c r="E448" s="84"/>
      <c r="F448" s="84"/>
      <c r="G448" s="84"/>
      <c r="H448" s="84"/>
      <c r="I448" s="84"/>
      <c r="J448" s="84"/>
      <c r="K448" s="84"/>
      <c r="L448" s="84"/>
    </row>
    <row r="449" ht="15.75" customHeight="1">
      <c r="A449" s="84"/>
      <c r="B449" s="84"/>
      <c r="C449" s="84"/>
      <c r="D449" s="84"/>
      <c r="E449" s="84"/>
      <c r="F449" s="84"/>
      <c r="G449" s="84"/>
      <c r="H449" s="84"/>
      <c r="I449" s="84"/>
      <c r="J449" s="84"/>
      <c r="K449" s="84"/>
      <c r="L449" s="84"/>
    </row>
    <row r="450" ht="15.75" customHeight="1">
      <c r="A450" s="84"/>
      <c r="B450" s="84"/>
      <c r="C450" s="84"/>
      <c r="D450" s="84"/>
      <c r="E450" s="84"/>
      <c r="F450" s="84"/>
      <c r="G450" s="84"/>
      <c r="H450" s="84"/>
      <c r="I450" s="84"/>
      <c r="J450" s="84"/>
      <c r="K450" s="84"/>
      <c r="L450" s="84"/>
    </row>
    <row r="451" ht="15.75" customHeight="1">
      <c r="A451" s="84"/>
      <c r="B451" s="84"/>
      <c r="C451" s="84"/>
      <c r="D451" s="84"/>
      <c r="E451" s="84"/>
      <c r="F451" s="84"/>
      <c r="G451" s="84"/>
      <c r="H451" s="84"/>
      <c r="I451" s="84"/>
      <c r="J451" s="84"/>
      <c r="K451" s="84"/>
      <c r="L451" s="84"/>
    </row>
    <row r="452" ht="15.75" customHeight="1">
      <c r="A452" s="84"/>
      <c r="B452" s="84"/>
      <c r="C452" s="84"/>
      <c r="D452" s="84"/>
      <c r="E452" s="84"/>
      <c r="F452" s="84"/>
      <c r="G452" s="84"/>
      <c r="H452" s="84"/>
      <c r="I452" s="84"/>
      <c r="J452" s="84"/>
      <c r="K452" s="84"/>
      <c r="L452" s="84"/>
    </row>
    <row r="453" ht="15.75" customHeight="1">
      <c r="A453" s="84"/>
      <c r="B453" s="84"/>
      <c r="C453" s="84"/>
      <c r="D453" s="84"/>
      <c r="E453" s="84"/>
      <c r="F453" s="84"/>
      <c r="G453" s="84"/>
      <c r="H453" s="84"/>
      <c r="I453" s="84"/>
      <c r="J453" s="84"/>
      <c r="K453" s="84"/>
      <c r="L453" s="84"/>
    </row>
    <row r="454" ht="15.75" customHeight="1">
      <c r="A454" s="84"/>
      <c r="B454" s="84"/>
      <c r="C454" s="84"/>
      <c r="D454" s="84"/>
      <c r="E454" s="84"/>
      <c r="F454" s="84"/>
      <c r="G454" s="84"/>
      <c r="H454" s="84"/>
      <c r="I454" s="84"/>
      <c r="J454" s="84"/>
      <c r="K454" s="84"/>
      <c r="L454" s="84"/>
    </row>
    <row r="455" ht="15.75" customHeight="1">
      <c r="A455" s="84"/>
      <c r="B455" s="84"/>
      <c r="C455" s="84"/>
      <c r="D455" s="84"/>
      <c r="E455" s="84"/>
      <c r="F455" s="84"/>
      <c r="G455" s="84"/>
      <c r="H455" s="84"/>
      <c r="I455" s="84"/>
      <c r="J455" s="84"/>
      <c r="K455" s="84"/>
      <c r="L455" s="84"/>
    </row>
    <row r="456" ht="15.75" customHeight="1">
      <c r="A456" s="84"/>
      <c r="B456" s="84"/>
      <c r="C456" s="84"/>
      <c r="D456" s="84"/>
      <c r="E456" s="84"/>
      <c r="F456" s="84"/>
      <c r="G456" s="84"/>
      <c r="H456" s="84"/>
      <c r="I456" s="84"/>
      <c r="J456" s="84"/>
      <c r="K456" s="84"/>
      <c r="L456" s="84"/>
    </row>
    <row r="457" ht="15.75" customHeight="1">
      <c r="A457" s="84"/>
      <c r="B457" s="84"/>
      <c r="C457" s="84"/>
      <c r="D457" s="84"/>
      <c r="E457" s="84"/>
      <c r="F457" s="84"/>
      <c r="G457" s="84"/>
      <c r="H457" s="84"/>
      <c r="I457" s="84"/>
      <c r="J457" s="84"/>
      <c r="K457" s="84"/>
      <c r="L457" s="84"/>
    </row>
    <row r="458" ht="15.75" customHeight="1">
      <c r="A458" s="84"/>
      <c r="B458" s="84"/>
      <c r="C458" s="84"/>
      <c r="D458" s="84"/>
      <c r="E458" s="84"/>
      <c r="F458" s="84"/>
      <c r="G458" s="84"/>
      <c r="H458" s="84"/>
      <c r="I458" s="84"/>
      <c r="J458" s="84"/>
      <c r="K458" s="84"/>
      <c r="L458" s="84"/>
    </row>
    <row r="459" ht="15.75" customHeight="1">
      <c r="A459" s="84"/>
      <c r="B459" s="84"/>
      <c r="C459" s="84"/>
      <c r="D459" s="84"/>
      <c r="E459" s="84"/>
      <c r="F459" s="84"/>
      <c r="G459" s="84"/>
      <c r="H459" s="84"/>
      <c r="I459" s="84"/>
      <c r="J459" s="84"/>
      <c r="K459" s="84"/>
      <c r="L459" s="84"/>
    </row>
    <row r="460" ht="15.75" customHeight="1">
      <c r="A460" s="84"/>
      <c r="B460" s="84"/>
      <c r="C460" s="84"/>
      <c r="D460" s="84"/>
      <c r="E460" s="84"/>
      <c r="F460" s="84"/>
      <c r="G460" s="84"/>
      <c r="H460" s="84"/>
      <c r="I460" s="84"/>
      <c r="J460" s="84"/>
      <c r="K460" s="84"/>
      <c r="L460" s="84"/>
    </row>
    <row r="461" ht="15.75" customHeight="1">
      <c r="A461" s="84"/>
      <c r="B461" s="84"/>
      <c r="C461" s="84"/>
      <c r="D461" s="84"/>
      <c r="E461" s="84"/>
      <c r="F461" s="84"/>
      <c r="G461" s="84"/>
      <c r="H461" s="84"/>
      <c r="I461" s="84"/>
      <c r="J461" s="84"/>
      <c r="K461" s="84"/>
      <c r="L461" s="84"/>
    </row>
    <row r="462" ht="15.75" customHeight="1">
      <c r="A462" s="84"/>
      <c r="B462" s="84"/>
      <c r="C462" s="84"/>
      <c r="D462" s="84"/>
      <c r="E462" s="84"/>
      <c r="F462" s="84"/>
      <c r="G462" s="84"/>
      <c r="H462" s="84"/>
      <c r="I462" s="84"/>
      <c r="J462" s="84"/>
      <c r="K462" s="84"/>
      <c r="L462" s="84"/>
    </row>
    <row r="463" ht="15.75" customHeight="1">
      <c r="A463" s="84"/>
      <c r="B463" s="84"/>
      <c r="C463" s="84"/>
      <c r="D463" s="84"/>
      <c r="E463" s="84"/>
      <c r="F463" s="84"/>
      <c r="G463" s="84"/>
      <c r="H463" s="84"/>
      <c r="I463" s="84"/>
      <c r="J463" s="84"/>
      <c r="K463" s="84"/>
      <c r="L463" s="84"/>
    </row>
    <row r="464" ht="15.75" customHeight="1">
      <c r="A464" s="84"/>
      <c r="B464" s="84"/>
      <c r="C464" s="84"/>
      <c r="D464" s="84"/>
      <c r="E464" s="84"/>
      <c r="F464" s="84"/>
      <c r="G464" s="84"/>
      <c r="H464" s="84"/>
      <c r="I464" s="84"/>
      <c r="J464" s="84"/>
      <c r="K464" s="84"/>
      <c r="L464" s="84"/>
    </row>
    <row r="465" ht="15.75" customHeight="1">
      <c r="A465" s="84"/>
      <c r="B465" s="84"/>
      <c r="C465" s="84"/>
      <c r="D465" s="84"/>
      <c r="E465" s="84"/>
      <c r="F465" s="84"/>
      <c r="G465" s="84"/>
      <c r="H465" s="84"/>
      <c r="I465" s="84"/>
      <c r="J465" s="84"/>
      <c r="K465" s="84"/>
      <c r="L465" s="84"/>
    </row>
    <row r="466" ht="15.75" customHeight="1">
      <c r="A466" s="84"/>
      <c r="B466" s="84"/>
      <c r="C466" s="84"/>
      <c r="D466" s="84"/>
      <c r="E466" s="84"/>
      <c r="F466" s="84"/>
      <c r="G466" s="84"/>
      <c r="H466" s="84"/>
      <c r="I466" s="84"/>
      <c r="J466" s="84"/>
      <c r="K466" s="84"/>
      <c r="L466" s="84"/>
    </row>
    <row r="467" ht="15.75" customHeight="1">
      <c r="A467" s="84"/>
      <c r="B467" s="84"/>
      <c r="C467" s="84"/>
      <c r="D467" s="84"/>
      <c r="E467" s="84"/>
      <c r="F467" s="84"/>
      <c r="G467" s="84"/>
      <c r="H467" s="84"/>
      <c r="I467" s="84"/>
      <c r="J467" s="84"/>
      <c r="K467" s="84"/>
      <c r="L467" s="84"/>
    </row>
    <row r="468" ht="15.75" customHeight="1">
      <c r="A468" s="84"/>
      <c r="B468" s="84"/>
      <c r="C468" s="84"/>
      <c r="D468" s="84"/>
      <c r="E468" s="84"/>
      <c r="F468" s="84"/>
      <c r="G468" s="84"/>
      <c r="H468" s="84"/>
      <c r="I468" s="84"/>
      <c r="J468" s="84"/>
      <c r="K468" s="84"/>
      <c r="L468" s="84"/>
    </row>
    <row r="469" ht="15.75" customHeight="1">
      <c r="A469" s="84"/>
      <c r="B469" s="84"/>
      <c r="C469" s="84"/>
      <c r="D469" s="84"/>
      <c r="E469" s="84"/>
      <c r="F469" s="84"/>
      <c r="G469" s="84"/>
      <c r="H469" s="84"/>
      <c r="I469" s="84"/>
      <c r="J469" s="84"/>
      <c r="K469" s="84"/>
      <c r="L469" s="84"/>
    </row>
    <row r="470" ht="15.75" customHeight="1">
      <c r="A470" s="84"/>
      <c r="B470" s="84"/>
      <c r="C470" s="84"/>
      <c r="D470" s="84"/>
      <c r="E470" s="84"/>
      <c r="F470" s="84"/>
      <c r="G470" s="84"/>
      <c r="H470" s="84"/>
      <c r="I470" s="84"/>
      <c r="J470" s="84"/>
      <c r="K470" s="84"/>
      <c r="L470" s="84"/>
    </row>
    <row r="471" ht="15.75" customHeight="1">
      <c r="A471" s="84"/>
      <c r="B471" s="84"/>
      <c r="C471" s="84"/>
      <c r="D471" s="84"/>
      <c r="E471" s="84"/>
      <c r="F471" s="84"/>
      <c r="G471" s="84"/>
      <c r="H471" s="84"/>
      <c r="I471" s="84"/>
      <c r="J471" s="84"/>
      <c r="K471" s="84"/>
      <c r="L471" s="84"/>
    </row>
    <row r="472" ht="15.75" customHeight="1">
      <c r="A472" s="84"/>
      <c r="B472" s="84"/>
      <c r="C472" s="84"/>
      <c r="D472" s="84"/>
      <c r="E472" s="84"/>
      <c r="F472" s="84"/>
      <c r="G472" s="84"/>
      <c r="H472" s="84"/>
      <c r="I472" s="84"/>
      <c r="J472" s="84"/>
      <c r="K472" s="84"/>
      <c r="L472" s="84"/>
    </row>
    <row r="473" ht="15.75" customHeight="1">
      <c r="A473" s="84"/>
      <c r="B473" s="84"/>
      <c r="C473" s="84"/>
      <c r="D473" s="84"/>
      <c r="E473" s="84"/>
      <c r="F473" s="84"/>
      <c r="G473" s="84"/>
      <c r="H473" s="84"/>
      <c r="I473" s="84"/>
      <c r="J473" s="84"/>
      <c r="K473" s="84"/>
      <c r="L473" s="84"/>
    </row>
    <row r="474" ht="15.75" customHeight="1">
      <c r="A474" s="84"/>
      <c r="B474" s="84"/>
      <c r="C474" s="84"/>
      <c r="D474" s="84"/>
      <c r="E474" s="84"/>
      <c r="F474" s="84"/>
      <c r="G474" s="84"/>
      <c r="H474" s="84"/>
      <c r="I474" s="84"/>
      <c r="J474" s="84"/>
      <c r="K474" s="84"/>
      <c r="L474" s="84"/>
    </row>
    <row r="475" ht="15.75" customHeight="1">
      <c r="A475" s="84"/>
      <c r="B475" s="84"/>
      <c r="C475" s="84"/>
      <c r="D475" s="84"/>
      <c r="E475" s="84"/>
      <c r="F475" s="84"/>
      <c r="G475" s="84"/>
      <c r="H475" s="84"/>
      <c r="I475" s="84"/>
      <c r="J475" s="84"/>
      <c r="K475" s="84"/>
      <c r="L475" s="84"/>
    </row>
    <row r="476" ht="15.75" customHeight="1">
      <c r="A476" s="84"/>
      <c r="B476" s="84"/>
      <c r="C476" s="84"/>
      <c r="D476" s="84"/>
      <c r="E476" s="84"/>
      <c r="F476" s="84"/>
      <c r="G476" s="84"/>
      <c r="H476" s="84"/>
      <c r="I476" s="84"/>
      <c r="J476" s="84"/>
      <c r="K476" s="84"/>
      <c r="L476" s="84"/>
    </row>
    <row r="477" ht="15.75" customHeight="1">
      <c r="A477" s="84"/>
      <c r="B477" s="84"/>
      <c r="C477" s="84"/>
      <c r="D477" s="84"/>
      <c r="E477" s="84"/>
      <c r="F477" s="84"/>
      <c r="G477" s="84"/>
      <c r="H477" s="84"/>
      <c r="I477" s="84"/>
      <c r="J477" s="84"/>
      <c r="K477" s="84"/>
      <c r="L477" s="84"/>
    </row>
    <row r="478" ht="15.75" customHeight="1">
      <c r="A478" s="84"/>
      <c r="B478" s="84"/>
      <c r="C478" s="84"/>
      <c r="D478" s="84"/>
      <c r="E478" s="84"/>
      <c r="F478" s="84"/>
      <c r="G478" s="84"/>
      <c r="H478" s="84"/>
      <c r="I478" s="84"/>
      <c r="J478" s="84"/>
      <c r="K478" s="84"/>
      <c r="L478" s="84"/>
    </row>
    <row r="479" ht="15.75" customHeight="1">
      <c r="A479" s="84"/>
      <c r="B479" s="84"/>
      <c r="C479" s="84"/>
      <c r="D479" s="84"/>
      <c r="E479" s="84"/>
      <c r="F479" s="84"/>
      <c r="G479" s="84"/>
      <c r="H479" s="84"/>
      <c r="I479" s="84"/>
      <c r="J479" s="84"/>
      <c r="K479" s="84"/>
      <c r="L479" s="84"/>
    </row>
    <row r="480" ht="15.75" customHeight="1">
      <c r="A480" s="84"/>
      <c r="B480" s="84"/>
      <c r="C480" s="84"/>
      <c r="D480" s="84"/>
      <c r="E480" s="84"/>
      <c r="F480" s="84"/>
      <c r="G480" s="84"/>
      <c r="H480" s="84"/>
      <c r="I480" s="84"/>
      <c r="J480" s="84"/>
      <c r="K480" s="84"/>
      <c r="L480" s="84"/>
    </row>
    <row r="481" ht="15.75" customHeight="1">
      <c r="A481" s="84"/>
      <c r="B481" s="84"/>
      <c r="C481" s="84"/>
      <c r="D481" s="84"/>
      <c r="E481" s="84"/>
      <c r="F481" s="84"/>
      <c r="G481" s="84"/>
      <c r="H481" s="84"/>
      <c r="I481" s="84"/>
      <c r="J481" s="84"/>
      <c r="K481" s="84"/>
      <c r="L481" s="84"/>
    </row>
    <row r="482" ht="15.75" customHeight="1">
      <c r="A482" s="84"/>
      <c r="B482" s="84"/>
      <c r="C482" s="84"/>
      <c r="D482" s="84"/>
      <c r="E482" s="84"/>
      <c r="F482" s="84"/>
      <c r="G482" s="84"/>
      <c r="H482" s="84"/>
      <c r="I482" s="84"/>
      <c r="J482" s="84"/>
      <c r="K482" s="84"/>
      <c r="L482" s="84"/>
    </row>
    <row r="483" ht="15.75" customHeight="1">
      <c r="A483" s="84"/>
      <c r="B483" s="84"/>
      <c r="C483" s="84"/>
      <c r="D483" s="84"/>
      <c r="E483" s="84"/>
      <c r="F483" s="84"/>
      <c r="G483" s="84"/>
      <c r="H483" s="84"/>
      <c r="I483" s="84"/>
      <c r="J483" s="84"/>
      <c r="K483" s="84"/>
      <c r="L483" s="84"/>
    </row>
    <row r="484" ht="15.75" customHeight="1">
      <c r="A484" s="84"/>
      <c r="B484" s="84"/>
      <c r="C484" s="84"/>
      <c r="D484" s="84"/>
      <c r="E484" s="84"/>
      <c r="F484" s="84"/>
      <c r="G484" s="84"/>
      <c r="H484" s="84"/>
      <c r="I484" s="84"/>
      <c r="J484" s="84"/>
      <c r="K484" s="84"/>
      <c r="L484" s="84"/>
    </row>
    <row r="485" ht="15.75" customHeight="1">
      <c r="A485" s="84"/>
      <c r="B485" s="84"/>
      <c r="C485" s="84"/>
      <c r="D485" s="84"/>
      <c r="E485" s="84"/>
      <c r="F485" s="84"/>
      <c r="G485" s="84"/>
      <c r="H485" s="84"/>
      <c r="I485" s="84"/>
      <c r="J485" s="84"/>
      <c r="K485" s="84"/>
      <c r="L485" s="84"/>
    </row>
    <row r="486" ht="15.75" customHeight="1">
      <c r="A486" s="84"/>
      <c r="B486" s="84"/>
      <c r="C486" s="84"/>
      <c r="D486" s="84"/>
      <c r="E486" s="84"/>
      <c r="F486" s="84"/>
      <c r="G486" s="84"/>
      <c r="H486" s="84"/>
      <c r="I486" s="84"/>
      <c r="J486" s="84"/>
      <c r="K486" s="84"/>
      <c r="L486" s="84"/>
    </row>
    <row r="487" ht="15.75" customHeight="1">
      <c r="A487" s="84"/>
      <c r="B487" s="84"/>
      <c r="C487" s="84"/>
      <c r="D487" s="84"/>
      <c r="E487" s="84"/>
      <c r="F487" s="84"/>
      <c r="G487" s="84"/>
      <c r="H487" s="84"/>
      <c r="I487" s="84"/>
      <c r="J487" s="84"/>
      <c r="K487" s="84"/>
      <c r="L487" s="84"/>
    </row>
    <row r="488" ht="15.75" customHeight="1">
      <c r="A488" s="84"/>
      <c r="B488" s="84"/>
      <c r="C488" s="84"/>
      <c r="D488" s="84"/>
      <c r="E488" s="84"/>
      <c r="F488" s="84"/>
      <c r="G488" s="84"/>
      <c r="H488" s="84"/>
      <c r="I488" s="84"/>
      <c r="J488" s="84"/>
      <c r="K488" s="84"/>
      <c r="L488" s="84"/>
    </row>
    <row r="489" ht="15.75" customHeight="1">
      <c r="A489" s="84"/>
      <c r="B489" s="84"/>
      <c r="C489" s="84"/>
      <c r="D489" s="84"/>
      <c r="E489" s="84"/>
      <c r="F489" s="84"/>
      <c r="G489" s="84"/>
      <c r="H489" s="84"/>
      <c r="I489" s="84"/>
      <c r="J489" s="84"/>
      <c r="K489" s="84"/>
      <c r="L489" s="84"/>
    </row>
    <row r="490" ht="15.75" customHeight="1">
      <c r="A490" s="84"/>
      <c r="B490" s="84"/>
      <c r="C490" s="84"/>
      <c r="D490" s="84"/>
      <c r="E490" s="84"/>
      <c r="F490" s="84"/>
      <c r="G490" s="84"/>
      <c r="H490" s="84"/>
      <c r="I490" s="84"/>
      <c r="J490" s="84"/>
      <c r="K490" s="84"/>
      <c r="L490" s="84"/>
    </row>
    <row r="491" ht="15.75" customHeight="1">
      <c r="A491" s="84"/>
      <c r="B491" s="84"/>
      <c r="C491" s="84"/>
      <c r="D491" s="84"/>
      <c r="E491" s="84"/>
      <c r="F491" s="84"/>
      <c r="G491" s="84"/>
      <c r="H491" s="84"/>
      <c r="I491" s="84"/>
      <c r="J491" s="84"/>
      <c r="K491" s="84"/>
      <c r="L491" s="84"/>
    </row>
    <row r="492" ht="15.75" customHeight="1">
      <c r="A492" s="84"/>
      <c r="B492" s="84"/>
      <c r="C492" s="84"/>
      <c r="D492" s="84"/>
      <c r="E492" s="84"/>
      <c r="F492" s="84"/>
      <c r="G492" s="84"/>
      <c r="H492" s="84"/>
      <c r="I492" s="84"/>
      <c r="J492" s="84"/>
      <c r="K492" s="84"/>
      <c r="L492" s="84"/>
    </row>
    <row r="493" ht="15.75" customHeight="1">
      <c r="A493" s="84"/>
      <c r="B493" s="84"/>
      <c r="C493" s="84"/>
      <c r="D493" s="84"/>
      <c r="E493" s="84"/>
      <c r="F493" s="84"/>
      <c r="G493" s="84"/>
      <c r="H493" s="84"/>
      <c r="I493" s="84"/>
      <c r="J493" s="84"/>
      <c r="K493" s="84"/>
      <c r="L493" s="84"/>
    </row>
    <row r="494" ht="15.75" customHeight="1">
      <c r="A494" s="84"/>
      <c r="B494" s="84"/>
      <c r="C494" s="84"/>
      <c r="D494" s="84"/>
      <c r="E494" s="84"/>
      <c r="F494" s="84"/>
      <c r="G494" s="84"/>
      <c r="H494" s="84"/>
      <c r="I494" s="84"/>
      <c r="J494" s="84"/>
      <c r="K494" s="84"/>
      <c r="L494" s="84"/>
    </row>
    <row r="495" ht="15.75" customHeight="1">
      <c r="A495" s="84"/>
      <c r="B495" s="84"/>
      <c r="C495" s="84"/>
      <c r="D495" s="84"/>
      <c r="E495" s="84"/>
      <c r="F495" s="84"/>
      <c r="G495" s="84"/>
      <c r="H495" s="84"/>
      <c r="I495" s="84"/>
      <c r="J495" s="84"/>
      <c r="K495" s="84"/>
      <c r="L495" s="84"/>
    </row>
    <row r="496" ht="15.75" customHeight="1">
      <c r="A496" s="84"/>
      <c r="B496" s="84"/>
      <c r="C496" s="84"/>
      <c r="D496" s="84"/>
      <c r="E496" s="84"/>
      <c r="F496" s="84"/>
      <c r="G496" s="84"/>
      <c r="H496" s="84"/>
      <c r="I496" s="84"/>
      <c r="J496" s="84"/>
      <c r="K496" s="84"/>
      <c r="L496" s="84"/>
    </row>
    <row r="497" ht="15.75" customHeight="1">
      <c r="A497" s="84"/>
      <c r="B497" s="84"/>
      <c r="C497" s="84"/>
      <c r="D497" s="84"/>
      <c r="E497" s="84"/>
      <c r="F497" s="84"/>
      <c r="G497" s="84"/>
      <c r="H497" s="84"/>
      <c r="I497" s="84"/>
      <c r="J497" s="84"/>
      <c r="K497" s="84"/>
      <c r="L497" s="84"/>
    </row>
    <row r="498" ht="15.75" customHeight="1">
      <c r="A498" s="84"/>
      <c r="B498" s="84"/>
      <c r="C498" s="84"/>
      <c r="D498" s="84"/>
      <c r="E498" s="84"/>
      <c r="F498" s="84"/>
      <c r="G498" s="84"/>
      <c r="H498" s="84"/>
      <c r="I498" s="84"/>
      <c r="J498" s="84"/>
      <c r="K498" s="84"/>
      <c r="L498" s="84"/>
    </row>
    <row r="499" ht="15.75" customHeight="1">
      <c r="A499" s="84"/>
      <c r="B499" s="84"/>
      <c r="C499" s="84"/>
      <c r="D499" s="84"/>
      <c r="E499" s="84"/>
      <c r="F499" s="84"/>
      <c r="G499" s="84"/>
      <c r="H499" s="84"/>
      <c r="I499" s="84"/>
      <c r="J499" s="84"/>
      <c r="K499" s="84"/>
      <c r="L499" s="84"/>
    </row>
    <row r="500" ht="15.75" customHeight="1">
      <c r="A500" s="84"/>
      <c r="B500" s="84"/>
      <c r="C500" s="84"/>
      <c r="D500" s="84"/>
      <c r="E500" s="84"/>
      <c r="F500" s="84"/>
      <c r="G500" s="84"/>
      <c r="H500" s="84"/>
      <c r="I500" s="84"/>
      <c r="J500" s="84"/>
      <c r="K500" s="84"/>
      <c r="L500" s="84"/>
    </row>
    <row r="501" ht="15.75" customHeight="1">
      <c r="A501" s="84"/>
      <c r="B501" s="84"/>
      <c r="C501" s="84"/>
      <c r="D501" s="84"/>
      <c r="E501" s="84"/>
      <c r="F501" s="84"/>
      <c r="G501" s="84"/>
      <c r="H501" s="84"/>
      <c r="I501" s="84"/>
      <c r="J501" s="84"/>
      <c r="K501" s="84"/>
      <c r="L501" s="84"/>
    </row>
    <row r="502" ht="15.75" customHeight="1">
      <c r="A502" s="84"/>
      <c r="B502" s="84"/>
      <c r="C502" s="84"/>
      <c r="D502" s="84"/>
      <c r="E502" s="84"/>
      <c r="F502" s="84"/>
      <c r="G502" s="84"/>
      <c r="H502" s="84"/>
      <c r="I502" s="84"/>
      <c r="J502" s="84"/>
      <c r="K502" s="84"/>
      <c r="L502" s="84"/>
    </row>
    <row r="503" ht="15.75" customHeight="1">
      <c r="A503" s="84"/>
      <c r="B503" s="84"/>
      <c r="C503" s="84"/>
      <c r="D503" s="84"/>
      <c r="E503" s="84"/>
      <c r="F503" s="84"/>
      <c r="G503" s="84"/>
      <c r="H503" s="84"/>
      <c r="I503" s="84"/>
      <c r="J503" s="84"/>
      <c r="K503" s="84"/>
      <c r="L503" s="84"/>
    </row>
    <row r="504" ht="15.75" customHeight="1">
      <c r="A504" s="84"/>
      <c r="B504" s="84"/>
      <c r="C504" s="84"/>
      <c r="D504" s="84"/>
      <c r="E504" s="84"/>
      <c r="F504" s="84"/>
      <c r="G504" s="84"/>
      <c r="H504" s="84"/>
      <c r="I504" s="84"/>
      <c r="J504" s="84"/>
      <c r="K504" s="84"/>
      <c r="L504" s="84"/>
    </row>
    <row r="505" ht="15.75" customHeight="1">
      <c r="A505" s="84"/>
      <c r="B505" s="84"/>
      <c r="C505" s="84"/>
      <c r="D505" s="84"/>
      <c r="E505" s="84"/>
      <c r="F505" s="84"/>
      <c r="G505" s="84"/>
      <c r="H505" s="84"/>
      <c r="I505" s="84"/>
      <c r="J505" s="84"/>
      <c r="K505" s="84"/>
      <c r="L505" s="84"/>
    </row>
    <row r="506" ht="15.75" customHeight="1">
      <c r="A506" s="84"/>
      <c r="B506" s="84"/>
      <c r="C506" s="84"/>
      <c r="D506" s="84"/>
      <c r="E506" s="84"/>
      <c r="F506" s="84"/>
      <c r="G506" s="84"/>
      <c r="H506" s="84"/>
      <c r="I506" s="84"/>
      <c r="J506" s="84"/>
      <c r="K506" s="84"/>
      <c r="L506" s="84"/>
    </row>
    <row r="507" ht="15.75" customHeight="1">
      <c r="A507" s="84"/>
      <c r="B507" s="84"/>
      <c r="C507" s="84"/>
      <c r="D507" s="84"/>
      <c r="E507" s="84"/>
      <c r="F507" s="84"/>
      <c r="G507" s="84"/>
      <c r="H507" s="84"/>
      <c r="I507" s="84"/>
      <c r="J507" s="84"/>
      <c r="K507" s="84"/>
      <c r="L507" s="84"/>
    </row>
    <row r="508" ht="15.75" customHeight="1">
      <c r="A508" s="84"/>
      <c r="B508" s="84"/>
      <c r="C508" s="84"/>
      <c r="D508" s="84"/>
      <c r="E508" s="84"/>
      <c r="F508" s="84"/>
      <c r="G508" s="84"/>
      <c r="H508" s="84"/>
      <c r="I508" s="84"/>
      <c r="J508" s="84"/>
      <c r="K508" s="84"/>
      <c r="L508" s="84"/>
    </row>
    <row r="509" ht="15.75" customHeight="1">
      <c r="A509" s="84"/>
      <c r="B509" s="84"/>
      <c r="C509" s="84"/>
      <c r="D509" s="84"/>
      <c r="E509" s="84"/>
      <c r="F509" s="84"/>
      <c r="G509" s="84"/>
      <c r="H509" s="84"/>
      <c r="I509" s="84"/>
      <c r="J509" s="84"/>
      <c r="K509" s="84"/>
      <c r="L509" s="84"/>
    </row>
    <row r="510" ht="15.75" customHeight="1">
      <c r="A510" s="84"/>
      <c r="B510" s="84"/>
      <c r="C510" s="84"/>
      <c r="D510" s="84"/>
      <c r="E510" s="84"/>
      <c r="F510" s="84"/>
      <c r="G510" s="84"/>
      <c r="H510" s="84"/>
      <c r="I510" s="84"/>
      <c r="J510" s="84"/>
      <c r="K510" s="84"/>
      <c r="L510" s="84"/>
    </row>
    <row r="511" ht="15.75" customHeight="1">
      <c r="A511" s="84"/>
      <c r="B511" s="84"/>
      <c r="C511" s="84"/>
      <c r="D511" s="84"/>
      <c r="E511" s="84"/>
      <c r="F511" s="84"/>
      <c r="G511" s="84"/>
      <c r="H511" s="84"/>
      <c r="I511" s="84"/>
      <c r="J511" s="84"/>
      <c r="K511" s="84"/>
      <c r="L511" s="84"/>
    </row>
    <row r="512" ht="15.75" customHeight="1">
      <c r="A512" s="84"/>
      <c r="B512" s="84"/>
      <c r="C512" s="84"/>
      <c r="D512" s="84"/>
      <c r="E512" s="84"/>
      <c r="F512" s="84"/>
      <c r="G512" s="84"/>
      <c r="H512" s="84"/>
      <c r="I512" s="84"/>
      <c r="J512" s="84"/>
      <c r="K512" s="84"/>
      <c r="L512" s="84"/>
    </row>
    <row r="513" ht="15.75" customHeight="1">
      <c r="A513" s="84"/>
      <c r="B513" s="84"/>
      <c r="C513" s="84"/>
      <c r="D513" s="84"/>
      <c r="E513" s="84"/>
      <c r="F513" s="84"/>
      <c r="G513" s="84"/>
      <c r="H513" s="84"/>
      <c r="I513" s="84"/>
      <c r="J513" s="84"/>
      <c r="K513" s="84"/>
      <c r="L513" s="84"/>
    </row>
    <row r="514" ht="15.75" customHeight="1">
      <c r="A514" s="84"/>
      <c r="B514" s="84"/>
      <c r="C514" s="84"/>
      <c r="D514" s="84"/>
      <c r="E514" s="84"/>
      <c r="F514" s="84"/>
      <c r="G514" s="84"/>
      <c r="H514" s="84"/>
      <c r="I514" s="84"/>
      <c r="J514" s="84"/>
      <c r="K514" s="84"/>
      <c r="L514" s="84"/>
    </row>
    <row r="515" ht="15.75" customHeight="1">
      <c r="A515" s="84"/>
      <c r="B515" s="84"/>
      <c r="C515" s="84"/>
      <c r="D515" s="84"/>
      <c r="E515" s="84"/>
      <c r="F515" s="84"/>
      <c r="G515" s="84"/>
      <c r="H515" s="84"/>
      <c r="I515" s="84"/>
      <c r="J515" s="84"/>
      <c r="K515" s="84"/>
      <c r="L515" s="84"/>
    </row>
    <row r="516" ht="15.75" customHeight="1">
      <c r="A516" s="84"/>
      <c r="B516" s="84"/>
      <c r="C516" s="84"/>
      <c r="D516" s="84"/>
      <c r="E516" s="84"/>
      <c r="F516" s="84"/>
      <c r="G516" s="84"/>
      <c r="H516" s="84"/>
      <c r="I516" s="84"/>
      <c r="J516" s="84"/>
      <c r="K516" s="84"/>
      <c r="L516" s="84"/>
    </row>
    <row r="517" ht="15.75" customHeight="1">
      <c r="A517" s="84"/>
      <c r="B517" s="84"/>
      <c r="C517" s="84"/>
      <c r="D517" s="84"/>
      <c r="E517" s="84"/>
      <c r="F517" s="84"/>
      <c r="G517" s="84"/>
      <c r="H517" s="84"/>
      <c r="I517" s="84"/>
      <c r="J517" s="84"/>
      <c r="K517" s="84"/>
      <c r="L517" s="84"/>
    </row>
    <row r="518" ht="15.75" customHeight="1">
      <c r="A518" s="84"/>
      <c r="B518" s="84"/>
      <c r="C518" s="84"/>
      <c r="D518" s="84"/>
      <c r="E518" s="84"/>
      <c r="F518" s="84"/>
      <c r="G518" s="84"/>
      <c r="H518" s="84"/>
      <c r="I518" s="84"/>
      <c r="J518" s="84"/>
      <c r="K518" s="84"/>
      <c r="L518" s="84"/>
    </row>
    <row r="519" ht="15.75" customHeight="1">
      <c r="A519" s="84"/>
      <c r="B519" s="84"/>
      <c r="C519" s="84"/>
      <c r="D519" s="84"/>
      <c r="E519" s="84"/>
      <c r="F519" s="84"/>
      <c r="G519" s="84"/>
      <c r="H519" s="84"/>
      <c r="I519" s="84"/>
      <c r="J519" s="84"/>
      <c r="K519" s="84"/>
      <c r="L519" s="84"/>
    </row>
    <row r="520" ht="15.75" customHeight="1">
      <c r="A520" s="84"/>
      <c r="B520" s="84"/>
      <c r="C520" s="84"/>
      <c r="D520" s="84"/>
      <c r="E520" s="84"/>
      <c r="F520" s="84"/>
      <c r="G520" s="84"/>
      <c r="H520" s="84"/>
      <c r="I520" s="84"/>
      <c r="J520" s="84"/>
      <c r="K520" s="84"/>
      <c r="L520" s="84"/>
    </row>
    <row r="521" ht="15.75" customHeight="1">
      <c r="A521" s="84"/>
      <c r="B521" s="84"/>
      <c r="C521" s="84"/>
      <c r="D521" s="84"/>
      <c r="E521" s="84"/>
      <c r="F521" s="84"/>
      <c r="G521" s="84"/>
      <c r="H521" s="84"/>
      <c r="I521" s="84"/>
      <c r="J521" s="84"/>
      <c r="K521" s="84"/>
      <c r="L521" s="84"/>
    </row>
    <row r="522" ht="15.75" customHeight="1">
      <c r="A522" s="84"/>
      <c r="B522" s="84"/>
      <c r="C522" s="84"/>
      <c r="D522" s="84"/>
      <c r="E522" s="84"/>
      <c r="F522" s="84"/>
      <c r="G522" s="84"/>
      <c r="H522" s="84"/>
      <c r="I522" s="84"/>
      <c r="J522" s="84"/>
      <c r="K522" s="84"/>
      <c r="L522" s="84"/>
    </row>
    <row r="523" ht="15.75" customHeight="1">
      <c r="A523" s="84"/>
      <c r="B523" s="84"/>
      <c r="C523" s="84"/>
      <c r="D523" s="84"/>
      <c r="E523" s="84"/>
      <c r="F523" s="84"/>
      <c r="G523" s="84"/>
      <c r="H523" s="84"/>
      <c r="I523" s="84"/>
      <c r="J523" s="84"/>
      <c r="K523" s="84"/>
      <c r="L523" s="84"/>
    </row>
    <row r="524" ht="15.75" customHeight="1">
      <c r="A524" s="84"/>
      <c r="B524" s="84"/>
      <c r="C524" s="84"/>
      <c r="D524" s="84"/>
      <c r="E524" s="84"/>
      <c r="F524" s="84"/>
      <c r="G524" s="84"/>
      <c r="H524" s="84"/>
      <c r="I524" s="84"/>
      <c r="J524" s="84"/>
      <c r="K524" s="84"/>
      <c r="L524" s="84"/>
    </row>
    <row r="525" ht="15.75" customHeight="1">
      <c r="A525" s="84"/>
      <c r="B525" s="84"/>
      <c r="C525" s="84"/>
      <c r="D525" s="84"/>
      <c r="E525" s="84"/>
      <c r="F525" s="84"/>
      <c r="G525" s="84"/>
      <c r="H525" s="84"/>
      <c r="I525" s="84"/>
      <c r="J525" s="84"/>
      <c r="K525" s="84"/>
      <c r="L525" s="84"/>
    </row>
    <row r="526" ht="15.75" customHeight="1">
      <c r="A526" s="84"/>
      <c r="B526" s="84"/>
      <c r="C526" s="84"/>
      <c r="D526" s="84"/>
      <c r="E526" s="84"/>
      <c r="F526" s="84"/>
      <c r="G526" s="84"/>
      <c r="H526" s="84"/>
      <c r="I526" s="84"/>
      <c r="J526" s="84"/>
      <c r="K526" s="84"/>
      <c r="L526" s="84"/>
    </row>
    <row r="527" ht="15.75" customHeight="1">
      <c r="A527" s="84"/>
      <c r="B527" s="84"/>
      <c r="C527" s="84"/>
      <c r="D527" s="84"/>
      <c r="E527" s="84"/>
      <c r="F527" s="84"/>
      <c r="G527" s="84"/>
      <c r="H527" s="84"/>
      <c r="I527" s="84"/>
      <c r="J527" s="84"/>
      <c r="K527" s="84"/>
      <c r="L527" s="84"/>
    </row>
    <row r="528" ht="15.75" customHeight="1">
      <c r="A528" s="84"/>
      <c r="B528" s="84"/>
      <c r="C528" s="84"/>
      <c r="D528" s="84"/>
      <c r="E528" s="84"/>
      <c r="F528" s="84"/>
      <c r="G528" s="84"/>
      <c r="H528" s="84"/>
      <c r="I528" s="84"/>
      <c r="J528" s="84"/>
      <c r="K528" s="84"/>
      <c r="L528" s="84"/>
    </row>
    <row r="529" ht="15.75" customHeight="1">
      <c r="A529" s="84"/>
      <c r="B529" s="84"/>
      <c r="C529" s="84"/>
      <c r="D529" s="84"/>
      <c r="E529" s="84"/>
      <c r="F529" s="84"/>
      <c r="G529" s="84"/>
      <c r="H529" s="84"/>
      <c r="I529" s="84"/>
      <c r="J529" s="84"/>
      <c r="K529" s="84"/>
      <c r="L529" s="84"/>
    </row>
    <row r="530" ht="15.75" customHeight="1">
      <c r="A530" s="84"/>
      <c r="B530" s="84"/>
      <c r="C530" s="84"/>
      <c r="D530" s="84"/>
      <c r="E530" s="84"/>
      <c r="F530" s="84"/>
      <c r="G530" s="84"/>
      <c r="H530" s="84"/>
      <c r="I530" s="84"/>
      <c r="J530" s="84"/>
      <c r="K530" s="84"/>
      <c r="L530" s="84"/>
    </row>
    <row r="531" ht="15.75" customHeight="1">
      <c r="A531" s="84"/>
      <c r="B531" s="84"/>
      <c r="C531" s="84"/>
      <c r="D531" s="84"/>
      <c r="E531" s="84"/>
      <c r="F531" s="84"/>
      <c r="G531" s="84"/>
      <c r="H531" s="84"/>
      <c r="I531" s="84"/>
      <c r="J531" s="84"/>
      <c r="K531" s="84"/>
      <c r="L531" s="84"/>
    </row>
    <row r="532" ht="15.75" customHeight="1">
      <c r="A532" s="84"/>
      <c r="B532" s="84"/>
      <c r="C532" s="84"/>
      <c r="D532" s="84"/>
      <c r="E532" s="84"/>
      <c r="F532" s="84"/>
      <c r="G532" s="84"/>
      <c r="H532" s="84"/>
      <c r="I532" s="84"/>
      <c r="J532" s="84"/>
      <c r="K532" s="84"/>
      <c r="L532" s="84"/>
    </row>
    <row r="533" ht="15.75" customHeight="1">
      <c r="A533" s="84"/>
      <c r="B533" s="84"/>
      <c r="C533" s="84"/>
      <c r="D533" s="84"/>
      <c r="E533" s="84"/>
      <c r="F533" s="84"/>
      <c r="G533" s="84"/>
      <c r="H533" s="84"/>
      <c r="I533" s="84"/>
      <c r="J533" s="84"/>
      <c r="K533" s="84"/>
      <c r="L533" s="84"/>
    </row>
    <row r="534" ht="15.75" customHeight="1">
      <c r="A534" s="84"/>
      <c r="B534" s="84"/>
      <c r="C534" s="84"/>
      <c r="D534" s="84"/>
      <c r="E534" s="84"/>
      <c r="F534" s="84"/>
      <c r="G534" s="84"/>
      <c r="H534" s="84"/>
      <c r="I534" s="84"/>
      <c r="J534" s="84"/>
      <c r="K534" s="84"/>
      <c r="L534" s="84"/>
    </row>
    <row r="535" ht="15.75" customHeight="1">
      <c r="A535" s="84"/>
      <c r="B535" s="84"/>
      <c r="C535" s="84"/>
      <c r="D535" s="84"/>
      <c r="E535" s="84"/>
      <c r="F535" s="84"/>
      <c r="G535" s="84"/>
      <c r="H535" s="84"/>
      <c r="I535" s="84"/>
      <c r="J535" s="84"/>
      <c r="K535" s="84"/>
      <c r="L535" s="84"/>
    </row>
    <row r="536" ht="15.75" customHeight="1">
      <c r="A536" s="84"/>
      <c r="B536" s="84"/>
      <c r="C536" s="84"/>
      <c r="D536" s="84"/>
      <c r="E536" s="84"/>
      <c r="F536" s="84"/>
      <c r="G536" s="84"/>
      <c r="H536" s="84"/>
      <c r="I536" s="84"/>
      <c r="J536" s="84"/>
      <c r="K536" s="84"/>
      <c r="L536" s="84"/>
    </row>
    <row r="537" ht="15.75" customHeight="1">
      <c r="A537" s="84"/>
      <c r="B537" s="84"/>
      <c r="C537" s="84"/>
      <c r="D537" s="84"/>
      <c r="E537" s="84"/>
      <c r="F537" s="84"/>
      <c r="G537" s="84"/>
      <c r="H537" s="84"/>
      <c r="I537" s="84"/>
      <c r="J537" s="84"/>
      <c r="K537" s="84"/>
      <c r="L537" s="84"/>
    </row>
    <row r="538" ht="15.75" customHeight="1">
      <c r="A538" s="84"/>
      <c r="B538" s="84"/>
      <c r="C538" s="84"/>
      <c r="D538" s="84"/>
      <c r="E538" s="84"/>
      <c r="F538" s="84"/>
      <c r="G538" s="84"/>
      <c r="H538" s="84"/>
      <c r="I538" s="84"/>
      <c r="J538" s="84"/>
      <c r="K538" s="84"/>
      <c r="L538" s="84"/>
    </row>
    <row r="539" ht="15.75" customHeight="1">
      <c r="A539" s="84"/>
      <c r="B539" s="84"/>
      <c r="C539" s="84"/>
      <c r="D539" s="84"/>
      <c r="E539" s="84"/>
      <c r="F539" s="84"/>
      <c r="G539" s="84"/>
      <c r="H539" s="84"/>
      <c r="I539" s="84"/>
      <c r="J539" s="84"/>
      <c r="K539" s="84"/>
      <c r="L539" s="84"/>
    </row>
    <row r="540" ht="15.75" customHeight="1">
      <c r="A540" s="84"/>
      <c r="B540" s="84"/>
      <c r="C540" s="84"/>
      <c r="D540" s="84"/>
      <c r="E540" s="84"/>
      <c r="F540" s="84"/>
      <c r="G540" s="84"/>
      <c r="H540" s="84"/>
      <c r="I540" s="84"/>
      <c r="J540" s="84"/>
      <c r="K540" s="84"/>
      <c r="L540" s="84"/>
    </row>
    <row r="541" ht="15.75" customHeight="1">
      <c r="A541" s="84"/>
      <c r="B541" s="84"/>
      <c r="C541" s="84"/>
      <c r="D541" s="84"/>
      <c r="E541" s="84"/>
      <c r="F541" s="84"/>
      <c r="G541" s="84"/>
      <c r="H541" s="84"/>
      <c r="I541" s="84"/>
      <c r="J541" s="84"/>
      <c r="K541" s="84"/>
      <c r="L541" s="84"/>
    </row>
    <row r="542" ht="15.75" customHeight="1">
      <c r="A542" s="84"/>
      <c r="B542" s="84"/>
      <c r="C542" s="84"/>
      <c r="D542" s="84"/>
      <c r="E542" s="84"/>
      <c r="F542" s="84"/>
      <c r="G542" s="84"/>
      <c r="H542" s="84"/>
      <c r="I542" s="84"/>
      <c r="J542" s="84"/>
      <c r="K542" s="84"/>
      <c r="L542" s="84"/>
    </row>
    <row r="543" ht="15.75" customHeight="1">
      <c r="A543" s="84"/>
      <c r="B543" s="84"/>
      <c r="C543" s="84"/>
      <c r="D543" s="84"/>
      <c r="E543" s="84"/>
      <c r="F543" s="84"/>
      <c r="G543" s="84"/>
      <c r="H543" s="84"/>
      <c r="I543" s="84"/>
      <c r="J543" s="84"/>
      <c r="K543" s="84"/>
      <c r="L543" s="84"/>
    </row>
    <row r="544" ht="15.75" customHeight="1">
      <c r="A544" s="84"/>
      <c r="B544" s="84"/>
      <c r="C544" s="84"/>
      <c r="D544" s="84"/>
      <c r="E544" s="84"/>
      <c r="F544" s="84"/>
      <c r="G544" s="84"/>
      <c r="H544" s="84"/>
      <c r="I544" s="84"/>
      <c r="J544" s="84"/>
      <c r="K544" s="84"/>
      <c r="L544" s="84"/>
    </row>
    <row r="545" ht="15.75" customHeight="1">
      <c r="A545" s="84"/>
      <c r="B545" s="84"/>
      <c r="C545" s="84"/>
      <c r="D545" s="84"/>
      <c r="E545" s="84"/>
      <c r="F545" s="84"/>
      <c r="G545" s="84"/>
      <c r="H545" s="84"/>
      <c r="I545" s="84"/>
      <c r="J545" s="84"/>
      <c r="K545" s="84"/>
      <c r="L545" s="84"/>
    </row>
    <row r="546" ht="15.75" customHeight="1">
      <c r="A546" s="84"/>
      <c r="B546" s="84"/>
      <c r="C546" s="84"/>
      <c r="D546" s="84"/>
      <c r="E546" s="84"/>
      <c r="F546" s="84"/>
      <c r="G546" s="84"/>
      <c r="H546" s="84"/>
      <c r="I546" s="84"/>
      <c r="J546" s="84"/>
      <c r="K546" s="84"/>
      <c r="L546" s="84"/>
    </row>
    <row r="547" ht="15.75" customHeight="1">
      <c r="A547" s="84"/>
      <c r="B547" s="84"/>
      <c r="C547" s="84"/>
      <c r="D547" s="84"/>
      <c r="E547" s="84"/>
      <c r="F547" s="84"/>
      <c r="G547" s="84"/>
      <c r="H547" s="84"/>
      <c r="I547" s="84"/>
      <c r="J547" s="84"/>
      <c r="K547" s="84"/>
      <c r="L547" s="84"/>
    </row>
    <row r="548" ht="15.75" customHeight="1">
      <c r="A548" s="84"/>
      <c r="B548" s="84"/>
      <c r="C548" s="84"/>
      <c r="D548" s="84"/>
      <c r="E548" s="84"/>
      <c r="F548" s="84"/>
      <c r="G548" s="84"/>
      <c r="H548" s="84"/>
      <c r="I548" s="84"/>
      <c r="J548" s="84"/>
      <c r="K548" s="84"/>
      <c r="L548" s="84"/>
    </row>
    <row r="549" ht="15.75" customHeight="1">
      <c r="A549" s="84"/>
      <c r="B549" s="84"/>
      <c r="C549" s="84"/>
      <c r="D549" s="84"/>
      <c r="E549" s="84"/>
      <c r="F549" s="84"/>
      <c r="G549" s="84"/>
      <c r="H549" s="84"/>
      <c r="I549" s="84"/>
      <c r="J549" s="84"/>
      <c r="K549" s="84"/>
      <c r="L549" s="84"/>
    </row>
    <row r="550" ht="15.75" customHeight="1">
      <c r="A550" s="84"/>
      <c r="B550" s="84"/>
      <c r="C550" s="84"/>
      <c r="D550" s="84"/>
      <c r="E550" s="84"/>
      <c r="F550" s="84"/>
      <c r="G550" s="84"/>
      <c r="H550" s="84"/>
      <c r="I550" s="84"/>
      <c r="J550" s="84"/>
      <c r="K550" s="84"/>
      <c r="L550" s="84"/>
    </row>
    <row r="551" ht="15.75" customHeight="1">
      <c r="A551" s="84"/>
      <c r="B551" s="84"/>
      <c r="C551" s="84"/>
      <c r="D551" s="84"/>
      <c r="E551" s="84"/>
      <c r="F551" s="84"/>
      <c r="G551" s="84"/>
      <c r="H551" s="84"/>
      <c r="I551" s="84"/>
      <c r="J551" s="84"/>
      <c r="K551" s="84"/>
      <c r="L551" s="84"/>
    </row>
    <row r="552" ht="15.75" customHeight="1">
      <c r="A552" s="84"/>
      <c r="B552" s="84"/>
      <c r="C552" s="84"/>
      <c r="D552" s="84"/>
      <c r="E552" s="84"/>
      <c r="F552" s="84"/>
      <c r="G552" s="84"/>
      <c r="H552" s="84"/>
      <c r="I552" s="84"/>
      <c r="J552" s="84"/>
      <c r="K552" s="84"/>
      <c r="L552" s="84"/>
    </row>
    <row r="553" ht="15.75" customHeight="1">
      <c r="A553" s="84"/>
      <c r="B553" s="84"/>
      <c r="C553" s="84"/>
      <c r="D553" s="84"/>
      <c r="E553" s="84"/>
      <c r="F553" s="84"/>
      <c r="G553" s="84"/>
      <c r="H553" s="84"/>
      <c r="I553" s="84"/>
      <c r="J553" s="84"/>
      <c r="K553" s="84"/>
      <c r="L553" s="84"/>
    </row>
    <row r="554" ht="15.75" customHeight="1">
      <c r="A554" s="84"/>
      <c r="B554" s="84"/>
      <c r="C554" s="84"/>
      <c r="D554" s="84"/>
      <c r="E554" s="84"/>
      <c r="F554" s="84"/>
      <c r="G554" s="84"/>
      <c r="H554" s="84"/>
      <c r="I554" s="84"/>
      <c r="J554" s="84"/>
      <c r="K554" s="84"/>
      <c r="L554" s="84"/>
    </row>
    <row r="555" ht="15.75" customHeight="1">
      <c r="A555" s="84"/>
      <c r="B555" s="84"/>
      <c r="C555" s="84"/>
      <c r="D555" s="84"/>
      <c r="E555" s="84"/>
      <c r="F555" s="84"/>
      <c r="G555" s="84"/>
      <c r="H555" s="84"/>
      <c r="I555" s="84"/>
      <c r="J555" s="84"/>
      <c r="K555" s="84"/>
      <c r="L555" s="84"/>
    </row>
    <row r="556" ht="15.75" customHeight="1">
      <c r="A556" s="84"/>
      <c r="B556" s="84"/>
      <c r="C556" s="84"/>
      <c r="D556" s="84"/>
      <c r="E556" s="84"/>
      <c r="F556" s="84"/>
      <c r="G556" s="84"/>
      <c r="H556" s="84"/>
      <c r="I556" s="84"/>
      <c r="J556" s="84"/>
      <c r="K556" s="84"/>
      <c r="L556" s="84"/>
    </row>
    <row r="557" ht="15.75" customHeight="1">
      <c r="A557" s="84"/>
      <c r="B557" s="84"/>
      <c r="C557" s="84"/>
      <c r="D557" s="84"/>
      <c r="E557" s="84"/>
      <c r="F557" s="84"/>
      <c r="G557" s="84"/>
      <c r="H557" s="84"/>
      <c r="I557" s="84"/>
      <c r="J557" s="84"/>
      <c r="K557" s="84"/>
      <c r="L557" s="84"/>
    </row>
    <row r="558" ht="15.75" customHeight="1">
      <c r="A558" s="84"/>
      <c r="B558" s="84"/>
      <c r="C558" s="84"/>
      <c r="D558" s="84"/>
      <c r="E558" s="84"/>
      <c r="F558" s="84"/>
      <c r="G558" s="84"/>
      <c r="H558" s="84"/>
      <c r="I558" s="84"/>
      <c r="J558" s="84"/>
      <c r="K558" s="84"/>
      <c r="L558" s="84"/>
    </row>
    <row r="559" ht="15.75" customHeight="1">
      <c r="A559" s="84"/>
      <c r="B559" s="84"/>
      <c r="C559" s="84"/>
      <c r="D559" s="84"/>
      <c r="E559" s="84"/>
      <c r="F559" s="84"/>
      <c r="G559" s="84"/>
      <c r="H559" s="84"/>
      <c r="I559" s="84"/>
      <c r="J559" s="84"/>
      <c r="K559" s="84"/>
      <c r="L559" s="84"/>
    </row>
    <row r="560" ht="15.75" customHeight="1">
      <c r="A560" s="84"/>
      <c r="B560" s="84"/>
      <c r="C560" s="84"/>
      <c r="D560" s="84"/>
      <c r="E560" s="84"/>
      <c r="F560" s="84"/>
      <c r="G560" s="84"/>
      <c r="H560" s="84"/>
      <c r="I560" s="84"/>
      <c r="J560" s="84"/>
      <c r="K560" s="84"/>
      <c r="L560" s="84"/>
    </row>
    <row r="561" ht="15.75" customHeight="1">
      <c r="A561" s="84"/>
      <c r="B561" s="84"/>
      <c r="C561" s="84"/>
      <c r="D561" s="84"/>
      <c r="E561" s="84"/>
      <c r="F561" s="84"/>
      <c r="G561" s="84"/>
      <c r="H561" s="84"/>
      <c r="I561" s="84"/>
      <c r="J561" s="84"/>
      <c r="K561" s="84"/>
      <c r="L561" s="84"/>
    </row>
    <row r="562" ht="15.75" customHeight="1">
      <c r="A562" s="84"/>
      <c r="B562" s="84"/>
      <c r="C562" s="84"/>
      <c r="D562" s="84"/>
      <c r="E562" s="84"/>
      <c r="F562" s="84"/>
      <c r="G562" s="84"/>
      <c r="H562" s="84"/>
      <c r="I562" s="84"/>
      <c r="J562" s="84"/>
      <c r="K562" s="84"/>
      <c r="L562" s="84"/>
    </row>
    <row r="563" ht="15.75" customHeight="1">
      <c r="A563" s="84"/>
      <c r="B563" s="84"/>
      <c r="C563" s="84"/>
      <c r="D563" s="84"/>
      <c r="E563" s="84"/>
      <c r="F563" s="84"/>
      <c r="G563" s="84"/>
      <c r="H563" s="84"/>
      <c r="I563" s="84"/>
      <c r="J563" s="84"/>
      <c r="K563" s="84"/>
      <c r="L563" s="84"/>
    </row>
    <row r="564" ht="15.75" customHeight="1">
      <c r="A564" s="84"/>
      <c r="B564" s="84"/>
      <c r="C564" s="84"/>
      <c r="D564" s="84"/>
      <c r="E564" s="84"/>
      <c r="F564" s="84"/>
      <c r="G564" s="84"/>
      <c r="H564" s="84"/>
      <c r="I564" s="84"/>
      <c r="J564" s="84"/>
      <c r="K564" s="84"/>
      <c r="L564" s="84"/>
    </row>
    <row r="565" ht="15.75" customHeight="1">
      <c r="A565" s="84"/>
      <c r="B565" s="84"/>
      <c r="C565" s="84"/>
      <c r="D565" s="84"/>
      <c r="E565" s="84"/>
      <c r="F565" s="84"/>
      <c r="G565" s="84"/>
      <c r="H565" s="84"/>
      <c r="I565" s="84"/>
      <c r="J565" s="84"/>
      <c r="K565" s="84"/>
      <c r="L565" s="84"/>
    </row>
    <row r="566" ht="15.75" customHeight="1">
      <c r="A566" s="84"/>
      <c r="B566" s="84"/>
      <c r="C566" s="84"/>
      <c r="D566" s="84"/>
      <c r="E566" s="84"/>
      <c r="F566" s="84"/>
      <c r="G566" s="84"/>
      <c r="H566" s="84"/>
      <c r="I566" s="84"/>
      <c r="J566" s="84"/>
      <c r="K566" s="84"/>
      <c r="L566" s="84"/>
    </row>
    <row r="567" ht="15.75" customHeight="1">
      <c r="A567" s="84"/>
      <c r="B567" s="84"/>
      <c r="C567" s="84"/>
      <c r="D567" s="84"/>
      <c r="E567" s="84"/>
      <c r="F567" s="84"/>
      <c r="G567" s="84"/>
      <c r="H567" s="84"/>
      <c r="I567" s="84"/>
      <c r="J567" s="84"/>
      <c r="K567" s="84"/>
      <c r="L567" s="84"/>
    </row>
    <row r="568" ht="15.75" customHeight="1">
      <c r="A568" s="84"/>
      <c r="B568" s="84"/>
      <c r="C568" s="84"/>
      <c r="D568" s="84"/>
      <c r="E568" s="84"/>
      <c r="F568" s="84"/>
      <c r="G568" s="84"/>
      <c r="H568" s="84"/>
      <c r="I568" s="84"/>
      <c r="J568" s="84"/>
      <c r="K568" s="84"/>
      <c r="L568" s="84"/>
    </row>
    <row r="569" ht="15.75" customHeight="1">
      <c r="A569" s="84"/>
      <c r="B569" s="84"/>
      <c r="C569" s="84"/>
      <c r="D569" s="84"/>
      <c r="E569" s="84"/>
      <c r="F569" s="84"/>
      <c r="G569" s="84"/>
      <c r="H569" s="84"/>
      <c r="I569" s="84"/>
      <c r="J569" s="84"/>
      <c r="K569" s="84"/>
      <c r="L569" s="84"/>
    </row>
    <row r="570" ht="15.75" customHeight="1">
      <c r="A570" s="84"/>
      <c r="B570" s="84"/>
      <c r="C570" s="84"/>
      <c r="D570" s="84"/>
      <c r="E570" s="84"/>
      <c r="F570" s="84"/>
      <c r="G570" s="84"/>
      <c r="H570" s="84"/>
      <c r="I570" s="84"/>
      <c r="J570" s="84"/>
      <c r="K570" s="84"/>
      <c r="L570" s="84"/>
    </row>
    <row r="571" ht="15.75" customHeight="1">
      <c r="A571" s="84"/>
      <c r="B571" s="84"/>
      <c r="C571" s="84"/>
      <c r="D571" s="84"/>
      <c r="E571" s="84"/>
      <c r="F571" s="84"/>
      <c r="G571" s="84"/>
      <c r="H571" s="84"/>
      <c r="I571" s="84"/>
      <c r="J571" s="84"/>
      <c r="K571" s="84"/>
      <c r="L571" s="84"/>
    </row>
    <row r="572" ht="15.75" customHeight="1">
      <c r="A572" s="84"/>
      <c r="B572" s="84"/>
      <c r="C572" s="84"/>
      <c r="D572" s="84"/>
      <c r="E572" s="84"/>
      <c r="F572" s="84"/>
      <c r="G572" s="84"/>
      <c r="H572" s="84"/>
      <c r="I572" s="84"/>
      <c r="J572" s="84"/>
      <c r="K572" s="84"/>
      <c r="L572" s="84"/>
    </row>
    <row r="573" ht="15.75" customHeight="1">
      <c r="A573" s="84"/>
      <c r="B573" s="84"/>
      <c r="C573" s="84"/>
      <c r="D573" s="84"/>
      <c r="E573" s="84"/>
      <c r="F573" s="84"/>
      <c r="G573" s="84"/>
      <c r="H573" s="84"/>
      <c r="I573" s="84"/>
      <c r="J573" s="84"/>
      <c r="K573" s="84"/>
      <c r="L573" s="84"/>
    </row>
    <row r="574" ht="15.75" customHeight="1">
      <c r="A574" s="84"/>
      <c r="B574" s="84"/>
      <c r="C574" s="84"/>
      <c r="D574" s="84"/>
      <c r="E574" s="84"/>
      <c r="F574" s="84"/>
      <c r="G574" s="84"/>
      <c r="H574" s="84"/>
      <c r="I574" s="84"/>
      <c r="J574" s="84"/>
      <c r="K574" s="84"/>
      <c r="L574" s="84"/>
    </row>
    <row r="575" ht="15.75" customHeight="1">
      <c r="A575" s="84"/>
      <c r="B575" s="84"/>
      <c r="C575" s="84"/>
      <c r="D575" s="84"/>
      <c r="E575" s="84"/>
      <c r="F575" s="84"/>
      <c r="G575" s="84"/>
      <c r="H575" s="84"/>
      <c r="I575" s="84"/>
      <c r="J575" s="84"/>
      <c r="K575" s="84"/>
      <c r="L575" s="84"/>
    </row>
    <row r="576" ht="15.75" customHeight="1">
      <c r="A576" s="84"/>
      <c r="B576" s="84"/>
      <c r="C576" s="84"/>
      <c r="D576" s="84"/>
      <c r="E576" s="84"/>
      <c r="F576" s="84"/>
      <c r="G576" s="84"/>
      <c r="H576" s="84"/>
      <c r="I576" s="84"/>
      <c r="J576" s="84"/>
      <c r="K576" s="84"/>
      <c r="L576" s="84"/>
    </row>
    <row r="577" ht="15.75" customHeight="1">
      <c r="A577" s="84"/>
      <c r="B577" s="84"/>
      <c r="C577" s="84"/>
      <c r="D577" s="84"/>
      <c r="E577" s="84"/>
      <c r="F577" s="84"/>
      <c r="G577" s="84"/>
      <c r="H577" s="84"/>
      <c r="I577" s="84"/>
      <c r="J577" s="84"/>
      <c r="K577" s="84"/>
      <c r="L577" s="84"/>
    </row>
    <row r="578" ht="15.75" customHeight="1">
      <c r="A578" s="84"/>
      <c r="B578" s="84"/>
      <c r="C578" s="84"/>
      <c r="D578" s="84"/>
      <c r="E578" s="84"/>
      <c r="F578" s="84"/>
      <c r="G578" s="84"/>
      <c r="H578" s="84"/>
      <c r="I578" s="84"/>
      <c r="J578" s="84"/>
      <c r="K578" s="84"/>
      <c r="L578" s="84"/>
    </row>
    <row r="579" ht="15.75" customHeight="1">
      <c r="A579" s="84"/>
      <c r="B579" s="84"/>
      <c r="C579" s="84"/>
      <c r="D579" s="84"/>
      <c r="E579" s="84"/>
      <c r="F579" s="84"/>
      <c r="G579" s="84"/>
      <c r="H579" s="84"/>
      <c r="I579" s="84"/>
      <c r="J579" s="84"/>
      <c r="K579" s="84"/>
      <c r="L579" s="84"/>
    </row>
    <row r="580" ht="15.75" customHeight="1">
      <c r="A580" s="84"/>
      <c r="B580" s="84"/>
      <c r="C580" s="84"/>
      <c r="D580" s="84"/>
      <c r="E580" s="84"/>
      <c r="F580" s="84"/>
      <c r="G580" s="84"/>
      <c r="H580" s="84"/>
      <c r="I580" s="84"/>
      <c r="J580" s="84"/>
      <c r="K580" s="84"/>
      <c r="L580" s="84"/>
    </row>
    <row r="581" ht="15.75" customHeight="1">
      <c r="A581" s="84"/>
      <c r="B581" s="84"/>
      <c r="C581" s="84"/>
      <c r="D581" s="84"/>
      <c r="E581" s="84"/>
      <c r="F581" s="84"/>
      <c r="G581" s="84"/>
      <c r="H581" s="84"/>
      <c r="I581" s="84"/>
      <c r="J581" s="84"/>
      <c r="K581" s="84"/>
      <c r="L581" s="84"/>
    </row>
    <row r="582" ht="15.75" customHeight="1">
      <c r="A582" s="84"/>
      <c r="B582" s="84"/>
      <c r="C582" s="84"/>
      <c r="D582" s="84"/>
      <c r="E582" s="84"/>
      <c r="F582" s="84"/>
      <c r="G582" s="84"/>
      <c r="H582" s="84"/>
      <c r="I582" s="84"/>
      <c r="J582" s="84"/>
      <c r="K582" s="84"/>
      <c r="L582" s="84"/>
    </row>
    <row r="583" ht="15.75" customHeight="1">
      <c r="A583" s="84"/>
      <c r="B583" s="84"/>
      <c r="C583" s="84"/>
      <c r="D583" s="84"/>
      <c r="E583" s="84"/>
      <c r="F583" s="84"/>
      <c r="G583" s="84"/>
      <c r="H583" s="84"/>
      <c r="I583" s="84"/>
      <c r="J583" s="84"/>
      <c r="K583" s="84"/>
      <c r="L583" s="84"/>
    </row>
    <row r="584" ht="15.75" customHeight="1">
      <c r="A584" s="84"/>
      <c r="B584" s="84"/>
      <c r="C584" s="84"/>
      <c r="D584" s="84"/>
      <c r="E584" s="84"/>
      <c r="F584" s="84"/>
      <c r="G584" s="84"/>
      <c r="H584" s="84"/>
      <c r="I584" s="84"/>
      <c r="J584" s="84"/>
      <c r="K584" s="84"/>
      <c r="L584" s="84"/>
    </row>
    <row r="585" ht="15.75" customHeight="1">
      <c r="A585" s="84"/>
      <c r="B585" s="84"/>
      <c r="C585" s="84"/>
      <c r="D585" s="84"/>
      <c r="E585" s="84"/>
      <c r="F585" s="84"/>
      <c r="G585" s="84"/>
      <c r="H585" s="84"/>
      <c r="I585" s="84"/>
      <c r="J585" s="84"/>
      <c r="K585" s="84"/>
      <c r="L585" s="84"/>
    </row>
    <row r="586" ht="15.75" customHeight="1">
      <c r="A586" s="84"/>
      <c r="B586" s="84"/>
      <c r="C586" s="84"/>
      <c r="D586" s="84"/>
      <c r="E586" s="84"/>
      <c r="F586" s="84"/>
      <c r="G586" s="84"/>
      <c r="H586" s="84"/>
      <c r="I586" s="84"/>
      <c r="J586" s="84"/>
      <c r="K586" s="84"/>
      <c r="L586" s="84"/>
    </row>
    <row r="587" ht="15.75" customHeight="1">
      <c r="A587" s="84"/>
      <c r="B587" s="84"/>
      <c r="C587" s="84"/>
      <c r="D587" s="84"/>
      <c r="E587" s="84"/>
      <c r="F587" s="84"/>
      <c r="G587" s="84"/>
      <c r="H587" s="84"/>
      <c r="I587" s="84"/>
      <c r="J587" s="84"/>
      <c r="K587" s="84"/>
      <c r="L587" s="84"/>
    </row>
    <row r="588" ht="15.75" customHeight="1">
      <c r="A588" s="84"/>
      <c r="B588" s="84"/>
      <c r="C588" s="84"/>
      <c r="D588" s="84"/>
      <c r="E588" s="84"/>
      <c r="F588" s="84"/>
      <c r="G588" s="84"/>
      <c r="H588" s="84"/>
      <c r="I588" s="84"/>
      <c r="J588" s="84"/>
      <c r="K588" s="84"/>
      <c r="L588" s="84"/>
    </row>
    <row r="589" ht="15.75" customHeight="1">
      <c r="A589" s="84"/>
      <c r="B589" s="84"/>
      <c r="C589" s="84"/>
      <c r="D589" s="84"/>
      <c r="E589" s="84"/>
      <c r="F589" s="84"/>
      <c r="G589" s="84"/>
      <c r="H589" s="84"/>
      <c r="I589" s="84"/>
      <c r="J589" s="84"/>
      <c r="K589" s="84"/>
      <c r="L589" s="84"/>
    </row>
    <row r="590" ht="15.75" customHeight="1">
      <c r="A590" s="84"/>
      <c r="B590" s="84"/>
      <c r="C590" s="84"/>
      <c r="D590" s="84"/>
      <c r="E590" s="84"/>
      <c r="F590" s="84"/>
      <c r="G590" s="84"/>
      <c r="H590" s="84"/>
      <c r="I590" s="84"/>
      <c r="J590" s="84"/>
      <c r="K590" s="84"/>
      <c r="L590" s="84"/>
    </row>
    <row r="591" ht="15.75" customHeight="1">
      <c r="A591" s="84"/>
      <c r="B591" s="84"/>
      <c r="C591" s="84"/>
      <c r="D591" s="84"/>
      <c r="E591" s="84"/>
      <c r="F591" s="84"/>
      <c r="G591" s="84"/>
      <c r="H591" s="84"/>
      <c r="I591" s="84"/>
      <c r="J591" s="84"/>
      <c r="K591" s="84"/>
      <c r="L591" s="84"/>
    </row>
    <row r="592" ht="15.75" customHeight="1">
      <c r="A592" s="84"/>
      <c r="B592" s="84"/>
      <c r="C592" s="84"/>
      <c r="D592" s="84"/>
      <c r="E592" s="84"/>
      <c r="F592" s="84"/>
      <c r="G592" s="84"/>
      <c r="H592" s="84"/>
      <c r="I592" s="84"/>
      <c r="J592" s="84"/>
      <c r="K592" s="84"/>
      <c r="L592" s="84"/>
    </row>
    <row r="593" ht="15.75" customHeight="1">
      <c r="A593" s="84"/>
      <c r="B593" s="84"/>
      <c r="C593" s="84"/>
      <c r="D593" s="84"/>
      <c r="E593" s="84"/>
      <c r="F593" s="84"/>
      <c r="G593" s="84"/>
      <c r="H593" s="84"/>
      <c r="I593" s="84"/>
      <c r="J593" s="84"/>
      <c r="K593" s="84"/>
      <c r="L593" s="84"/>
    </row>
    <row r="594" ht="15.75" customHeight="1">
      <c r="A594" s="84"/>
      <c r="B594" s="84"/>
      <c r="C594" s="84"/>
      <c r="D594" s="84"/>
      <c r="E594" s="84"/>
      <c r="F594" s="84"/>
      <c r="G594" s="84"/>
      <c r="H594" s="84"/>
      <c r="I594" s="84"/>
      <c r="J594" s="84"/>
      <c r="K594" s="84"/>
      <c r="L594" s="84"/>
    </row>
    <row r="595" ht="15.75" customHeight="1">
      <c r="A595" s="84"/>
      <c r="B595" s="84"/>
      <c r="C595" s="84"/>
      <c r="D595" s="84"/>
      <c r="E595" s="84"/>
      <c r="F595" s="84"/>
      <c r="G595" s="84"/>
      <c r="H595" s="84"/>
      <c r="I595" s="84"/>
      <c r="J595" s="84"/>
      <c r="K595" s="84"/>
      <c r="L595" s="84"/>
    </row>
    <row r="596" ht="15.75" customHeight="1">
      <c r="A596" s="84"/>
      <c r="B596" s="84"/>
      <c r="C596" s="84"/>
      <c r="D596" s="84"/>
      <c r="E596" s="84"/>
      <c r="F596" s="84"/>
      <c r="G596" s="84"/>
      <c r="H596" s="84"/>
      <c r="I596" s="84"/>
      <c r="J596" s="84"/>
      <c r="K596" s="84"/>
      <c r="L596" s="84"/>
    </row>
    <row r="597" ht="15.75" customHeight="1">
      <c r="A597" s="84"/>
      <c r="B597" s="84"/>
      <c r="C597" s="84"/>
      <c r="D597" s="84"/>
      <c r="E597" s="84"/>
      <c r="F597" s="84"/>
      <c r="G597" s="84"/>
      <c r="H597" s="84"/>
      <c r="I597" s="84"/>
      <c r="J597" s="84"/>
      <c r="K597" s="84"/>
      <c r="L597" s="84"/>
    </row>
    <row r="598" ht="15.75" customHeight="1">
      <c r="A598" s="84"/>
      <c r="B598" s="84"/>
      <c r="C598" s="84"/>
      <c r="D598" s="84"/>
      <c r="E598" s="84"/>
      <c r="F598" s="84"/>
      <c r="G598" s="84"/>
      <c r="H598" s="84"/>
      <c r="I598" s="84"/>
      <c r="J598" s="84"/>
      <c r="K598" s="84"/>
      <c r="L598" s="84"/>
    </row>
    <row r="599" ht="15.75" customHeight="1">
      <c r="A599" s="84"/>
      <c r="B599" s="84"/>
      <c r="C599" s="84"/>
      <c r="D599" s="84"/>
      <c r="E599" s="84"/>
      <c r="F599" s="84"/>
      <c r="G599" s="84"/>
      <c r="H599" s="84"/>
      <c r="I599" s="84"/>
      <c r="J599" s="84"/>
      <c r="K599" s="84"/>
      <c r="L599" s="84"/>
    </row>
    <row r="600" ht="15.75" customHeight="1">
      <c r="A600" s="84"/>
      <c r="B600" s="84"/>
      <c r="C600" s="84"/>
      <c r="D600" s="84"/>
      <c r="E600" s="84"/>
      <c r="F600" s="84"/>
      <c r="G600" s="84"/>
      <c r="H600" s="84"/>
      <c r="I600" s="84"/>
      <c r="J600" s="84"/>
      <c r="K600" s="84"/>
      <c r="L600" s="84"/>
    </row>
    <row r="601" ht="15.75" customHeight="1">
      <c r="A601" s="84"/>
      <c r="B601" s="84"/>
      <c r="C601" s="84"/>
      <c r="D601" s="84"/>
      <c r="E601" s="84"/>
      <c r="F601" s="84"/>
      <c r="G601" s="84"/>
      <c r="H601" s="84"/>
      <c r="I601" s="84"/>
      <c r="J601" s="84"/>
      <c r="K601" s="84"/>
      <c r="L601" s="84"/>
    </row>
    <row r="602" ht="15.75" customHeight="1">
      <c r="A602" s="84"/>
      <c r="B602" s="84"/>
      <c r="C602" s="84"/>
      <c r="D602" s="84"/>
      <c r="E602" s="84"/>
      <c r="F602" s="84"/>
      <c r="G602" s="84"/>
      <c r="H602" s="84"/>
      <c r="I602" s="84"/>
      <c r="J602" s="84"/>
      <c r="K602" s="84"/>
      <c r="L602" s="84"/>
    </row>
    <row r="603" ht="15.75" customHeight="1">
      <c r="A603" s="84"/>
      <c r="B603" s="84"/>
      <c r="C603" s="84"/>
      <c r="D603" s="84"/>
      <c r="E603" s="84"/>
      <c r="F603" s="84"/>
      <c r="G603" s="84"/>
      <c r="H603" s="84"/>
      <c r="I603" s="84"/>
      <c r="J603" s="84"/>
      <c r="K603" s="84"/>
      <c r="L603" s="84"/>
    </row>
    <row r="604" ht="15.75" customHeight="1">
      <c r="A604" s="84"/>
      <c r="B604" s="84"/>
      <c r="C604" s="84"/>
      <c r="D604" s="84"/>
      <c r="E604" s="84"/>
      <c r="F604" s="84"/>
      <c r="G604" s="84"/>
      <c r="H604" s="84"/>
      <c r="I604" s="84"/>
      <c r="J604" s="84"/>
      <c r="K604" s="84"/>
      <c r="L604" s="84"/>
    </row>
    <row r="605" ht="15.75" customHeight="1">
      <c r="A605" s="84"/>
      <c r="B605" s="84"/>
      <c r="C605" s="84"/>
      <c r="D605" s="84"/>
      <c r="E605" s="84"/>
      <c r="F605" s="84"/>
      <c r="G605" s="84"/>
      <c r="H605" s="84"/>
      <c r="I605" s="84"/>
      <c r="J605" s="84"/>
      <c r="K605" s="84"/>
      <c r="L605" s="84"/>
    </row>
    <row r="606" ht="15.75" customHeight="1">
      <c r="A606" s="84"/>
      <c r="B606" s="84"/>
      <c r="C606" s="84"/>
      <c r="D606" s="84"/>
      <c r="E606" s="84"/>
      <c r="F606" s="84"/>
      <c r="G606" s="84"/>
      <c r="H606" s="84"/>
      <c r="I606" s="84"/>
      <c r="J606" s="84"/>
      <c r="K606" s="84"/>
      <c r="L606" s="84"/>
    </row>
    <row r="607" ht="15.75" customHeight="1">
      <c r="A607" s="84"/>
      <c r="B607" s="84"/>
      <c r="C607" s="84"/>
      <c r="D607" s="84"/>
      <c r="E607" s="84"/>
      <c r="F607" s="84"/>
      <c r="G607" s="84"/>
      <c r="H607" s="84"/>
      <c r="I607" s="84"/>
      <c r="J607" s="84"/>
      <c r="K607" s="84"/>
      <c r="L607" s="84"/>
    </row>
    <row r="608" ht="15.75" customHeight="1">
      <c r="A608" s="84"/>
      <c r="B608" s="84"/>
      <c r="C608" s="84"/>
      <c r="D608" s="84"/>
      <c r="E608" s="84"/>
      <c r="F608" s="84"/>
      <c r="G608" s="84"/>
      <c r="H608" s="84"/>
      <c r="I608" s="84"/>
      <c r="J608" s="84"/>
      <c r="K608" s="84"/>
      <c r="L608" s="84"/>
    </row>
    <row r="609" ht="15.75" customHeight="1">
      <c r="A609" s="84"/>
      <c r="B609" s="84"/>
      <c r="C609" s="84"/>
      <c r="D609" s="84"/>
      <c r="E609" s="84"/>
      <c r="F609" s="84"/>
      <c r="G609" s="84"/>
      <c r="H609" s="84"/>
      <c r="I609" s="84"/>
      <c r="J609" s="84"/>
      <c r="K609" s="84"/>
      <c r="L609" s="84"/>
    </row>
    <row r="610" ht="15.75" customHeight="1">
      <c r="A610" s="84"/>
      <c r="B610" s="84"/>
      <c r="C610" s="84"/>
      <c r="D610" s="84"/>
      <c r="E610" s="84"/>
      <c r="F610" s="84"/>
      <c r="G610" s="84"/>
      <c r="H610" s="84"/>
      <c r="I610" s="84"/>
      <c r="J610" s="84"/>
      <c r="K610" s="84"/>
      <c r="L610" s="84"/>
    </row>
    <row r="611" ht="15.75" customHeight="1">
      <c r="A611" s="84"/>
      <c r="B611" s="84"/>
      <c r="C611" s="84"/>
      <c r="D611" s="84"/>
      <c r="E611" s="84"/>
      <c r="F611" s="84"/>
      <c r="G611" s="84"/>
      <c r="H611" s="84"/>
      <c r="I611" s="84"/>
      <c r="J611" s="84"/>
      <c r="K611" s="84"/>
      <c r="L611" s="84"/>
    </row>
    <row r="612" ht="15.75" customHeight="1">
      <c r="A612" s="84"/>
      <c r="B612" s="84"/>
      <c r="C612" s="84"/>
      <c r="D612" s="84"/>
      <c r="E612" s="84"/>
      <c r="F612" s="84"/>
      <c r="G612" s="84"/>
      <c r="H612" s="84"/>
      <c r="I612" s="84"/>
      <c r="J612" s="84"/>
      <c r="K612" s="84"/>
      <c r="L612" s="84"/>
    </row>
    <row r="613" ht="15.75" customHeight="1">
      <c r="A613" s="84"/>
      <c r="B613" s="84"/>
      <c r="C613" s="84"/>
      <c r="D613" s="84"/>
      <c r="E613" s="84"/>
      <c r="F613" s="84"/>
      <c r="G613" s="84"/>
      <c r="H613" s="84"/>
      <c r="I613" s="84"/>
      <c r="J613" s="84"/>
      <c r="K613" s="84"/>
      <c r="L613" s="84"/>
    </row>
    <row r="614" ht="15.75" customHeight="1">
      <c r="A614" s="84"/>
      <c r="B614" s="84"/>
      <c r="C614" s="84"/>
      <c r="D614" s="84"/>
      <c r="E614" s="84"/>
      <c r="F614" s="84"/>
      <c r="G614" s="84"/>
      <c r="H614" s="84"/>
      <c r="I614" s="84"/>
      <c r="J614" s="84"/>
      <c r="K614" s="84"/>
      <c r="L614" s="84"/>
    </row>
    <row r="615" ht="15.75" customHeight="1">
      <c r="A615" s="84"/>
      <c r="B615" s="84"/>
      <c r="C615" s="84"/>
      <c r="D615" s="84"/>
      <c r="E615" s="84"/>
      <c r="F615" s="84"/>
      <c r="G615" s="84"/>
      <c r="H615" s="84"/>
      <c r="I615" s="84"/>
      <c r="J615" s="84"/>
      <c r="K615" s="84"/>
      <c r="L615" s="84"/>
    </row>
    <row r="616" ht="15.75" customHeight="1">
      <c r="A616" s="84"/>
      <c r="B616" s="84"/>
      <c r="C616" s="84"/>
      <c r="D616" s="84"/>
      <c r="E616" s="84"/>
      <c r="F616" s="84"/>
      <c r="G616" s="84"/>
      <c r="H616" s="84"/>
      <c r="I616" s="84"/>
      <c r="J616" s="84"/>
      <c r="K616" s="84"/>
      <c r="L616" s="84"/>
    </row>
    <row r="617" ht="15.75" customHeight="1">
      <c r="A617" s="84"/>
      <c r="B617" s="84"/>
      <c r="C617" s="84"/>
      <c r="D617" s="84"/>
      <c r="E617" s="84"/>
      <c r="F617" s="84"/>
      <c r="G617" s="84"/>
      <c r="H617" s="84"/>
      <c r="I617" s="84"/>
      <c r="J617" s="84"/>
      <c r="K617" s="84"/>
      <c r="L617" s="84"/>
    </row>
    <row r="618" ht="15.75" customHeight="1">
      <c r="A618" s="84"/>
      <c r="B618" s="84"/>
      <c r="C618" s="84"/>
      <c r="D618" s="84"/>
      <c r="E618" s="84"/>
      <c r="F618" s="84"/>
      <c r="G618" s="84"/>
      <c r="H618" s="84"/>
      <c r="I618" s="84"/>
      <c r="J618" s="84"/>
      <c r="K618" s="84"/>
      <c r="L618" s="84"/>
    </row>
    <row r="619" ht="15.75" customHeight="1">
      <c r="A619" s="84"/>
      <c r="B619" s="84"/>
      <c r="C619" s="84"/>
      <c r="D619" s="84"/>
      <c r="E619" s="84"/>
      <c r="F619" s="84"/>
      <c r="G619" s="84"/>
      <c r="H619" s="84"/>
      <c r="I619" s="84"/>
      <c r="J619" s="84"/>
      <c r="K619" s="84"/>
      <c r="L619" s="84"/>
    </row>
    <row r="620" ht="15.75" customHeight="1">
      <c r="A620" s="84"/>
      <c r="B620" s="84"/>
      <c r="C620" s="84"/>
      <c r="D620" s="84"/>
      <c r="E620" s="84"/>
      <c r="F620" s="84"/>
      <c r="G620" s="84"/>
      <c r="H620" s="84"/>
      <c r="I620" s="84"/>
      <c r="J620" s="84"/>
      <c r="K620" s="84"/>
      <c r="L620" s="84"/>
    </row>
    <row r="621" ht="15.75" customHeight="1">
      <c r="A621" s="84"/>
      <c r="B621" s="84"/>
      <c r="C621" s="84"/>
      <c r="D621" s="84"/>
      <c r="E621" s="84"/>
      <c r="F621" s="84"/>
      <c r="G621" s="84"/>
      <c r="H621" s="84"/>
      <c r="I621" s="84"/>
      <c r="J621" s="84"/>
      <c r="K621" s="84"/>
      <c r="L621" s="84"/>
    </row>
    <row r="622" ht="15.75" customHeight="1">
      <c r="A622" s="84"/>
      <c r="B622" s="84"/>
      <c r="C622" s="84"/>
      <c r="D622" s="84"/>
      <c r="E622" s="84"/>
      <c r="F622" s="84"/>
      <c r="G622" s="84"/>
      <c r="H622" s="84"/>
      <c r="I622" s="84"/>
      <c r="J622" s="84"/>
      <c r="K622" s="84"/>
      <c r="L622" s="84"/>
    </row>
    <row r="623" ht="15.75" customHeight="1">
      <c r="A623" s="84"/>
      <c r="B623" s="84"/>
      <c r="C623" s="84"/>
      <c r="D623" s="84"/>
      <c r="E623" s="84"/>
      <c r="F623" s="84"/>
      <c r="G623" s="84"/>
      <c r="H623" s="84"/>
      <c r="I623" s="84"/>
      <c r="J623" s="84"/>
      <c r="K623" s="84"/>
      <c r="L623" s="84"/>
    </row>
    <row r="624" ht="15.75" customHeight="1">
      <c r="A624" s="84"/>
      <c r="B624" s="84"/>
      <c r="C624" s="84"/>
      <c r="D624" s="84"/>
      <c r="E624" s="84"/>
      <c r="F624" s="84"/>
      <c r="G624" s="84"/>
      <c r="H624" s="84"/>
      <c r="I624" s="84"/>
      <c r="J624" s="84"/>
      <c r="K624" s="84"/>
      <c r="L624" s="84"/>
    </row>
    <row r="625" ht="15.75" customHeight="1">
      <c r="A625" s="84"/>
      <c r="B625" s="84"/>
      <c r="C625" s="84"/>
      <c r="D625" s="84"/>
      <c r="E625" s="84"/>
      <c r="F625" s="84"/>
      <c r="G625" s="84"/>
      <c r="H625" s="84"/>
      <c r="I625" s="84"/>
      <c r="J625" s="84"/>
      <c r="K625" s="84"/>
      <c r="L625" s="84"/>
    </row>
    <row r="626" ht="15.75" customHeight="1">
      <c r="A626" s="84"/>
      <c r="B626" s="84"/>
      <c r="C626" s="84"/>
      <c r="D626" s="84"/>
      <c r="E626" s="84"/>
      <c r="F626" s="84"/>
      <c r="G626" s="84"/>
      <c r="H626" s="84"/>
      <c r="I626" s="84"/>
      <c r="J626" s="84"/>
      <c r="K626" s="84"/>
      <c r="L626" s="84"/>
    </row>
    <row r="627" ht="15.75" customHeight="1">
      <c r="A627" s="84"/>
      <c r="B627" s="84"/>
      <c r="C627" s="84"/>
      <c r="D627" s="84"/>
      <c r="E627" s="84"/>
      <c r="F627" s="84"/>
      <c r="G627" s="84"/>
      <c r="H627" s="84"/>
      <c r="I627" s="84"/>
      <c r="J627" s="84"/>
      <c r="K627" s="84"/>
      <c r="L627" s="84"/>
    </row>
    <row r="628" ht="15.75" customHeight="1">
      <c r="A628" s="84"/>
      <c r="B628" s="84"/>
      <c r="C628" s="84"/>
      <c r="D628" s="84"/>
      <c r="E628" s="84"/>
      <c r="F628" s="84"/>
      <c r="G628" s="84"/>
      <c r="H628" s="84"/>
      <c r="I628" s="84"/>
      <c r="J628" s="84"/>
      <c r="K628" s="84"/>
      <c r="L628" s="84"/>
    </row>
    <row r="629" ht="15.75" customHeight="1">
      <c r="A629" s="84"/>
      <c r="B629" s="84"/>
      <c r="C629" s="84"/>
      <c r="D629" s="84"/>
      <c r="E629" s="84"/>
      <c r="F629" s="84"/>
      <c r="G629" s="84"/>
      <c r="H629" s="84"/>
      <c r="I629" s="84"/>
      <c r="J629" s="84"/>
      <c r="K629" s="84"/>
      <c r="L629" s="84"/>
    </row>
    <row r="630" ht="15.75" customHeight="1">
      <c r="A630" s="84"/>
      <c r="B630" s="84"/>
      <c r="C630" s="84"/>
      <c r="D630" s="84"/>
      <c r="E630" s="84"/>
      <c r="F630" s="84"/>
      <c r="G630" s="84"/>
      <c r="H630" s="84"/>
      <c r="I630" s="84"/>
      <c r="J630" s="84"/>
      <c r="K630" s="84"/>
      <c r="L630" s="84"/>
    </row>
    <row r="631" ht="15.75" customHeight="1">
      <c r="A631" s="84"/>
      <c r="B631" s="84"/>
      <c r="C631" s="84"/>
      <c r="D631" s="84"/>
      <c r="E631" s="84"/>
      <c r="F631" s="84"/>
      <c r="G631" s="84"/>
      <c r="H631" s="84"/>
      <c r="I631" s="84"/>
      <c r="J631" s="84"/>
      <c r="K631" s="84"/>
      <c r="L631" s="84"/>
    </row>
    <row r="632" ht="15.75" customHeight="1">
      <c r="A632" s="84"/>
      <c r="B632" s="84"/>
      <c r="C632" s="84"/>
      <c r="D632" s="84"/>
      <c r="E632" s="84"/>
      <c r="F632" s="84"/>
      <c r="G632" s="84"/>
      <c r="H632" s="84"/>
      <c r="I632" s="84"/>
      <c r="J632" s="84"/>
      <c r="K632" s="84"/>
      <c r="L632" s="84"/>
    </row>
    <row r="633" ht="15.75" customHeight="1">
      <c r="A633" s="84"/>
      <c r="B633" s="84"/>
      <c r="C633" s="84"/>
      <c r="D633" s="84"/>
      <c r="E633" s="84"/>
      <c r="F633" s="84"/>
      <c r="G633" s="84"/>
      <c r="H633" s="84"/>
      <c r="I633" s="84"/>
      <c r="J633" s="84"/>
      <c r="K633" s="84"/>
      <c r="L633" s="84"/>
    </row>
    <row r="634" ht="15.75" customHeight="1">
      <c r="A634" s="84"/>
      <c r="B634" s="84"/>
      <c r="C634" s="84"/>
      <c r="D634" s="84"/>
      <c r="E634" s="84"/>
      <c r="F634" s="84"/>
      <c r="G634" s="84"/>
      <c r="H634" s="84"/>
      <c r="I634" s="84"/>
      <c r="J634" s="84"/>
      <c r="K634" s="84"/>
      <c r="L634" s="84"/>
    </row>
    <row r="635" ht="15.75" customHeight="1">
      <c r="A635" s="84"/>
      <c r="B635" s="84"/>
      <c r="C635" s="84"/>
      <c r="D635" s="84"/>
      <c r="E635" s="84"/>
      <c r="F635" s="84"/>
      <c r="G635" s="84"/>
      <c r="H635" s="84"/>
      <c r="I635" s="84"/>
      <c r="J635" s="84"/>
      <c r="K635" s="84"/>
      <c r="L635" s="84"/>
    </row>
    <row r="636" ht="15.75" customHeight="1">
      <c r="A636" s="84"/>
      <c r="B636" s="84"/>
      <c r="C636" s="84"/>
      <c r="D636" s="84"/>
      <c r="E636" s="84"/>
      <c r="F636" s="84"/>
      <c r="G636" s="84"/>
      <c r="H636" s="84"/>
      <c r="I636" s="84"/>
      <c r="J636" s="84"/>
      <c r="K636" s="84"/>
      <c r="L636" s="84"/>
    </row>
    <row r="637" ht="15.75" customHeight="1">
      <c r="A637" s="84"/>
      <c r="B637" s="84"/>
      <c r="C637" s="84"/>
      <c r="D637" s="84"/>
      <c r="E637" s="84"/>
      <c r="F637" s="84"/>
      <c r="G637" s="84"/>
      <c r="H637" s="84"/>
      <c r="I637" s="84"/>
      <c r="J637" s="84"/>
      <c r="K637" s="84"/>
      <c r="L637" s="84"/>
    </row>
    <row r="638" ht="15.75" customHeight="1">
      <c r="A638" s="84"/>
      <c r="B638" s="84"/>
      <c r="C638" s="84"/>
      <c r="D638" s="84"/>
      <c r="E638" s="84"/>
      <c r="F638" s="84"/>
      <c r="G638" s="84"/>
      <c r="H638" s="84"/>
      <c r="I638" s="84"/>
      <c r="J638" s="84"/>
      <c r="K638" s="84"/>
      <c r="L638" s="84"/>
    </row>
    <row r="639" ht="15.75" customHeight="1">
      <c r="A639" s="84"/>
      <c r="B639" s="84"/>
      <c r="C639" s="84"/>
      <c r="D639" s="84"/>
      <c r="E639" s="84"/>
      <c r="F639" s="84"/>
      <c r="G639" s="84"/>
      <c r="H639" s="84"/>
      <c r="I639" s="84"/>
      <c r="J639" s="84"/>
      <c r="K639" s="84"/>
      <c r="L639" s="84"/>
    </row>
    <row r="640" ht="15.75" customHeight="1">
      <c r="A640" s="84"/>
      <c r="B640" s="84"/>
      <c r="C640" s="84"/>
      <c r="D640" s="84"/>
      <c r="E640" s="84"/>
      <c r="F640" s="84"/>
      <c r="G640" s="84"/>
      <c r="H640" s="84"/>
      <c r="I640" s="84"/>
      <c r="J640" s="84"/>
      <c r="K640" s="84"/>
      <c r="L640" s="84"/>
    </row>
    <row r="641" ht="15.75" customHeight="1">
      <c r="A641" s="84"/>
      <c r="B641" s="84"/>
      <c r="C641" s="84"/>
      <c r="D641" s="84"/>
      <c r="E641" s="84"/>
      <c r="F641" s="84"/>
      <c r="G641" s="84"/>
      <c r="H641" s="84"/>
      <c r="I641" s="84"/>
      <c r="J641" s="84"/>
      <c r="K641" s="84"/>
      <c r="L641" s="84"/>
    </row>
    <row r="642" ht="15.75" customHeight="1">
      <c r="A642" s="84"/>
      <c r="B642" s="84"/>
      <c r="C642" s="84"/>
      <c r="D642" s="84"/>
      <c r="E642" s="84"/>
      <c r="F642" s="84"/>
      <c r="G642" s="84"/>
      <c r="H642" s="84"/>
      <c r="I642" s="84"/>
      <c r="J642" s="84"/>
      <c r="K642" s="84"/>
      <c r="L642" s="84"/>
    </row>
    <row r="643" ht="15.75" customHeight="1">
      <c r="A643" s="84"/>
      <c r="B643" s="84"/>
      <c r="C643" s="84"/>
      <c r="D643" s="84"/>
      <c r="E643" s="84"/>
      <c r="F643" s="84"/>
      <c r="G643" s="84"/>
      <c r="H643" s="84"/>
      <c r="I643" s="84"/>
      <c r="J643" s="84"/>
      <c r="K643" s="84"/>
      <c r="L643" s="84"/>
    </row>
    <row r="644" ht="15.75" customHeight="1">
      <c r="A644" s="84"/>
      <c r="B644" s="84"/>
      <c r="C644" s="84"/>
      <c r="D644" s="84"/>
      <c r="E644" s="84"/>
      <c r="F644" s="84"/>
      <c r="G644" s="84"/>
      <c r="H644" s="84"/>
      <c r="I644" s="84"/>
      <c r="J644" s="84"/>
      <c r="K644" s="84"/>
      <c r="L644" s="84"/>
    </row>
    <row r="645" ht="15.75" customHeight="1">
      <c r="A645" s="84"/>
      <c r="B645" s="84"/>
      <c r="C645" s="84"/>
      <c r="D645" s="84"/>
      <c r="E645" s="84"/>
      <c r="F645" s="84"/>
      <c r="G645" s="84"/>
      <c r="H645" s="84"/>
      <c r="I645" s="84"/>
      <c r="J645" s="84"/>
      <c r="K645" s="84"/>
      <c r="L645" s="84"/>
    </row>
    <row r="646" ht="15.75" customHeight="1">
      <c r="A646" s="84"/>
      <c r="B646" s="84"/>
      <c r="C646" s="84"/>
      <c r="D646" s="84"/>
      <c r="E646" s="84"/>
      <c r="F646" s="84"/>
      <c r="G646" s="84"/>
      <c r="H646" s="84"/>
      <c r="I646" s="84"/>
      <c r="J646" s="84"/>
      <c r="K646" s="84"/>
      <c r="L646" s="84"/>
    </row>
    <row r="647" ht="15.75" customHeight="1">
      <c r="A647" s="84"/>
      <c r="B647" s="84"/>
      <c r="C647" s="84"/>
      <c r="D647" s="84"/>
      <c r="E647" s="84"/>
      <c r="F647" s="84"/>
      <c r="G647" s="84"/>
      <c r="H647" s="84"/>
      <c r="I647" s="84"/>
      <c r="J647" s="84"/>
      <c r="K647" s="84"/>
      <c r="L647" s="84"/>
    </row>
    <row r="648" ht="15.75" customHeight="1">
      <c r="A648" s="84"/>
      <c r="B648" s="84"/>
      <c r="C648" s="84"/>
      <c r="D648" s="84"/>
      <c r="E648" s="84"/>
      <c r="F648" s="84"/>
      <c r="G648" s="84"/>
      <c r="H648" s="84"/>
      <c r="I648" s="84"/>
      <c r="J648" s="84"/>
      <c r="K648" s="84"/>
      <c r="L648" s="84"/>
    </row>
    <row r="649" ht="15.75" customHeight="1">
      <c r="A649" s="84"/>
      <c r="B649" s="84"/>
      <c r="C649" s="84"/>
      <c r="D649" s="84"/>
      <c r="E649" s="84"/>
      <c r="F649" s="84"/>
      <c r="G649" s="84"/>
      <c r="H649" s="84"/>
      <c r="I649" s="84"/>
      <c r="J649" s="84"/>
      <c r="K649" s="84"/>
      <c r="L649" s="84"/>
    </row>
    <row r="650" ht="15.75" customHeight="1">
      <c r="A650" s="84"/>
      <c r="B650" s="84"/>
      <c r="C650" s="84"/>
      <c r="D650" s="84"/>
      <c r="E650" s="84"/>
      <c r="F650" s="84"/>
      <c r="G650" s="84"/>
      <c r="H650" s="84"/>
      <c r="I650" s="84"/>
      <c r="J650" s="84"/>
      <c r="K650" s="84"/>
      <c r="L650" s="84"/>
    </row>
    <row r="651" ht="15.75" customHeight="1">
      <c r="A651" s="84"/>
      <c r="B651" s="84"/>
      <c r="C651" s="84"/>
      <c r="D651" s="84"/>
      <c r="E651" s="84"/>
      <c r="F651" s="84"/>
      <c r="G651" s="84"/>
      <c r="H651" s="84"/>
      <c r="I651" s="84"/>
      <c r="J651" s="84"/>
      <c r="K651" s="84"/>
      <c r="L651" s="84"/>
    </row>
    <row r="652" ht="15.75" customHeight="1">
      <c r="A652" s="84"/>
      <c r="B652" s="84"/>
      <c r="C652" s="84"/>
      <c r="D652" s="84"/>
      <c r="E652" s="84"/>
      <c r="F652" s="84"/>
      <c r="G652" s="84"/>
      <c r="H652" s="84"/>
      <c r="I652" s="84"/>
      <c r="J652" s="84"/>
      <c r="K652" s="84"/>
      <c r="L652" s="84"/>
    </row>
    <row r="653" ht="15.75" customHeight="1">
      <c r="A653" s="84"/>
      <c r="B653" s="84"/>
      <c r="C653" s="84"/>
      <c r="D653" s="84"/>
      <c r="E653" s="84"/>
      <c r="F653" s="84"/>
      <c r="G653" s="84"/>
      <c r="H653" s="84"/>
      <c r="I653" s="84"/>
      <c r="J653" s="84"/>
      <c r="K653" s="84"/>
      <c r="L653" s="84"/>
    </row>
    <row r="654" ht="15.75" customHeight="1">
      <c r="A654" s="84"/>
      <c r="B654" s="84"/>
      <c r="C654" s="84"/>
      <c r="D654" s="84"/>
      <c r="E654" s="84"/>
      <c r="F654" s="84"/>
      <c r="G654" s="84"/>
      <c r="H654" s="84"/>
      <c r="I654" s="84"/>
      <c r="J654" s="84"/>
      <c r="K654" s="84"/>
      <c r="L654" s="84"/>
    </row>
    <row r="655" ht="15.75" customHeight="1">
      <c r="A655" s="84"/>
      <c r="B655" s="84"/>
      <c r="C655" s="84"/>
      <c r="D655" s="84"/>
      <c r="E655" s="84"/>
      <c r="F655" s="84"/>
      <c r="G655" s="84"/>
      <c r="H655" s="84"/>
      <c r="I655" s="84"/>
      <c r="J655" s="84"/>
      <c r="K655" s="84"/>
      <c r="L655" s="84"/>
    </row>
    <row r="656" ht="15.75" customHeight="1">
      <c r="A656" s="84"/>
      <c r="B656" s="84"/>
      <c r="C656" s="84"/>
      <c r="D656" s="84"/>
      <c r="E656" s="84"/>
      <c r="F656" s="84"/>
      <c r="G656" s="84"/>
      <c r="H656" s="84"/>
      <c r="I656" s="84"/>
      <c r="J656" s="84"/>
      <c r="K656" s="84"/>
      <c r="L656" s="84"/>
    </row>
    <row r="657" ht="15.75" customHeight="1">
      <c r="A657" s="84"/>
      <c r="B657" s="84"/>
      <c r="C657" s="84"/>
      <c r="D657" s="84"/>
      <c r="E657" s="84"/>
      <c r="F657" s="84"/>
      <c r="G657" s="84"/>
      <c r="H657" s="84"/>
      <c r="I657" s="84"/>
      <c r="J657" s="84"/>
      <c r="K657" s="84"/>
      <c r="L657" s="84"/>
    </row>
    <row r="658" ht="15.75" customHeight="1">
      <c r="A658" s="84"/>
      <c r="B658" s="84"/>
      <c r="C658" s="84"/>
      <c r="D658" s="84"/>
      <c r="E658" s="84"/>
      <c r="F658" s="84"/>
      <c r="G658" s="84"/>
      <c r="H658" s="84"/>
      <c r="I658" s="84"/>
      <c r="J658" s="84"/>
      <c r="K658" s="84"/>
      <c r="L658" s="84"/>
    </row>
    <row r="659" ht="15.75" customHeight="1">
      <c r="A659" s="84"/>
      <c r="B659" s="84"/>
      <c r="C659" s="84"/>
      <c r="D659" s="84"/>
      <c r="E659" s="84"/>
      <c r="F659" s="84"/>
      <c r="G659" s="84"/>
      <c r="H659" s="84"/>
      <c r="I659" s="84"/>
      <c r="J659" s="84"/>
      <c r="K659" s="84"/>
      <c r="L659" s="84"/>
    </row>
    <row r="660" ht="15.75" customHeight="1">
      <c r="A660" s="84"/>
      <c r="B660" s="84"/>
      <c r="C660" s="84"/>
      <c r="D660" s="84"/>
      <c r="E660" s="84"/>
      <c r="F660" s="84"/>
      <c r="G660" s="84"/>
      <c r="H660" s="84"/>
      <c r="I660" s="84"/>
      <c r="J660" s="84"/>
      <c r="K660" s="84"/>
      <c r="L660" s="84"/>
    </row>
    <row r="661" ht="15.75" customHeight="1">
      <c r="A661" s="84"/>
      <c r="B661" s="84"/>
      <c r="C661" s="84"/>
      <c r="D661" s="84"/>
      <c r="E661" s="84"/>
      <c r="F661" s="84"/>
      <c r="G661" s="84"/>
      <c r="H661" s="84"/>
      <c r="I661" s="84"/>
      <c r="J661" s="84"/>
      <c r="K661" s="84"/>
      <c r="L661" s="84"/>
    </row>
    <row r="662" ht="15.75" customHeight="1">
      <c r="A662" s="84"/>
      <c r="B662" s="84"/>
      <c r="C662" s="84"/>
      <c r="D662" s="84"/>
      <c r="E662" s="84"/>
      <c r="F662" s="84"/>
      <c r="G662" s="84"/>
      <c r="H662" s="84"/>
      <c r="I662" s="84"/>
      <c r="J662" s="84"/>
      <c r="K662" s="84"/>
      <c r="L662" s="84"/>
    </row>
    <row r="663" ht="15.75" customHeight="1">
      <c r="A663" s="84"/>
      <c r="B663" s="84"/>
      <c r="C663" s="84"/>
      <c r="D663" s="84"/>
      <c r="E663" s="84"/>
      <c r="F663" s="84"/>
      <c r="G663" s="84"/>
      <c r="H663" s="84"/>
      <c r="I663" s="84"/>
      <c r="J663" s="84"/>
      <c r="K663" s="84"/>
      <c r="L663" s="84"/>
    </row>
    <row r="664" ht="15.75" customHeight="1">
      <c r="A664" s="84"/>
      <c r="B664" s="84"/>
      <c r="C664" s="84"/>
      <c r="D664" s="84"/>
      <c r="E664" s="84"/>
      <c r="F664" s="84"/>
      <c r="G664" s="84"/>
      <c r="H664" s="84"/>
      <c r="I664" s="84"/>
      <c r="J664" s="84"/>
      <c r="K664" s="84"/>
      <c r="L664" s="84"/>
    </row>
    <row r="665" ht="15.75" customHeight="1">
      <c r="A665" s="84"/>
      <c r="B665" s="84"/>
      <c r="C665" s="84"/>
      <c r="D665" s="84"/>
      <c r="E665" s="84"/>
      <c r="F665" s="84"/>
      <c r="G665" s="84"/>
      <c r="H665" s="84"/>
      <c r="I665" s="84"/>
      <c r="J665" s="84"/>
      <c r="K665" s="84"/>
      <c r="L665" s="84"/>
    </row>
    <row r="666" ht="15.75" customHeight="1">
      <c r="A666" s="84"/>
      <c r="B666" s="84"/>
      <c r="C666" s="84"/>
      <c r="D666" s="84"/>
      <c r="E666" s="84"/>
      <c r="F666" s="84"/>
      <c r="G666" s="84"/>
      <c r="H666" s="84"/>
      <c r="I666" s="84"/>
      <c r="J666" s="84"/>
      <c r="K666" s="84"/>
      <c r="L666" s="84"/>
    </row>
    <row r="667" ht="15.75" customHeight="1">
      <c r="A667" s="84"/>
      <c r="B667" s="84"/>
      <c r="C667" s="84"/>
      <c r="D667" s="84"/>
      <c r="E667" s="84"/>
      <c r="F667" s="84"/>
      <c r="G667" s="84"/>
      <c r="H667" s="84"/>
      <c r="I667" s="84"/>
      <c r="J667" s="84"/>
      <c r="K667" s="84"/>
      <c r="L667" s="84"/>
    </row>
    <row r="668" ht="15.75" customHeight="1">
      <c r="A668" s="84"/>
      <c r="B668" s="84"/>
      <c r="C668" s="84"/>
      <c r="D668" s="84"/>
      <c r="E668" s="84"/>
      <c r="F668" s="84"/>
      <c r="G668" s="84"/>
      <c r="H668" s="84"/>
      <c r="I668" s="84"/>
      <c r="J668" s="84"/>
      <c r="K668" s="84"/>
      <c r="L668" s="84"/>
    </row>
    <row r="669" ht="15.75" customHeight="1">
      <c r="A669" s="84"/>
      <c r="B669" s="84"/>
      <c r="C669" s="84"/>
      <c r="D669" s="84"/>
      <c r="E669" s="84"/>
      <c r="F669" s="84"/>
      <c r="G669" s="84"/>
      <c r="H669" s="84"/>
      <c r="I669" s="84"/>
      <c r="J669" s="84"/>
      <c r="K669" s="84"/>
      <c r="L669" s="84"/>
    </row>
    <row r="670" ht="15.75" customHeight="1">
      <c r="A670" s="84"/>
      <c r="B670" s="84"/>
      <c r="C670" s="84"/>
      <c r="D670" s="84"/>
      <c r="E670" s="84"/>
      <c r="F670" s="84"/>
      <c r="G670" s="84"/>
      <c r="H670" s="84"/>
      <c r="I670" s="84"/>
      <c r="J670" s="84"/>
      <c r="K670" s="84"/>
      <c r="L670" s="84"/>
    </row>
    <row r="671" ht="15.75" customHeight="1">
      <c r="A671" s="84"/>
      <c r="B671" s="84"/>
      <c r="C671" s="84"/>
      <c r="D671" s="84"/>
      <c r="E671" s="84"/>
      <c r="F671" s="84"/>
      <c r="G671" s="84"/>
      <c r="H671" s="84"/>
      <c r="I671" s="84"/>
      <c r="J671" s="84"/>
      <c r="K671" s="84"/>
      <c r="L671" s="84"/>
    </row>
    <row r="672" ht="15.75" customHeight="1">
      <c r="A672" s="84"/>
      <c r="B672" s="84"/>
      <c r="C672" s="84"/>
      <c r="D672" s="84"/>
      <c r="E672" s="84"/>
      <c r="F672" s="84"/>
      <c r="G672" s="84"/>
      <c r="H672" s="84"/>
      <c r="I672" s="84"/>
      <c r="J672" s="84"/>
      <c r="K672" s="84"/>
      <c r="L672" s="84"/>
    </row>
    <row r="673" ht="15.75" customHeight="1">
      <c r="A673" s="84"/>
      <c r="B673" s="84"/>
      <c r="C673" s="84"/>
      <c r="D673" s="84"/>
      <c r="E673" s="84"/>
      <c r="F673" s="84"/>
      <c r="G673" s="84"/>
      <c r="H673" s="84"/>
      <c r="I673" s="84"/>
      <c r="J673" s="84"/>
      <c r="K673" s="84"/>
      <c r="L673" s="84"/>
    </row>
    <row r="674" ht="15.75" customHeight="1">
      <c r="A674" s="84"/>
      <c r="B674" s="84"/>
      <c r="C674" s="84"/>
      <c r="D674" s="84"/>
      <c r="E674" s="84"/>
      <c r="F674" s="84"/>
      <c r="G674" s="84"/>
      <c r="H674" s="84"/>
      <c r="I674" s="84"/>
      <c r="J674" s="84"/>
      <c r="K674" s="84"/>
      <c r="L674" s="84"/>
    </row>
    <row r="675" ht="15.75" customHeight="1">
      <c r="A675" s="84"/>
      <c r="B675" s="84"/>
      <c r="C675" s="84"/>
      <c r="D675" s="84"/>
      <c r="E675" s="84"/>
      <c r="F675" s="84"/>
      <c r="G675" s="84"/>
      <c r="H675" s="84"/>
      <c r="I675" s="84"/>
      <c r="J675" s="84"/>
      <c r="K675" s="84"/>
      <c r="L675" s="84"/>
    </row>
    <row r="676" ht="15.75" customHeight="1">
      <c r="A676" s="84"/>
      <c r="B676" s="84"/>
      <c r="C676" s="84"/>
      <c r="D676" s="84"/>
      <c r="E676" s="84"/>
      <c r="F676" s="84"/>
      <c r="G676" s="84"/>
      <c r="H676" s="84"/>
      <c r="I676" s="84"/>
      <c r="J676" s="84"/>
      <c r="K676" s="84"/>
      <c r="L676" s="84"/>
    </row>
    <row r="677" ht="15.75" customHeight="1">
      <c r="A677" s="84"/>
      <c r="B677" s="84"/>
      <c r="C677" s="84"/>
      <c r="D677" s="84"/>
      <c r="E677" s="84"/>
      <c r="F677" s="84"/>
      <c r="G677" s="84"/>
      <c r="H677" s="84"/>
      <c r="I677" s="84"/>
      <c r="J677" s="84"/>
      <c r="K677" s="84"/>
      <c r="L677" s="84"/>
    </row>
    <row r="678" ht="15.75" customHeight="1">
      <c r="A678" s="84"/>
      <c r="B678" s="84"/>
      <c r="C678" s="84"/>
      <c r="D678" s="84"/>
      <c r="E678" s="84"/>
      <c r="F678" s="84"/>
      <c r="G678" s="84"/>
      <c r="H678" s="84"/>
      <c r="I678" s="84"/>
      <c r="J678" s="84"/>
      <c r="K678" s="84"/>
      <c r="L678" s="84"/>
    </row>
    <row r="679" ht="15.75" customHeight="1">
      <c r="A679" s="84"/>
      <c r="B679" s="84"/>
      <c r="C679" s="84"/>
      <c r="D679" s="84"/>
      <c r="E679" s="84"/>
      <c r="F679" s="84"/>
      <c r="G679" s="84"/>
      <c r="H679" s="84"/>
      <c r="I679" s="84"/>
      <c r="J679" s="84"/>
      <c r="K679" s="84"/>
      <c r="L679" s="84"/>
    </row>
    <row r="680" ht="15.75" customHeight="1">
      <c r="A680" s="84"/>
      <c r="B680" s="84"/>
      <c r="C680" s="84"/>
      <c r="D680" s="84"/>
      <c r="E680" s="84"/>
      <c r="F680" s="84"/>
      <c r="G680" s="84"/>
      <c r="H680" s="84"/>
      <c r="I680" s="84"/>
      <c r="J680" s="84"/>
      <c r="K680" s="84"/>
      <c r="L680" s="84"/>
    </row>
    <row r="681" ht="15.75" customHeight="1">
      <c r="A681" s="84"/>
      <c r="B681" s="84"/>
      <c r="C681" s="84"/>
      <c r="D681" s="84"/>
      <c r="E681" s="84"/>
      <c r="F681" s="84"/>
      <c r="G681" s="84"/>
      <c r="H681" s="84"/>
      <c r="I681" s="84"/>
      <c r="J681" s="84"/>
      <c r="K681" s="84"/>
      <c r="L681" s="84"/>
    </row>
    <row r="682" ht="15.75" customHeight="1">
      <c r="A682" s="84"/>
      <c r="B682" s="84"/>
      <c r="C682" s="84"/>
      <c r="D682" s="84"/>
      <c r="E682" s="84"/>
      <c r="F682" s="84"/>
      <c r="G682" s="84"/>
      <c r="H682" s="84"/>
      <c r="I682" s="84"/>
      <c r="J682" s="84"/>
      <c r="K682" s="84"/>
      <c r="L682" s="84"/>
    </row>
    <row r="683" ht="15.75" customHeight="1">
      <c r="A683" s="84"/>
      <c r="B683" s="84"/>
      <c r="C683" s="84"/>
      <c r="D683" s="84"/>
      <c r="E683" s="84"/>
      <c r="F683" s="84"/>
      <c r="G683" s="84"/>
      <c r="H683" s="84"/>
      <c r="I683" s="84"/>
      <c r="J683" s="84"/>
      <c r="K683" s="84"/>
      <c r="L683" s="84"/>
    </row>
    <row r="684" ht="15.75" customHeight="1">
      <c r="A684" s="84"/>
      <c r="B684" s="84"/>
      <c r="C684" s="84"/>
      <c r="D684" s="84"/>
      <c r="E684" s="84"/>
      <c r="F684" s="84"/>
      <c r="G684" s="84"/>
      <c r="H684" s="84"/>
      <c r="I684" s="84"/>
      <c r="J684" s="84"/>
      <c r="K684" s="84"/>
      <c r="L684" s="84"/>
    </row>
    <row r="685" ht="15.75" customHeight="1">
      <c r="A685" s="84"/>
      <c r="B685" s="84"/>
      <c r="C685" s="84"/>
      <c r="D685" s="84"/>
      <c r="E685" s="84"/>
      <c r="F685" s="84"/>
      <c r="G685" s="84"/>
      <c r="H685" s="84"/>
      <c r="I685" s="84"/>
      <c r="J685" s="84"/>
      <c r="K685" s="84"/>
      <c r="L685" s="84"/>
    </row>
    <row r="686" ht="15.75" customHeight="1">
      <c r="A686" s="84"/>
      <c r="B686" s="84"/>
      <c r="C686" s="84"/>
      <c r="D686" s="84"/>
      <c r="E686" s="84"/>
      <c r="F686" s="84"/>
      <c r="G686" s="84"/>
      <c r="H686" s="84"/>
      <c r="I686" s="84"/>
      <c r="J686" s="84"/>
      <c r="K686" s="84"/>
      <c r="L686" s="84"/>
    </row>
    <row r="687" ht="15.75" customHeight="1">
      <c r="A687" s="84"/>
      <c r="B687" s="84"/>
      <c r="C687" s="84"/>
      <c r="D687" s="84"/>
      <c r="E687" s="84"/>
      <c r="F687" s="84"/>
      <c r="G687" s="84"/>
      <c r="H687" s="84"/>
      <c r="I687" s="84"/>
      <c r="J687" s="84"/>
      <c r="K687" s="84"/>
      <c r="L687" s="84"/>
    </row>
    <row r="688" ht="15.75" customHeight="1">
      <c r="A688" s="84"/>
      <c r="B688" s="84"/>
      <c r="C688" s="84"/>
      <c r="D688" s="84"/>
      <c r="E688" s="84"/>
      <c r="F688" s="84"/>
      <c r="G688" s="84"/>
      <c r="H688" s="84"/>
      <c r="I688" s="84"/>
      <c r="J688" s="84"/>
      <c r="K688" s="84"/>
      <c r="L688" s="84"/>
    </row>
    <row r="689" ht="15.75" customHeight="1">
      <c r="A689" s="84"/>
      <c r="B689" s="84"/>
      <c r="C689" s="84"/>
      <c r="D689" s="84"/>
      <c r="E689" s="84"/>
      <c r="F689" s="84"/>
      <c r="G689" s="84"/>
      <c r="H689" s="84"/>
      <c r="I689" s="84"/>
      <c r="J689" s="84"/>
      <c r="K689" s="84"/>
      <c r="L689" s="84"/>
    </row>
    <row r="690" ht="15.75" customHeight="1">
      <c r="A690" s="84"/>
      <c r="B690" s="84"/>
      <c r="C690" s="84"/>
      <c r="D690" s="84"/>
      <c r="E690" s="84"/>
      <c r="F690" s="84"/>
      <c r="G690" s="84"/>
      <c r="H690" s="84"/>
      <c r="I690" s="84"/>
      <c r="J690" s="84"/>
      <c r="K690" s="84"/>
      <c r="L690" s="84"/>
    </row>
    <row r="691" ht="15.75" customHeight="1">
      <c r="A691" s="84"/>
      <c r="B691" s="84"/>
      <c r="C691" s="84"/>
      <c r="D691" s="84"/>
      <c r="E691" s="84"/>
      <c r="F691" s="84"/>
      <c r="G691" s="84"/>
      <c r="H691" s="84"/>
      <c r="I691" s="84"/>
      <c r="J691" s="84"/>
      <c r="K691" s="84"/>
      <c r="L691" s="84"/>
    </row>
    <row r="692" ht="15.75" customHeight="1">
      <c r="A692" s="84"/>
      <c r="B692" s="84"/>
      <c r="C692" s="84"/>
      <c r="D692" s="84"/>
      <c r="E692" s="84"/>
      <c r="F692" s="84"/>
      <c r="G692" s="84"/>
      <c r="H692" s="84"/>
      <c r="I692" s="84"/>
      <c r="J692" s="84"/>
      <c r="K692" s="84"/>
      <c r="L692" s="84"/>
    </row>
    <row r="693" ht="15.75" customHeight="1">
      <c r="A693" s="84"/>
      <c r="B693" s="84"/>
      <c r="C693" s="84"/>
      <c r="D693" s="84"/>
      <c r="E693" s="84"/>
      <c r="F693" s="84"/>
      <c r="G693" s="84"/>
      <c r="H693" s="84"/>
      <c r="I693" s="84"/>
      <c r="J693" s="84"/>
      <c r="K693" s="84"/>
      <c r="L693" s="84"/>
    </row>
    <row r="694" ht="15.75" customHeight="1">
      <c r="A694" s="84"/>
      <c r="B694" s="84"/>
      <c r="C694" s="84"/>
      <c r="D694" s="84"/>
      <c r="E694" s="84"/>
      <c r="F694" s="84"/>
      <c r="G694" s="84"/>
      <c r="H694" s="84"/>
      <c r="I694" s="84"/>
      <c r="J694" s="84"/>
      <c r="K694" s="84"/>
      <c r="L694" s="84"/>
    </row>
    <row r="695" ht="15.75" customHeight="1">
      <c r="A695" s="84"/>
      <c r="B695" s="84"/>
      <c r="C695" s="84"/>
      <c r="D695" s="84"/>
      <c r="E695" s="84"/>
      <c r="F695" s="84"/>
      <c r="G695" s="84"/>
      <c r="H695" s="84"/>
      <c r="I695" s="84"/>
      <c r="J695" s="84"/>
      <c r="K695" s="84"/>
      <c r="L695" s="84"/>
    </row>
    <row r="696" ht="15.75" customHeight="1">
      <c r="A696" s="84"/>
      <c r="B696" s="84"/>
      <c r="C696" s="84"/>
      <c r="D696" s="84"/>
      <c r="E696" s="84"/>
      <c r="F696" s="84"/>
      <c r="G696" s="84"/>
      <c r="H696" s="84"/>
      <c r="I696" s="84"/>
      <c r="J696" s="84"/>
      <c r="K696" s="84"/>
      <c r="L696" s="84"/>
    </row>
    <row r="697" ht="15.75" customHeight="1">
      <c r="A697" s="84"/>
      <c r="B697" s="84"/>
      <c r="C697" s="84"/>
      <c r="D697" s="84"/>
      <c r="E697" s="84"/>
      <c r="F697" s="84"/>
      <c r="G697" s="84"/>
      <c r="H697" s="84"/>
      <c r="I697" s="84"/>
      <c r="J697" s="84"/>
      <c r="K697" s="84"/>
      <c r="L697" s="84"/>
    </row>
    <row r="698" ht="15.75" customHeight="1">
      <c r="A698" s="84"/>
      <c r="B698" s="84"/>
      <c r="C698" s="84"/>
      <c r="D698" s="84"/>
      <c r="E698" s="84"/>
      <c r="F698" s="84"/>
      <c r="G698" s="84"/>
      <c r="H698" s="84"/>
      <c r="I698" s="84"/>
      <c r="J698" s="84"/>
      <c r="K698" s="84"/>
      <c r="L698" s="84"/>
    </row>
    <row r="699" ht="15.75" customHeight="1">
      <c r="A699" s="84"/>
      <c r="B699" s="84"/>
      <c r="C699" s="84"/>
      <c r="D699" s="84"/>
      <c r="E699" s="84"/>
      <c r="F699" s="84"/>
      <c r="G699" s="84"/>
      <c r="H699" s="84"/>
      <c r="I699" s="84"/>
      <c r="J699" s="84"/>
      <c r="K699" s="84"/>
      <c r="L699" s="84"/>
    </row>
    <row r="700" ht="15.75" customHeight="1">
      <c r="A700" s="84"/>
      <c r="B700" s="84"/>
      <c r="C700" s="84"/>
      <c r="D700" s="84"/>
      <c r="E700" s="84"/>
      <c r="F700" s="84"/>
      <c r="G700" s="84"/>
      <c r="H700" s="84"/>
      <c r="I700" s="84"/>
      <c r="J700" s="84"/>
      <c r="K700" s="84"/>
      <c r="L700" s="84"/>
    </row>
    <row r="701" ht="15.75" customHeight="1">
      <c r="A701" s="84"/>
      <c r="B701" s="84"/>
      <c r="C701" s="84"/>
      <c r="D701" s="84"/>
      <c r="E701" s="84"/>
      <c r="F701" s="84"/>
      <c r="G701" s="84"/>
      <c r="H701" s="84"/>
      <c r="I701" s="84"/>
      <c r="J701" s="84"/>
      <c r="K701" s="84"/>
      <c r="L701" s="84"/>
    </row>
    <row r="702" ht="15.75" customHeight="1">
      <c r="A702" s="84"/>
      <c r="B702" s="84"/>
      <c r="C702" s="84"/>
      <c r="D702" s="84"/>
      <c r="E702" s="84"/>
      <c r="F702" s="84"/>
      <c r="G702" s="84"/>
      <c r="H702" s="84"/>
      <c r="I702" s="84"/>
      <c r="J702" s="84"/>
      <c r="K702" s="84"/>
      <c r="L702" s="84"/>
    </row>
    <row r="703" ht="15.75" customHeight="1">
      <c r="A703" s="84"/>
      <c r="B703" s="84"/>
      <c r="C703" s="84"/>
      <c r="D703" s="84"/>
      <c r="E703" s="84"/>
      <c r="F703" s="84"/>
      <c r="G703" s="84"/>
      <c r="H703" s="84"/>
      <c r="I703" s="84"/>
      <c r="J703" s="84"/>
      <c r="K703" s="84"/>
      <c r="L703" s="84"/>
    </row>
    <row r="704" ht="15.75" customHeight="1">
      <c r="A704" s="84"/>
      <c r="B704" s="84"/>
      <c r="C704" s="84"/>
      <c r="D704" s="84"/>
      <c r="E704" s="84"/>
      <c r="F704" s="84"/>
      <c r="G704" s="84"/>
      <c r="H704" s="84"/>
      <c r="I704" s="84"/>
      <c r="J704" s="84"/>
      <c r="K704" s="84"/>
      <c r="L704" s="84"/>
    </row>
    <row r="705" ht="15.75" customHeight="1">
      <c r="A705" s="84"/>
      <c r="B705" s="84"/>
      <c r="C705" s="84"/>
      <c r="D705" s="84"/>
      <c r="E705" s="84"/>
      <c r="F705" s="84"/>
      <c r="G705" s="84"/>
      <c r="H705" s="84"/>
      <c r="I705" s="84"/>
      <c r="J705" s="84"/>
      <c r="K705" s="84"/>
      <c r="L705" s="84"/>
    </row>
    <row r="706" ht="15.75" customHeight="1">
      <c r="A706" s="84"/>
      <c r="B706" s="84"/>
      <c r="C706" s="84"/>
      <c r="D706" s="84"/>
      <c r="E706" s="84"/>
      <c r="F706" s="84"/>
      <c r="G706" s="84"/>
      <c r="H706" s="84"/>
      <c r="I706" s="84"/>
      <c r="J706" s="84"/>
      <c r="K706" s="84"/>
      <c r="L706" s="84"/>
    </row>
    <row r="707" ht="15.75" customHeight="1">
      <c r="A707" s="84"/>
      <c r="B707" s="84"/>
      <c r="C707" s="84"/>
      <c r="D707" s="84"/>
      <c r="E707" s="84"/>
      <c r="F707" s="84"/>
      <c r="G707" s="84"/>
      <c r="H707" s="84"/>
      <c r="I707" s="84"/>
      <c r="J707" s="84"/>
      <c r="K707" s="84"/>
      <c r="L707" s="84"/>
    </row>
    <row r="708" ht="15.75" customHeight="1">
      <c r="A708" s="84"/>
      <c r="B708" s="84"/>
      <c r="C708" s="84"/>
      <c r="D708" s="84"/>
      <c r="E708" s="84"/>
      <c r="F708" s="84"/>
      <c r="G708" s="84"/>
      <c r="H708" s="84"/>
      <c r="I708" s="84"/>
      <c r="J708" s="84"/>
      <c r="K708" s="84"/>
      <c r="L708" s="84"/>
    </row>
    <row r="709" ht="15.75" customHeight="1">
      <c r="A709" s="84"/>
      <c r="B709" s="84"/>
      <c r="C709" s="84"/>
      <c r="D709" s="84"/>
      <c r="E709" s="84"/>
      <c r="F709" s="84"/>
      <c r="G709" s="84"/>
      <c r="H709" s="84"/>
      <c r="I709" s="84"/>
      <c r="J709" s="84"/>
      <c r="K709" s="84"/>
      <c r="L709" s="84"/>
    </row>
    <row r="710" ht="15.75" customHeight="1">
      <c r="A710" s="84"/>
      <c r="B710" s="84"/>
      <c r="C710" s="84"/>
      <c r="D710" s="84"/>
      <c r="E710" s="84"/>
      <c r="F710" s="84"/>
      <c r="G710" s="84"/>
      <c r="H710" s="84"/>
      <c r="I710" s="84"/>
      <c r="J710" s="84"/>
      <c r="K710" s="84"/>
      <c r="L710" s="84"/>
    </row>
    <row r="711" ht="15.75" customHeight="1">
      <c r="A711" s="84"/>
      <c r="B711" s="84"/>
      <c r="C711" s="84"/>
      <c r="D711" s="84"/>
      <c r="E711" s="84"/>
      <c r="F711" s="84"/>
      <c r="G711" s="84"/>
      <c r="H711" s="84"/>
      <c r="I711" s="84"/>
      <c r="J711" s="84"/>
      <c r="K711" s="84"/>
      <c r="L711" s="84"/>
    </row>
    <row r="712" ht="15.75" customHeight="1">
      <c r="A712" s="84"/>
      <c r="B712" s="84"/>
      <c r="C712" s="84"/>
      <c r="D712" s="84"/>
      <c r="E712" s="84"/>
      <c r="F712" s="84"/>
      <c r="G712" s="84"/>
      <c r="H712" s="84"/>
      <c r="I712" s="84"/>
      <c r="J712" s="84"/>
      <c r="K712" s="84"/>
      <c r="L712" s="84"/>
    </row>
    <row r="713" ht="15.75" customHeight="1">
      <c r="A713" s="84"/>
      <c r="B713" s="84"/>
      <c r="C713" s="84"/>
      <c r="D713" s="84"/>
      <c r="E713" s="84"/>
      <c r="F713" s="84"/>
      <c r="G713" s="84"/>
      <c r="H713" s="84"/>
      <c r="I713" s="84"/>
      <c r="J713" s="84"/>
      <c r="K713" s="84"/>
      <c r="L713" s="84"/>
    </row>
    <row r="714" ht="15.75" customHeight="1">
      <c r="A714" s="84"/>
      <c r="B714" s="84"/>
      <c r="C714" s="84"/>
      <c r="D714" s="84"/>
      <c r="E714" s="84"/>
      <c r="F714" s="84"/>
      <c r="G714" s="84"/>
      <c r="H714" s="84"/>
      <c r="I714" s="84"/>
      <c r="J714" s="84"/>
      <c r="K714" s="84"/>
      <c r="L714" s="84"/>
    </row>
    <row r="715" ht="15.75" customHeight="1">
      <c r="A715" s="84"/>
      <c r="B715" s="84"/>
      <c r="C715" s="84"/>
      <c r="D715" s="84"/>
      <c r="E715" s="84"/>
      <c r="F715" s="84"/>
      <c r="G715" s="84"/>
      <c r="H715" s="84"/>
      <c r="I715" s="84"/>
      <c r="J715" s="84"/>
      <c r="K715" s="84"/>
      <c r="L715" s="84"/>
    </row>
    <row r="716" ht="15.75" customHeight="1">
      <c r="A716" s="84"/>
      <c r="B716" s="84"/>
      <c r="C716" s="84"/>
      <c r="D716" s="84"/>
      <c r="E716" s="84"/>
      <c r="F716" s="84"/>
      <c r="G716" s="84"/>
      <c r="H716" s="84"/>
      <c r="I716" s="84"/>
      <c r="J716" s="84"/>
      <c r="K716" s="84"/>
      <c r="L716" s="84"/>
    </row>
    <row r="717" ht="15.75" customHeight="1">
      <c r="A717" s="84"/>
      <c r="B717" s="84"/>
      <c r="C717" s="84"/>
      <c r="D717" s="84"/>
      <c r="E717" s="84"/>
      <c r="F717" s="84"/>
      <c r="G717" s="84"/>
      <c r="H717" s="84"/>
      <c r="I717" s="84"/>
      <c r="J717" s="84"/>
      <c r="K717" s="84"/>
      <c r="L717" s="84"/>
    </row>
    <row r="718" ht="15.75" customHeight="1">
      <c r="A718" s="84"/>
      <c r="B718" s="84"/>
      <c r="C718" s="84"/>
      <c r="D718" s="84"/>
      <c r="E718" s="84"/>
      <c r="F718" s="84"/>
      <c r="G718" s="84"/>
      <c r="H718" s="84"/>
      <c r="I718" s="84"/>
      <c r="J718" s="84"/>
      <c r="K718" s="84"/>
      <c r="L718" s="84"/>
    </row>
    <row r="719" ht="15.75" customHeight="1">
      <c r="A719" s="84"/>
      <c r="B719" s="84"/>
      <c r="C719" s="84"/>
      <c r="D719" s="84"/>
      <c r="E719" s="84"/>
      <c r="F719" s="84"/>
      <c r="G719" s="84"/>
      <c r="H719" s="84"/>
      <c r="I719" s="84"/>
      <c r="J719" s="84"/>
      <c r="K719" s="84"/>
      <c r="L719" s="84"/>
    </row>
    <row r="720" ht="15.75" customHeight="1">
      <c r="A720" s="84"/>
      <c r="B720" s="84"/>
      <c r="C720" s="84"/>
      <c r="D720" s="84"/>
      <c r="E720" s="84"/>
      <c r="F720" s="84"/>
      <c r="G720" s="84"/>
      <c r="H720" s="84"/>
      <c r="I720" s="84"/>
      <c r="J720" s="84"/>
      <c r="K720" s="84"/>
      <c r="L720" s="84"/>
    </row>
    <row r="721" ht="15.75" customHeight="1">
      <c r="A721" s="84"/>
      <c r="B721" s="84"/>
      <c r="C721" s="84"/>
      <c r="D721" s="84"/>
      <c r="E721" s="84"/>
      <c r="F721" s="84"/>
      <c r="G721" s="84"/>
      <c r="H721" s="84"/>
      <c r="I721" s="84"/>
      <c r="J721" s="84"/>
      <c r="K721" s="84"/>
      <c r="L721" s="84"/>
    </row>
    <row r="722" ht="15.75" customHeight="1">
      <c r="A722" s="84"/>
      <c r="B722" s="84"/>
      <c r="C722" s="84"/>
      <c r="D722" s="84"/>
      <c r="E722" s="84"/>
      <c r="F722" s="84"/>
      <c r="G722" s="84"/>
      <c r="H722" s="84"/>
      <c r="I722" s="84"/>
      <c r="J722" s="84"/>
      <c r="K722" s="84"/>
      <c r="L722" s="84"/>
    </row>
    <row r="723" ht="15.75" customHeight="1">
      <c r="A723" s="84"/>
      <c r="B723" s="84"/>
      <c r="C723" s="84"/>
      <c r="D723" s="84"/>
      <c r="E723" s="84"/>
      <c r="F723" s="84"/>
      <c r="G723" s="84"/>
      <c r="H723" s="84"/>
      <c r="I723" s="84"/>
      <c r="J723" s="84"/>
      <c r="K723" s="84"/>
      <c r="L723" s="84"/>
    </row>
    <row r="724" ht="15.75" customHeight="1">
      <c r="A724" s="84"/>
      <c r="B724" s="84"/>
      <c r="C724" s="84"/>
      <c r="D724" s="84"/>
      <c r="E724" s="84"/>
      <c r="F724" s="84"/>
      <c r="G724" s="84"/>
      <c r="H724" s="84"/>
      <c r="I724" s="84"/>
      <c r="J724" s="84"/>
      <c r="K724" s="84"/>
      <c r="L724" s="84"/>
    </row>
    <row r="725" ht="15.75" customHeight="1">
      <c r="A725" s="84"/>
      <c r="B725" s="84"/>
      <c r="C725" s="84"/>
      <c r="D725" s="84"/>
      <c r="E725" s="84"/>
      <c r="F725" s="84"/>
      <c r="G725" s="84"/>
      <c r="H725" s="84"/>
      <c r="I725" s="84"/>
      <c r="J725" s="84"/>
      <c r="K725" s="84"/>
      <c r="L725" s="84"/>
    </row>
    <row r="726" ht="15.75" customHeight="1">
      <c r="A726" s="84"/>
      <c r="B726" s="84"/>
      <c r="C726" s="84"/>
      <c r="D726" s="84"/>
      <c r="E726" s="84"/>
      <c r="F726" s="84"/>
      <c r="G726" s="84"/>
      <c r="H726" s="84"/>
      <c r="I726" s="84"/>
      <c r="J726" s="84"/>
      <c r="K726" s="84"/>
      <c r="L726" s="84"/>
    </row>
    <row r="727" ht="15.75" customHeight="1">
      <c r="A727" s="84"/>
      <c r="B727" s="84"/>
      <c r="C727" s="84"/>
      <c r="D727" s="84"/>
      <c r="E727" s="84"/>
      <c r="F727" s="84"/>
      <c r="G727" s="84"/>
      <c r="H727" s="84"/>
      <c r="I727" s="84"/>
      <c r="J727" s="84"/>
      <c r="K727" s="84"/>
      <c r="L727" s="84"/>
    </row>
    <row r="728" ht="15.75" customHeight="1">
      <c r="A728" s="84"/>
      <c r="B728" s="84"/>
      <c r="C728" s="84"/>
      <c r="D728" s="84"/>
      <c r="E728" s="84"/>
      <c r="F728" s="84"/>
      <c r="G728" s="84"/>
      <c r="H728" s="84"/>
      <c r="I728" s="84"/>
      <c r="J728" s="84"/>
      <c r="K728" s="84"/>
      <c r="L728" s="84"/>
    </row>
    <row r="729" ht="15.75" customHeight="1">
      <c r="A729" s="84"/>
      <c r="B729" s="84"/>
      <c r="C729" s="84"/>
      <c r="D729" s="84"/>
      <c r="E729" s="84"/>
      <c r="F729" s="84"/>
      <c r="G729" s="84"/>
      <c r="H729" s="84"/>
      <c r="I729" s="84"/>
      <c r="J729" s="84"/>
      <c r="K729" s="84"/>
      <c r="L729" s="84"/>
    </row>
    <row r="730" ht="15.75" customHeight="1">
      <c r="A730" s="84"/>
      <c r="B730" s="84"/>
      <c r="C730" s="84"/>
      <c r="D730" s="84"/>
      <c r="E730" s="84"/>
      <c r="F730" s="84"/>
      <c r="G730" s="84"/>
      <c r="H730" s="84"/>
      <c r="I730" s="84"/>
      <c r="J730" s="84"/>
      <c r="K730" s="84"/>
      <c r="L730" s="84"/>
    </row>
    <row r="731" ht="15.75" customHeight="1">
      <c r="A731" s="84"/>
      <c r="B731" s="84"/>
      <c r="C731" s="84"/>
      <c r="D731" s="84"/>
      <c r="E731" s="84"/>
      <c r="F731" s="84"/>
      <c r="G731" s="84"/>
      <c r="H731" s="84"/>
      <c r="I731" s="84"/>
      <c r="J731" s="84"/>
      <c r="K731" s="84"/>
      <c r="L731" s="84"/>
    </row>
    <row r="732" ht="15.75" customHeight="1">
      <c r="A732" s="84"/>
      <c r="B732" s="84"/>
      <c r="C732" s="84"/>
      <c r="D732" s="84"/>
      <c r="E732" s="84"/>
      <c r="F732" s="84"/>
      <c r="G732" s="84"/>
      <c r="H732" s="84"/>
      <c r="I732" s="84"/>
      <c r="J732" s="84"/>
      <c r="K732" s="84"/>
      <c r="L732" s="84"/>
    </row>
    <row r="733" ht="15.75" customHeight="1">
      <c r="A733" s="84"/>
      <c r="B733" s="84"/>
      <c r="C733" s="84"/>
      <c r="D733" s="84"/>
      <c r="E733" s="84"/>
      <c r="F733" s="84"/>
      <c r="G733" s="84"/>
      <c r="H733" s="84"/>
      <c r="I733" s="84"/>
      <c r="J733" s="84"/>
      <c r="K733" s="84"/>
      <c r="L733" s="84"/>
    </row>
    <row r="734" ht="15.75" customHeight="1">
      <c r="A734" s="84"/>
      <c r="B734" s="84"/>
      <c r="C734" s="84"/>
      <c r="D734" s="84"/>
      <c r="E734" s="84"/>
      <c r="F734" s="84"/>
      <c r="G734" s="84"/>
      <c r="H734" s="84"/>
      <c r="I734" s="84"/>
      <c r="J734" s="84"/>
      <c r="K734" s="84"/>
      <c r="L734" s="84"/>
    </row>
    <row r="735" ht="15.75" customHeight="1">
      <c r="A735" s="84"/>
      <c r="B735" s="84"/>
      <c r="C735" s="84"/>
      <c r="D735" s="84"/>
      <c r="E735" s="84"/>
      <c r="F735" s="84"/>
      <c r="G735" s="84"/>
      <c r="H735" s="84"/>
      <c r="I735" s="84"/>
      <c r="J735" s="84"/>
      <c r="K735" s="84"/>
      <c r="L735" s="84"/>
    </row>
    <row r="736" ht="15.75" customHeight="1">
      <c r="A736" s="84"/>
      <c r="B736" s="84"/>
      <c r="C736" s="84"/>
      <c r="D736" s="84"/>
      <c r="E736" s="84"/>
      <c r="F736" s="84"/>
      <c r="G736" s="84"/>
      <c r="H736" s="84"/>
      <c r="I736" s="84"/>
      <c r="J736" s="84"/>
      <c r="K736" s="84"/>
      <c r="L736" s="84"/>
    </row>
    <row r="737" ht="15.75" customHeight="1">
      <c r="A737" s="84"/>
      <c r="B737" s="84"/>
      <c r="C737" s="84"/>
      <c r="D737" s="84"/>
      <c r="E737" s="84"/>
      <c r="F737" s="84"/>
      <c r="G737" s="84"/>
      <c r="H737" s="84"/>
      <c r="I737" s="84"/>
      <c r="J737" s="84"/>
      <c r="K737" s="84"/>
      <c r="L737" s="84"/>
    </row>
    <row r="738" ht="15.75" customHeight="1">
      <c r="A738" s="84"/>
      <c r="B738" s="84"/>
      <c r="C738" s="84"/>
      <c r="D738" s="84"/>
      <c r="E738" s="84"/>
      <c r="F738" s="84"/>
      <c r="G738" s="84"/>
      <c r="H738" s="84"/>
      <c r="I738" s="84"/>
      <c r="J738" s="84"/>
      <c r="K738" s="84"/>
      <c r="L738" s="84"/>
    </row>
    <row r="739" ht="15.75" customHeight="1">
      <c r="A739" s="84"/>
      <c r="B739" s="84"/>
      <c r="C739" s="84"/>
      <c r="D739" s="84"/>
      <c r="E739" s="84"/>
      <c r="F739" s="84"/>
      <c r="G739" s="84"/>
      <c r="H739" s="84"/>
      <c r="I739" s="84"/>
      <c r="J739" s="84"/>
      <c r="K739" s="84"/>
      <c r="L739" s="84"/>
    </row>
    <row r="740" ht="15.75" customHeight="1">
      <c r="A740" s="84"/>
      <c r="B740" s="84"/>
      <c r="C740" s="84"/>
      <c r="D740" s="84"/>
      <c r="E740" s="84"/>
      <c r="F740" s="84"/>
      <c r="G740" s="84"/>
      <c r="H740" s="84"/>
      <c r="I740" s="84"/>
      <c r="J740" s="84"/>
      <c r="K740" s="84"/>
      <c r="L740" s="84"/>
    </row>
    <row r="741" ht="15.75" customHeight="1">
      <c r="A741" s="84"/>
      <c r="B741" s="84"/>
      <c r="C741" s="84"/>
      <c r="D741" s="84"/>
      <c r="E741" s="84"/>
      <c r="F741" s="84"/>
      <c r="G741" s="84"/>
      <c r="H741" s="84"/>
      <c r="I741" s="84"/>
      <c r="J741" s="84"/>
      <c r="K741" s="84"/>
      <c r="L741" s="84"/>
    </row>
    <row r="742" ht="15.75" customHeight="1">
      <c r="A742" s="84"/>
      <c r="B742" s="84"/>
      <c r="C742" s="84"/>
      <c r="D742" s="84"/>
      <c r="E742" s="84"/>
      <c r="F742" s="84"/>
      <c r="G742" s="84"/>
      <c r="H742" s="84"/>
      <c r="I742" s="84"/>
      <c r="J742" s="84"/>
      <c r="K742" s="84"/>
      <c r="L742" s="84"/>
    </row>
    <row r="743" ht="15.75" customHeight="1">
      <c r="A743" s="84"/>
      <c r="B743" s="84"/>
      <c r="C743" s="84"/>
      <c r="D743" s="84"/>
      <c r="E743" s="84"/>
      <c r="F743" s="84"/>
      <c r="G743" s="84"/>
      <c r="H743" s="84"/>
      <c r="I743" s="84"/>
      <c r="J743" s="84"/>
      <c r="K743" s="84"/>
      <c r="L743" s="84"/>
    </row>
    <row r="744" ht="15.75" customHeight="1">
      <c r="A744" s="84"/>
      <c r="B744" s="84"/>
      <c r="C744" s="84"/>
      <c r="D744" s="84"/>
      <c r="E744" s="84"/>
      <c r="F744" s="84"/>
      <c r="G744" s="84"/>
      <c r="H744" s="84"/>
      <c r="I744" s="84"/>
      <c r="J744" s="84"/>
      <c r="K744" s="84"/>
      <c r="L744" s="84"/>
    </row>
    <row r="745" ht="15.75" customHeight="1">
      <c r="A745" s="84"/>
      <c r="B745" s="84"/>
      <c r="C745" s="84"/>
      <c r="D745" s="84"/>
      <c r="E745" s="84"/>
      <c r="F745" s="84"/>
      <c r="G745" s="84"/>
      <c r="H745" s="84"/>
      <c r="I745" s="84"/>
      <c r="J745" s="84"/>
      <c r="K745" s="84"/>
      <c r="L745" s="84"/>
    </row>
    <row r="746" ht="15.75" customHeight="1">
      <c r="A746" s="84"/>
      <c r="B746" s="84"/>
      <c r="C746" s="84"/>
      <c r="D746" s="84"/>
      <c r="E746" s="84"/>
      <c r="F746" s="84"/>
      <c r="G746" s="84"/>
      <c r="H746" s="84"/>
      <c r="I746" s="84"/>
      <c r="J746" s="84"/>
      <c r="K746" s="84"/>
      <c r="L746" s="84"/>
    </row>
    <row r="747" ht="15.75" customHeight="1">
      <c r="A747" s="84"/>
      <c r="B747" s="84"/>
      <c r="C747" s="84"/>
      <c r="D747" s="84"/>
      <c r="E747" s="84"/>
      <c r="F747" s="84"/>
      <c r="G747" s="84"/>
      <c r="H747" s="84"/>
      <c r="I747" s="84"/>
      <c r="J747" s="84"/>
      <c r="K747" s="84"/>
      <c r="L747" s="84"/>
    </row>
    <row r="748" ht="15.75" customHeight="1">
      <c r="A748" s="84"/>
      <c r="B748" s="84"/>
      <c r="C748" s="84"/>
      <c r="D748" s="84"/>
      <c r="E748" s="84"/>
      <c r="F748" s="84"/>
      <c r="G748" s="84"/>
      <c r="H748" s="84"/>
      <c r="I748" s="84"/>
      <c r="J748" s="84"/>
      <c r="K748" s="84"/>
      <c r="L748" s="84"/>
    </row>
    <row r="749" ht="15.75" customHeight="1">
      <c r="A749" s="84"/>
      <c r="B749" s="84"/>
      <c r="C749" s="84"/>
      <c r="D749" s="84"/>
      <c r="E749" s="84"/>
      <c r="F749" s="84"/>
      <c r="G749" s="84"/>
      <c r="H749" s="84"/>
      <c r="I749" s="84"/>
      <c r="J749" s="84"/>
      <c r="K749" s="84"/>
      <c r="L749" s="84"/>
    </row>
    <row r="750" ht="15.75" customHeight="1">
      <c r="A750" s="84"/>
      <c r="B750" s="84"/>
      <c r="C750" s="84"/>
      <c r="D750" s="84"/>
      <c r="E750" s="84"/>
      <c r="F750" s="84"/>
      <c r="G750" s="84"/>
      <c r="H750" s="84"/>
      <c r="I750" s="84"/>
      <c r="J750" s="84"/>
      <c r="K750" s="84"/>
      <c r="L750" s="84"/>
    </row>
    <row r="751" ht="15.75" customHeight="1">
      <c r="A751" s="84"/>
      <c r="B751" s="84"/>
      <c r="C751" s="84"/>
      <c r="D751" s="84"/>
      <c r="E751" s="84"/>
      <c r="F751" s="84"/>
      <c r="G751" s="84"/>
      <c r="H751" s="84"/>
      <c r="I751" s="84"/>
      <c r="J751" s="84"/>
      <c r="K751" s="84"/>
      <c r="L751" s="84"/>
    </row>
    <row r="752" ht="15.75" customHeight="1">
      <c r="A752" s="84"/>
      <c r="B752" s="84"/>
      <c r="C752" s="84"/>
      <c r="D752" s="84"/>
      <c r="E752" s="84"/>
      <c r="F752" s="84"/>
      <c r="G752" s="84"/>
      <c r="H752" s="84"/>
      <c r="I752" s="84"/>
      <c r="J752" s="84"/>
      <c r="K752" s="84"/>
      <c r="L752" s="84"/>
    </row>
    <row r="753" ht="15.75" customHeight="1">
      <c r="A753" s="84"/>
      <c r="B753" s="84"/>
      <c r="C753" s="84"/>
      <c r="D753" s="84"/>
      <c r="E753" s="84"/>
      <c r="F753" s="84"/>
      <c r="G753" s="84"/>
      <c r="H753" s="84"/>
      <c r="I753" s="84"/>
      <c r="J753" s="84"/>
      <c r="K753" s="84"/>
      <c r="L753" s="84"/>
    </row>
    <row r="754" ht="15.75" customHeight="1">
      <c r="A754" s="84"/>
      <c r="B754" s="84"/>
      <c r="C754" s="84"/>
      <c r="D754" s="84"/>
      <c r="E754" s="84"/>
      <c r="F754" s="84"/>
      <c r="G754" s="84"/>
      <c r="H754" s="84"/>
      <c r="I754" s="84"/>
      <c r="J754" s="84"/>
      <c r="K754" s="84"/>
      <c r="L754" s="84"/>
    </row>
    <row r="755" ht="15.75" customHeight="1">
      <c r="A755" s="84"/>
      <c r="B755" s="84"/>
      <c r="C755" s="84"/>
      <c r="D755" s="84"/>
      <c r="E755" s="84"/>
      <c r="F755" s="84"/>
      <c r="G755" s="84"/>
      <c r="H755" s="84"/>
      <c r="I755" s="84"/>
      <c r="J755" s="84"/>
      <c r="K755" s="84"/>
      <c r="L755" s="84"/>
    </row>
    <row r="756" ht="15.75" customHeight="1">
      <c r="A756" s="84"/>
      <c r="B756" s="84"/>
      <c r="C756" s="84"/>
      <c r="D756" s="84"/>
      <c r="E756" s="84"/>
      <c r="F756" s="84"/>
      <c r="G756" s="84"/>
      <c r="H756" s="84"/>
      <c r="I756" s="84"/>
      <c r="J756" s="84"/>
      <c r="K756" s="84"/>
      <c r="L756" s="84"/>
    </row>
    <row r="757" ht="15.75" customHeight="1">
      <c r="A757" s="84"/>
      <c r="B757" s="84"/>
      <c r="C757" s="84"/>
      <c r="D757" s="84"/>
      <c r="E757" s="84"/>
      <c r="F757" s="84"/>
      <c r="G757" s="84"/>
      <c r="H757" s="84"/>
      <c r="I757" s="84"/>
      <c r="J757" s="84"/>
      <c r="K757" s="84"/>
      <c r="L757" s="84"/>
    </row>
    <row r="758" ht="15.75" customHeight="1">
      <c r="A758" s="84"/>
      <c r="B758" s="84"/>
      <c r="C758" s="84"/>
      <c r="D758" s="84"/>
      <c r="E758" s="84"/>
      <c r="F758" s="84"/>
      <c r="G758" s="84"/>
      <c r="H758" s="84"/>
      <c r="I758" s="84"/>
      <c r="J758" s="84"/>
      <c r="K758" s="84"/>
      <c r="L758" s="84"/>
    </row>
    <row r="759" ht="15.75" customHeight="1">
      <c r="A759" s="84"/>
      <c r="B759" s="84"/>
      <c r="C759" s="84"/>
      <c r="D759" s="84"/>
      <c r="E759" s="84"/>
      <c r="F759" s="84"/>
      <c r="G759" s="84"/>
      <c r="H759" s="84"/>
      <c r="I759" s="84"/>
      <c r="J759" s="84"/>
      <c r="K759" s="84"/>
      <c r="L759" s="84"/>
    </row>
    <row r="760" ht="15.75" customHeight="1">
      <c r="A760" s="84"/>
      <c r="B760" s="84"/>
      <c r="C760" s="84"/>
      <c r="D760" s="84"/>
      <c r="E760" s="84"/>
      <c r="F760" s="84"/>
      <c r="G760" s="84"/>
      <c r="H760" s="84"/>
      <c r="I760" s="84"/>
      <c r="J760" s="84"/>
      <c r="K760" s="84"/>
      <c r="L760" s="84"/>
    </row>
    <row r="761" ht="15.75" customHeight="1">
      <c r="A761" s="84"/>
      <c r="B761" s="84"/>
      <c r="C761" s="84"/>
      <c r="D761" s="84"/>
      <c r="E761" s="84"/>
      <c r="F761" s="84"/>
      <c r="G761" s="84"/>
      <c r="H761" s="84"/>
      <c r="I761" s="84"/>
      <c r="J761" s="84"/>
      <c r="K761" s="84"/>
      <c r="L761" s="84"/>
    </row>
    <row r="762" ht="15.75" customHeight="1">
      <c r="A762" s="84"/>
      <c r="B762" s="84"/>
      <c r="C762" s="84"/>
      <c r="D762" s="84"/>
      <c r="E762" s="84"/>
      <c r="F762" s="84"/>
      <c r="G762" s="84"/>
      <c r="H762" s="84"/>
      <c r="I762" s="84"/>
      <c r="J762" s="84"/>
      <c r="K762" s="84"/>
      <c r="L762" s="84"/>
    </row>
    <row r="763" ht="15.75" customHeight="1">
      <c r="A763" s="84"/>
      <c r="B763" s="84"/>
      <c r="C763" s="84"/>
      <c r="D763" s="84"/>
      <c r="E763" s="84"/>
      <c r="F763" s="84"/>
      <c r="G763" s="84"/>
      <c r="H763" s="84"/>
      <c r="I763" s="84"/>
      <c r="J763" s="84"/>
      <c r="K763" s="84"/>
      <c r="L763" s="84"/>
    </row>
    <row r="764" ht="15.75" customHeight="1">
      <c r="A764" s="84"/>
      <c r="B764" s="84"/>
      <c r="C764" s="84"/>
      <c r="D764" s="84"/>
      <c r="E764" s="84"/>
      <c r="F764" s="84"/>
      <c r="G764" s="84"/>
      <c r="H764" s="84"/>
      <c r="I764" s="84"/>
      <c r="J764" s="84"/>
      <c r="K764" s="84"/>
      <c r="L764" s="84"/>
    </row>
    <row r="765" ht="15.75" customHeight="1">
      <c r="A765" s="84"/>
      <c r="B765" s="84"/>
      <c r="C765" s="84"/>
      <c r="D765" s="84"/>
      <c r="E765" s="84"/>
      <c r="F765" s="84"/>
      <c r="G765" s="84"/>
      <c r="H765" s="84"/>
      <c r="I765" s="84"/>
      <c r="J765" s="84"/>
      <c r="K765" s="84"/>
      <c r="L765" s="84"/>
    </row>
    <row r="766" ht="15.75" customHeight="1">
      <c r="A766" s="84"/>
      <c r="B766" s="84"/>
      <c r="C766" s="84"/>
      <c r="D766" s="84"/>
      <c r="E766" s="84"/>
      <c r="F766" s="84"/>
      <c r="G766" s="84"/>
      <c r="H766" s="84"/>
      <c r="I766" s="84"/>
      <c r="J766" s="84"/>
      <c r="K766" s="84"/>
      <c r="L766" s="84"/>
    </row>
    <row r="767" ht="15.75" customHeight="1">
      <c r="A767" s="84"/>
      <c r="B767" s="84"/>
      <c r="C767" s="84"/>
      <c r="D767" s="84"/>
      <c r="E767" s="84"/>
      <c r="F767" s="84"/>
      <c r="G767" s="84"/>
      <c r="H767" s="84"/>
      <c r="I767" s="84"/>
      <c r="J767" s="84"/>
      <c r="K767" s="84"/>
      <c r="L767" s="84"/>
    </row>
    <row r="768" ht="15.75" customHeight="1">
      <c r="A768" s="84"/>
      <c r="B768" s="84"/>
      <c r="C768" s="84"/>
      <c r="D768" s="84"/>
      <c r="E768" s="84"/>
      <c r="F768" s="84"/>
      <c r="G768" s="84"/>
      <c r="H768" s="84"/>
      <c r="I768" s="84"/>
      <c r="J768" s="84"/>
      <c r="K768" s="84"/>
      <c r="L768" s="84"/>
    </row>
    <row r="769" ht="15.75" customHeight="1">
      <c r="A769" s="84"/>
      <c r="B769" s="84"/>
      <c r="C769" s="84"/>
      <c r="D769" s="84"/>
      <c r="E769" s="84"/>
      <c r="F769" s="84"/>
      <c r="G769" s="84"/>
      <c r="H769" s="84"/>
      <c r="I769" s="84"/>
      <c r="J769" s="84"/>
      <c r="K769" s="84"/>
      <c r="L769" s="84"/>
    </row>
    <row r="770" ht="15.75" customHeight="1">
      <c r="A770" s="84"/>
      <c r="B770" s="84"/>
      <c r="C770" s="84"/>
      <c r="D770" s="84"/>
      <c r="E770" s="84"/>
      <c r="F770" s="84"/>
      <c r="G770" s="84"/>
      <c r="H770" s="84"/>
      <c r="I770" s="84"/>
      <c r="J770" s="84"/>
      <c r="K770" s="84"/>
      <c r="L770" s="84"/>
    </row>
    <row r="771" ht="15.75" customHeight="1">
      <c r="A771" s="84"/>
      <c r="B771" s="84"/>
      <c r="C771" s="84"/>
      <c r="D771" s="84"/>
      <c r="E771" s="84"/>
      <c r="F771" s="84"/>
      <c r="G771" s="84"/>
      <c r="H771" s="84"/>
      <c r="I771" s="84"/>
      <c r="J771" s="84"/>
      <c r="K771" s="84"/>
      <c r="L771" s="84"/>
    </row>
    <row r="772" ht="15.75" customHeight="1">
      <c r="A772" s="84"/>
      <c r="B772" s="84"/>
      <c r="C772" s="84"/>
      <c r="D772" s="84"/>
      <c r="E772" s="84"/>
      <c r="F772" s="84"/>
      <c r="G772" s="84"/>
      <c r="H772" s="84"/>
      <c r="I772" s="84"/>
      <c r="J772" s="84"/>
      <c r="K772" s="84"/>
      <c r="L772" s="84"/>
    </row>
    <row r="773" ht="15.75" customHeight="1">
      <c r="A773" s="84"/>
      <c r="B773" s="84"/>
      <c r="C773" s="84"/>
      <c r="D773" s="84"/>
      <c r="E773" s="84"/>
      <c r="F773" s="84"/>
      <c r="G773" s="84"/>
      <c r="H773" s="84"/>
      <c r="I773" s="84"/>
      <c r="J773" s="84"/>
      <c r="K773" s="84"/>
      <c r="L773" s="84"/>
    </row>
    <row r="774" ht="15.75" customHeight="1">
      <c r="A774" s="84"/>
      <c r="B774" s="84"/>
      <c r="C774" s="84"/>
      <c r="D774" s="84"/>
      <c r="E774" s="84"/>
      <c r="F774" s="84"/>
      <c r="G774" s="84"/>
      <c r="H774" s="84"/>
      <c r="I774" s="84"/>
      <c r="J774" s="84"/>
      <c r="K774" s="84"/>
      <c r="L774" s="84"/>
    </row>
    <row r="775" ht="15.75" customHeight="1">
      <c r="A775" s="84"/>
      <c r="B775" s="84"/>
      <c r="C775" s="84"/>
      <c r="D775" s="84"/>
      <c r="E775" s="84"/>
      <c r="F775" s="84"/>
      <c r="G775" s="84"/>
      <c r="H775" s="84"/>
      <c r="I775" s="84"/>
      <c r="J775" s="84"/>
      <c r="K775" s="84"/>
      <c r="L775" s="84"/>
    </row>
    <row r="776" ht="15.75" customHeight="1">
      <c r="A776" s="84"/>
      <c r="B776" s="84"/>
      <c r="C776" s="84"/>
      <c r="D776" s="84"/>
      <c r="E776" s="84"/>
      <c r="F776" s="84"/>
      <c r="G776" s="84"/>
      <c r="H776" s="84"/>
      <c r="I776" s="84"/>
      <c r="J776" s="84"/>
      <c r="K776" s="84"/>
      <c r="L776" s="84"/>
    </row>
    <row r="777" ht="15.75" customHeight="1">
      <c r="A777" s="84"/>
      <c r="B777" s="84"/>
      <c r="C777" s="84"/>
      <c r="D777" s="84"/>
      <c r="E777" s="84"/>
      <c r="F777" s="84"/>
      <c r="G777" s="84"/>
      <c r="H777" s="84"/>
      <c r="I777" s="84"/>
      <c r="J777" s="84"/>
      <c r="K777" s="84"/>
      <c r="L777" s="84"/>
    </row>
    <row r="778" ht="15.75" customHeight="1">
      <c r="A778" s="84"/>
      <c r="B778" s="84"/>
      <c r="C778" s="84"/>
      <c r="D778" s="84"/>
      <c r="E778" s="84"/>
      <c r="F778" s="84"/>
      <c r="G778" s="84"/>
      <c r="H778" s="84"/>
      <c r="I778" s="84"/>
      <c r="J778" s="84"/>
      <c r="K778" s="84"/>
      <c r="L778" s="84"/>
    </row>
    <row r="779" ht="15.75" customHeight="1">
      <c r="A779" s="84"/>
      <c r="B779" s="84"/>
      <c r="C779" s="84"/>
      <c r="D779" s="84"/>
      <c r="E779" s="84"/>
      <c r="F779" s="84"/>
      <c r="G779" s="84"/>
      <c r="H779" s="84"/>
      <c r="I779" s="84"/>
      <c r="J779" s="84"/>
      <c r="K779" s="84"/>
      <c r="L779" s="84"/>
    </row>
    <row r="780" ht="15.75" customHeight="1">
      <c r="A780" s="84"/>
      <c r="B780" s="84"/>
      <c r="C780" s="84"/>
      <c r="D780" s="84"/>
      <c r="E780" s="84"/>
      <c r="F780" s="84"/>
      <c r="G780" s="84"/>
      <c r="H780" s="84"/>
      <c r="I780" s="84"/>
      <c r="J780" s="84"/>
      <c r="K780" s="84"/>
      <c r="L780" s="84"/>
    </row>
    <row r="781" ht="15.75" customHeight="1">
      <c r="A781" s="84"/>
      <c r="B781" s="84"/>
      <c r="C781" s="84"/>
      <c r="D781" s="84"/>
      <c r="E781" s="84"/>
      <c r="F781" s="84"/>
      <c r="G781" s="84"/>
      <c r="H781" s="84"/>
      <c r="I781" s="84"/>
      <c r="J781" s="84"/>
      <c r="K781" s="84"/>
      <c r="L781" s="84"/>
    </row>
    <row r="782" ht="15.75" customHeight="1">
      <c r="A782" s="84"/>
      <c r="B782" s="84"/>
      <c r="C782" s="84"/>
      <c r="D782" s="84"/>
      <c r="E782" s="84"/>
      <c r="F782" s="84"/>
      <c r="G782" s="84"/>
      <c r="H782" s="84"/>
      <c r="I782" s="84"/>
      <c r="J782" s="84"/>
      <c r="K782" s="84"/>
      <c r="L782" s="84"/>
    </row>
    <row r="783" ht="15.75" customHeight="1">
      <c r="A783" s="84"/>
      <c r="B783" s="84"/>
      <c r="C783" s="84"/>
      <c r="D783" s="84"/>
      <c r="E783" s="84"/>
      <c r="F783" s="84"/>
      <c r="G783" s="84"/>
      <c r="H783" s="84"/>
      <c r="I783" s="84"/>
      <c r="J783" s="84"/>
      <c r="K783" s="84"/>
      <c r="L783" s="84"/>
    </row>
    <row r="784" ht="15.75" customHeight="1">
      <c r="A784" s="84"/>
      <c r="B784" s="84"/>
      <c r="C784" s="84"/>
      <c r="D784" s="84"/>
      <c r="E784" s="84"/>
      <c r="F784" s="84"/>
      <c r="G784" s="84"/>
      <c r="H784" s="84"/>
      <c r="I784" s="84"/>
      <c r="J784" s="84"/>
      <c r="K784" s="84"/>
      <c r="L784" s="84"/>
    </row>
    <row r="785" ht="15.75" customHeight="1">
      <c r="A785" s="84"/>
      <c r="B785" s="84"/>
      <c r="C785" s="84"/>
      <c r="D785" s="84"/>
      <c r="E785" s="84"/>
      <c r="F785" s="84"/>
      <c r="G785" s="84"/>
      <c r="H785" s="84"/>
      <c r="I785" s="84"/>
      <c r="J785" s="84"/>
      <c r="K785" s="84"/>
      <c r="L785" s="84"/>
    </row>
    <row r="786" ht="15.75" customHeight="1">
      <c r="A786" s="84"/>
      <c r="B786" s="84"/>
      <c r="C786" s="84"/>
      <c r="D786" s="84"/>
      <c r="E786" s="84"/>
      <c r="F786" s="84"/>
      <c r="G786" s="84"/>
      <c r="H786" s="84"/>
      <c r="I786" s="84"/>
      <c r="J786" s="84"/>
      <c r="K786" s="84"/>
      <c r="L786" s="84"/>
    </row>
    <row r="787" ht="15.75" customHeight="1">
      <c r="A787" s="84"/>
      <c r="B787" s="84"/>
      <c r="C787" s="84"/>
      <c r="D787" s="84"/>
      <c r="E787" s="84"/>
      <c r="F787" s="84"/>
      <c r="G787" s="84"/>
      <c r="H787" s="84"/>
      <c r="I787" s="84"/>
      <c r="J787" s="84"/>
      <c r="K787" s="84"/>
      <c r="L787" s="84"/>
    </row>
    <row r="788" ht="15.75" customHeight="1">
      <c r="A788" s="84"/>
      <c r="B788" s="84"/>
      <c r="C788" s="84"/>
      <c r="D788" s="84"/>
      <c r="E788" s="84"/>
      <c r="F788" s="84"/>
      <c r="G788" s="84"/>
      <c r="H788" s="84"/>
      <c r="I788" s="84"/>
      <c r="J788" s="84"/>
      <c r="K788" s="84"/>
      <c r="L788" s="84"/>
    </row>
    <row r="789" ht="15.75" customHeight="1">
      <c r="A789" s="84"/>
      <c r="B789" s="84"/>
      <c r="C789" s="84"/>
      <c r="D789" s="84"/>
      <c r="E789" s="84"/>
      <c r="F789" s="84"/>
      <c r="G789" s="84"/>
      <c r="H789" s="84"/>
      <c r="I789" s="84"/>
      <c r="J789" s="84"/>
      <c r="K789" s="84"/>
      <c r="L789" s="84"/>
    </row>
    <row r="790" ht="15.75" customHeight="1">
      <c r="A790" s="84"/>
      <c r="B790" s="84"/>
      <c r="C790" s="84"/>
      <c r="D790" s="84"/>
      <c r="E790" s="84"/>
      <c r="F790" s="84"/>
      <c r="G790" s="84"/>
      <c r="H790" s="84"/>
      <c r="I790" s="84"/>
      <c r="J790" s="84"/>
      <c r="K790" s="84"/>
      <c r="L790" s="84"/>
    </row>
    <row r="791" ht="15.75" customHeight="1">
      <c r="A791" s="84"/>
      <c r="B791" s="84"/>
      <c r="C791" s="84"/>
      <c r="D791" s="84"/>
      <c r="E791" s="84"/>
      <c r="F791" s="84"/>
      <c r="G791" s="84"/>
      <c r="H791" s="84"/>
      <c r="I791" s="84"/>
      <c r="J791" s="84"/>
      <c r="K791" s="84"/>
      <c r="L791" s="84"/>
    </row>
    <row r="792" ht="15.75" customHeight="1">
      <c r="A792" s="84"/>
      <c r="B792" s="84"/>
      <c r="C792" s="84"/>
      <c r="D792" s="84"/>
      <c r="E792" s="84"/>
      <c r="F792" s="84"/>
      <c r="G792" s="84"/>
      <c r="H792" s="84"/>
      <c r="I792" s="84"/>
      <c r="J792" s="84"/>
      <c r="K792" s="84"/>
      <c r="L792" s="84"/>
    </row>
    <row r="793" ht="15.75" customHeight="1">
      <c r="A793" s="84"/>
      <c r="B793" s="84"/>
      <c r="C793" s="84"/>
      <c r="D793" s="84"/>
      <c r="E793" s="84"/>
      <c r="F793" s="84"/>
      <c r="G793" s="84"/>
      <c r="H793" s="84"/>
      <c r="I793" s="84"/>
      <c r="J793" s="84"/>
      <c r="K793" s="84"/>
      <c r="L793" s="84"/>
    </row>
    <row r="794" ht="15.75" customHeight="1">
      <c r="A794" s="84"/>
      <c r="B794" s="84"/>
      <c r="C794" s="84"/>
      <c r="D794" s="84"/>
      <c r="E794" s="84"/>
      <c r="F794" s="84"/>
      <c r="G794" s="84"/>
      <c r="H794" s="84"/>
      <c r="I794" s="84"/>
      <c r="J794" s="84"/>
      <c r="K794" s="84"/>
      <c r="L794" s="84"/>
    </row>
    <row r="795" ht="15.75" customHeight="1">
      <c r="A795" s="84"/>
      <c r="B795" s="84"/>
      <c r="C795" s="84"/>
      <c r="D795" s="84"/>
      <c r="E795" s="84"/>
      <c r="F795" s="84"/>
      <c r="G795" s="84"/>
      <c r="H795" s="84"/>
      <c r="I795" s="84"/>
      <c r="J795" s="84"/>
      <c r="K795" s="84"/>
      <c r="L795" s="84"/>
    </row>
    <row r="796" ht="15.75" customHeight="1">
      <c r="A796" s="84"/>
      <c r="B796" s="84"/>
      <c r="C796" s="84"/>
      <c r="D796" s="84"/>
      <c r="E796" s="84"/>
      <c r="F796" s="84"/>
      <c r="G796" s="84"/>
      <c r="H796" s="84"/>
      <c r="I796" s="84"/>
      <c r="J796" s="84"/>
      <c r="K796" s="84"/>
      <c r="L796" s="84"/>
    </row>
    <row r="797" ht="15.75" customHeight="1">
      <c r="A797" s="84"/>
      <c r="B797" s="84"/>
      <c r="C797" s="84"/>
      <c r="D797" s="84"/>
      <c r="E797" s="84"/>
      <c r="F797" s="84"/>
      <c r="G797" s="84"/>
      <c r="H797" s="84"/>
      <c r="I797" s="84"/>
      <c r="J797" s="84"/>
      <c r="K797" s="84"/>
      <c r="L797" s="84"/>
    </row>
    <row r="798" ht="15.75" customHeight="1">
      <c r="A798" s="84"/>
      <c r="B798" s="84"/>
      <c r="C798" s="84"/>
      <c r="D798" s="84"/>
      <c r="E798" s="84"/>
      <c r="F798" s="84"/>
      <c r="G798" s="84"/>
      <c r="H798" s="84"/>
      <c r="I798" s="84"/>
      <c r="J798" s="84"/>
      <c r="K798" s="84"/>
      <c r="L798" s="84"/>
    </row>
    <row r="799" ht="15.75" customHeight="1">
      <c r="A799" s="84"/>
      <c r="B799" s="84"/>
      <c r="C799" s="84"/>
      <c r="D799" s="84"/>
      <c r="E799" s="84"/>
      <c r="F799" s="84"/>
      <c r="G799" s="84"/>
      <c r="H799" s="84"/>
      <c r="I799" s="84"/>
      <c r="J799" s="84"/>
      <c r="K799" s="84"/>
      <c r="L799" s="84"/>
    </row>
    <row r="800" ht="15.75" customHeight="1">
      <c r="A800" s="84"/>
      <c r="B800" s="84"/>
      <c r="C800" s="84"/>
      <c r="D800" s="84"/>
      <c r="E800" s="84"/>
      <c r="F800" s="84"/>
      <c r="G800" s="84"/>
      <c r="H800" s="84"/>
      <c r="I800" s="84"/>
      <c r="J800" s="84"/>
      <c r="K800" s="84"/>
      <c r="L800" s="84"/>
    </row>
    <row r="801" ht="15.75" customHeight="1">
      <c r="A801" s="84"/>
      <c r="B801" s="84"/>
      <c r="C801" s="84"/>
      <c r="D801" s="84"/>
      <c r="E801" s="84"/>
      <c r="F801" s="84"/>
      <c r="G801" s="84"/>
      <c r="H801" s="84"/>
      <c r="I801" s="84"/>
      <c r="J801" s="84"/>
      <c r="K801" s="84"/>
      <c r="L801" s="84"/>
    </row>
    <row r="802" ht="15.75" customHeight="1">
      <c r="A802" s="84"/>
      <c r="B802" s="84"/>
      <c r="C802" s="84"/>
      <c r="D802" s="84"/>
      <c r="E802" s="84"/>
      <c r="F802" s="84"/>
      <c r="G802" s="84"/>
      <c r="H802" s="84"/>
      <c r="I802" s="84"/>
      <c r="J802" s="84"/>
      <c r="K802" s="84"/>
      <c r="L802" s="84"/>
    </row>
    <row r="803" ht="15.75" customHeight="1">
      <c r="A803" s="84"/>
      <c r="B803" s="84"/>
      <c r="C803" s="84"/>
      <c r="D803" s="84"/>
      <c r="E803" s="84"/>
      <c r="F803" s="84"/>
      <c r="G803" s="84"/>
      <c r="H803" s="84"/>
      <c r="I803" s="84"/>
      <c r="J803" s="84"/>
      <c r="K803" s="84"/>
      <c r="L803" s="84"/>
    </row>
    <row r="804" ht="15.75" customHeight="1">
      <c r="A804" s="84"/>
      <c r="B804" s="84"/>
      <c r="C804" s="84"/>
      <c r="D804" s="84"/>
      <c r="E804" s="84"/>
      <c r="F804" s="84"/>
      <c r="G804" s="84"/>
      <c r="H804" s="84"/>
      <c r="I804" s="84"/>
      <c r="J804" s="84"/>
      <c r="K804" s="84"/>
      <c r="L804" s="84"/>
    </row>
    <row r="805" ht="15.75" customHeight="1">
      <c r="A805" s="84"/>
      <c r="B805" s="84"/>
      <c r="C805" s="84"/>
      <c r="D805" s="84"/>
      <c r="E805" s="84"/>
      <c r="F805" s="84"/>
      <c r="G805" s="84"/>
      <c r="H805" s="84"/>
      <c r="I805" s="84"/>
      <c r="J805" s="84"/>
      <c r="K805" s="84"/>
      <c r="L805" s="84"/>
    </row>
    <row r="806" ht="15.75" customHeight="1">
      <c r="A806" s="84"/>
      <c r="B806" s="84"/>
      <c r="C806" s="84"/>
      <c r="D806" s="84"/>
      <c r="E806" s="84"/>
      <c r="F806" s="84"/>
      <c r="G806" s="84"/>
      <c r="H806" s="84"/>
      <c r="I806" s="84"/>
      <c r="J806" s="84"/>
      <c r="K806" s="84"/>
      <c r="L806" s="84"/>
    </row>
    <row r="807" ht="15.75" customHeight="1">
      <c r="A807" s="84"/>
      <c r="B807" s="84"/>
      <c r="C807" s="84"/>
      <c r="D807" s="84"/>
      <c r="E807" s="84"/>
      <c r="F807" s="84"/>
      <c r="G807" s="84"/>
      <c r="H807" s="84"/>
      <c r="I807" s="84"/>
      <c r="J807" s="84"/>
      <c r="K807" s="84"/>
      <c r="L807" s="84"/>
    </row>
    <row r="808" ht="15.75" customHeight="1">
      <c r="A808" s="84"/>
      <c r="B808" s="84"/>
      <c r="C808" s="84"/>
      <c r="D808" s="84"/>
      <c r="E808" s="84"/>
      <c r="F808" s="84"/>
      <c r="G808" s="84"/>
      <c r="H808" s="84"/>
      <c r="I808" s="84"/>
      <c r="J808" s="84"/>
      <c r="K808" s="84"/>
      <c r="L808" s="84"/>
    </row>
    <row r="809" ht="15.75" customHeight="1">
      <c r="A809" s="84"/>
      <c r="B809" s="84"/>
      <c r="C809" s="84"/>
      <c r="D809" s="84"/>
      <c r="E809" s="84"/>
      <c r="F809" s="84"/>
      <c r="G809" s="84"/>
      <c r="H809" s="84"/>
      <c r="I809" s="84"/>
      <c r="J809" s="84"/>
      <c r="K809" s="84"/>
      <c r="L809" s="84"/>
    </row>
    <row r="810" ht="15.75" customHeight="1">
      <c r="A810" s="84"/>
      <c r="B810" s="84"/>
      <c r="C810" s="84"/>
      <c r="D810" s="84"/>
      <c r="E810" s="84"/>
      <c r="F810" s="84"/>
      <c r="G810" s="84"/>
      <c r="H810" s="84"/>
      <c r="I810" s="84"/>
      <c r="J810" s="84"/>
      <c r="K810" s="84"/>
      <c r="L810" s="84"/>
    </row>
    <row r="811" ht="15.75" customHeight="1">
      <c r="A811" s="84"/>
      <c r="B811" s="84"/>
      <c r="C811" s="84"/>
      <c r="D811" s="84"/>
      <c r="E811" s="84"/>
      <c r="F811" s="84"/>
      <c r="G811" s="84"/>
      <c r="H811" s="84"/>
      <c r="I811" s="84"/>
      <c r="J811" s="84"/>
      <c r="K811" s="84"/>
      <c r="L811" s="84"/>
    </row>
    <row r="812" ht="15.75" customHeight="1">
      <c r="A812" s="84"/>
      <c r="B812" s="84"/>
      <c r="C812" s="84"/>
      <c r="D812" s="84"/>
      <c r="E812" s="84"/>
      <c r="F812" s="84"/>
      <c r="G812" s="84"/>
      <c r="H812" s="84"/>
      <c r="I812" s="84"/>
      <c r="J812" s="84"/>
      <c r="K812" s="84"/>
      <c r="L812" s="84"/>
    </row>
    <row r="813" ht="15.75" customHeight="1">
      <c r="A813" s="84"/>
      <c r="B813" s="84"/>
      <c r="C813" s="84"/>
      <c r="D813" s="84"/>
      <c r="E813" s="84"/>
      <c r="F813" s="84"/>
      <c r="G813" s="84"/>
      <c r="H813" s="84"/>
      <c r="I813" s="84"/>
      <c r="J813" s="84"/>
      <c r="K813" s="84"/>
      <c r="L813" s="84"/>
    </row>
    <row r="814" ht="15.75" customHeight="1">
      <c r="A814" s="84"/>
      <c r="B814" s="84"/>
      <c r="C814" s="84"/>
      <c r="D814" s="84"/>
      <c r="E814" s="84"/>
      <c r="F814" s="84"/>
      <c r="G814" s="84"/>
      <c r="H814" s="84"/>
      <c r="I814" s="84"/>
      <c r="J814" s="84"/>
      <c r="K814" s="84"/>
      <c r="L814" s="84"/>
    </row>
    <row r="815" ht="15.75" customHeight="1">
      <c r="A815" s="84"/>
      <c r="B815" s="84"/>
      <c r="C815" s="84"/>
      <c r="D815" s="84"/>
      <c r="E815" s="84"/>
      <c r="F815" s="84"/>
      <c r="G815" s="84"/>
      <c r="H815" s="84"/>
      <c r="I815" s="84"/>
      <c r="J815" s="84"/>
      <c r="K815" s="84"/>
      <c r="L815" s="84"/>
    </row>
    <row r="816" ht="15.75" customHeight="1">
      <c r="A816" s="84"/>
      <c r="B816" s="84"/>
      <c r="C816" s="84"/>
      <c r="D816" s="84"/>
      <c r="E816" s="84"/>
      <c r="F816" s="84"/>
      <c r="G816" s="84"/>
      <c r="H816" s="84"/>
      <c r="I816" s="84"/>
      <c r="J816" s="84"/>
      <c r="K816" s="84"/>
      <c r="L816" s="84"/>
    </row>
    <row r="817" ht="15.75" customHeight="1">
      <c r="A817" s="84"/>
      <c r="B817" s="84"/>
      <c r="C817" s="84"/>
      <c r="D817" s="84"/>
      <c r="E817" s="84"/>
      <c r="F817" s="84"/>
      <c r="G817" s="84"/>
      <c r="H817" s="84"/>
      <c r="I817" s="84"/>
      <c r="J817" s="84"/>
      <c r="K817" s="84"/>
      <c r="L817" s="84"/>
    </row>
    <row r="818" ht="15.75" customHeight="1">
      <c r="A818" s="84"/>
      <c r="B818" s="84"/>
      <c r="C818" s="84"/>
      <c r="D818" s="84"/>
      <c r="E818" s="84"/>
      <c r="F818" s="84"/>
      <c r="G818" s="84"/>
      <c r="H818" s="84"/>
      <c r="I818" s="84"/>
      <c r="J818" s="84"/>
      <c r="K818" s="84"/>
      <c r="L818" s="84"/>
    </row>
    <row r="819" ht="15.75" customHeight="1">
      <c r="A819" s="84"/>
      <c r="B819" s="84"/>
      <c r="C819" s="84"/>
      <c r="D819" s="84"/>
      <c r="E819" s="84"/>
      <c r="F819" s="84"/>
      <c r="G819" s="84"/>
      <c r="H819" s="84"/>
      <c r="I819" s="84"/>
      <c r="J819" s="84"/>
      <c r="K819" s="84"/>
      <c r="L819" s="84"/>
    </row>
    <row r="820" ht="15.75" customHeight="1">
      <c r="A820" s="84"/>
      <c r="B820" s="84"/>
      <c r="C820" s="84"/>
      <c r="D820" s="84"/>
      <c r="E820" s="84"/>
      <c r="F820" s="84"/>
      <c r="G820" s="84"/>
      <c r="H820" s="84"/>
      <c r="I820" s="84"/>
      <c r="J820" s="84"/>
      <c r="K820" s="84"/>
      <c r="L820" s="84"/>
    </row>
    <row r="821" ht="15.75" customHeight="1">
      <c r="A821" s="84"/>
      <c r="B821" s="84"/>
      <c r="C821" s="84"/>
      <c r="D821" s="84"/>
      <c r="E821" s="84"/>
      <c r="F821" s="84"/>
      <c r="G821" s="84"/>
      <c r="H821" s="84"/>
      <c r="I821" s="84"/>
      <c r="J821" s="84"/>
      <c r="K821" s="84"/>
      <c r="L821" s="84"/>
    </row>
    <row r="822" ht="15.75" customHeight="1">
      <c r="A822" s="84"/>
      <c r="B822" s="84"/>
      <c r="C822" s="84"/>
      <c r="D822" s="84"/>
      <c r="E822" s="84"/>
      <c r="F822" s="84"/>
      <c r="G822" s="84"/>
      <c r="H822" s="84"/>
      <c r="I822" s="84"/>
      <c r="J822" s="84"/>
      <c r="K822" s="84"/>
      <c r="L822" s="84"/>
    </row>
    <row r="823" ht="15.75" customHeight="1">
      <c r="A823" s="84"/>
      <c r="B823" s="84"/>
      <c r="C823" s="84"/>
      <c r="D823" s="84"/>
      <c r="E823" s="84"/>
      <c r="F823" s="84"/>
      <c r="G823" s="84"/>
      <c r="H823" s="84"/>
      <c r="I823" s="84"/>
      <c r="J823" s="84"/>
      <c r="K823" s="84"/>
      <c r="L823" s="84"/>
    </row>
    <row r="824" ht="15.75" customHeight="1">
      <c r="A824" s="84"/>
      <c r="B824" s="84"/>
      <c r="C824" s="84"/>
      <c r="D824" s="84"/>
      <c r="E824" s="84"/>
      <c r="F824" s="84"/>
      <c r="G824" s="84"/>
      <c r="H824" s="84"/>
      <c r="I824" s="84"/>
      <c r="J824" s="84"/>
      <c r="K824" s="84"/>
      <c r="L824" s="84"/>
    </row>
    <row r="825" ht="15.75" customHeight="1">
      <c r="A825" s="84"/>
      <c r="B825" s="84"/>
      <c r="C825" s="84"/>
      <c r="D825" s="84"/>
      <c r="E825" s="84"/>
      <c r="F825" s="84"/>
      <c r="G825" s="84"/>
      <c r="H825" s="84"/>
      <c r="I825" s="84"/>
      <c r="J825" s="84"/>
      <c r="K825" s="84"/>
      <c r="L825" s="84"/>
    </row>
    <row r="826" ht="15.75" customHeight="1">
      <c r="A826" s="84"/>
      <c r="B826" s="84"/>
      <c r="C826" s="84"/>
      <c r="D826" s="84"/>
      <c r="E826" s="84"/>
      <c r="F826" s="84"/>
      <c r="G826" s="84"/>
      <c r="H826" s="84"/>
      <c r="I826" s="84"/>
      <c r="J826" s="84"/>
      <c r="K826" s="84"/>
      <c r="L826" s="84"/>
    </row>
    <row r="827" ht="15.75" customHeight="1">
      <c r="A827" s="84"/>
      <c r="B827" s="84"/>
      <c r="C827" s="84"/>
      <c r="D827" s="84"/>
      <c r="E827" s="84"/>
      <c r="F827" s="84"/>
      <c r="G827" s="84"/>
      <c r="H827" s="84"/>
      <c r="I827" s="84"/>
      <c r="J827" s="84"/>
      <c r="K827" s="84"/>
      <c r="L827" s="84"/>
    </row>
    <row r="828" ht="15.75" customHeight="1">
      <c r="A828" s="84"/>
      <c r="B828" s="84"/>
      <c r="C828" s="84"/>
      <c r="D828" s="84"/>
      <c r="E828" s="84"/>
      <c r="F828" s="84"/>
      <c r="G828" s="84"/>
      <c r="H828" s="84"/>
      <c r="I828" s="84"/>
      <c r="J828" s="84"/>
      <c r="K828" s="84"/>
      <c r="L828" s="84"/>
    </row>
    <row r="829" ht="15.75" customHeight="1">
      <c r="A829" s="84"/>
      <c r="B829" s="84"/>
      <c r="C829" s="84"/>
      <c r="D829" s="84"/>
      <c r="E829" s="84"/>
      <c r="F829" s="84"/>
      <c r="G829" s="84"/>
      <c r="H829" s="84"/>
      <c r="I829" s="84"/>
      <c r="J829" s="84"/>
      <c r="K829" s="84"/>
      <c r="L829" s="84"/>
    </row>
    <row r="830" ht="15.75" customHeight="1">
      <c r="A830" s="84"/>
      <c r="B830" s="84"/>
      <c r="C830" s="84"/>
      <c r="D830" s="84"/>
      <c r="E830" s="84"/>
      <c r="F830" s="84"/>
      <c r="G830" s="84"/>
      <c r="H830" s="84"/>
      <c r="I830" s="84"/>
      <c r="J830" s="84"/>
      <c r="K830" s="84"/>
      <c r="L830" s="84"/>
    </row>
    <row r="831" ht="15.75" customHeight="1">
      <c r="A831" s="84"/>
      <c r="B831" s="84"/>
      <c r="C831" s="84"/>
      <c r="D831" s="84"/>
      <c r="E831" s="84"/>
      <c r="F831" s="84"/>
      <c r="G831" s="84"/>
      <c r="H831" s="84"/>
      <c r="I831" s="84"/>
      <c r="J831" s="84"/>
      <c r="K831" s="84"/>
      <c r="L831" s="84"/>
    </row>
    <row r="832" ht="15.75" customHeight="1">
      <c r="A832" s="84"/>
      <c r="B832" s="84"/>
      <c r="C832" s="84"/>
      <c r="D832" s="84"/>
      <c r="E832" s="84"/>
      <c r="F832" s="84"/>
      <c r="G832" s="84"/>
      <c r="H832" s="84"/>
      <c r="I832" s="84"/>
      <c r="J832" s="84"/>
      <c r="K832" s="84"/>
      <c r="L832" s="84"/>
    </row>
    <row r="833" ht="15.75" customHeight="1">
      <c r="A833" s="84"/>
      <c r="B833" s="84"/>
      <c r="C833" s="84"/>
      <c r="D833" s="84"/>
      <c r="E833" s="84"/>
      <c r="F833" s="84"/>
      <c r="G833" s="84"/>
      <c r="H833" s="84"/>
      <c r="I833" s="84"/>
      <c r="J833" s="84"/>
      <c r="K833" s="84"/>
      <c r="L833" s="84"/>
    </row>
    <row r="834" ht="15.75" customHeight="1">
      <c r="A834" s="84"/>
      <c r="B834" s="84"/>
      <c r="C834" s="84"/>
      <c r="D834" s="84"/>
      <c r="E834" s="84"/>
      <c r="F834" s="84"/>
      <c r="G834" s="84"/>
      <c r="H834" s="84"/>
      <c r="I834" s="84"/>
      <c r="J834" s="84"/>
      <c r="K834" s="84"/>
      <c r="L834" s="84"/>
    </row>
    <row r="835" ht="15.75" customHeight="1">
      <c r="A835" s="84"/>
      <c r="B835" s="84"/>
      <c r="C835" s="84"/>
      <c r="D835" s="84"/>
      <c r="E835" s="84"/>
      <c r="F835" s="84"/>
      <c r="G835" s="84"/>
      <c r="H835" s="84"/>
      <c r="I835" s="84"/>
      <c r="J835" s="84"/>
      <c r="K835" s="84"/>
      <c r="L835" s="84"/>
    </row>
    <row r="836" ht="15.75" customHeight="1">
      <c r="A836" s="84"/>
      <c r="B836" s="84"/>
      <c r="C836" s="84"/>
      <c r="D836" s="84"/>
      <c r="E836" s="84"/>
      <c r="F836" s="84"/>
      <c r="G836" s="84"/>
      <c r="H836" s="84"/>
      <c r="I836" s="84"/>
      <c r="J836" s="84"/>
      <c r="K836" s="84"/>
      <c r="L836" s="84"/>
    </row>
    <row r="837" ht="15.75" customHeight="1">
      <c r="A837" s="84"/>
      <c r="B837" s="84"/>
      <c r="C837" s="84"/>
      <c r="D837" s="84"/>
      <c r="E837" s="84"/>
      <c r="F837" s="84"/>
      <c r="G837" s="84"/>
      <c r="H837" s="84"/>
      <c r="I837" s="84"/>
      <c r="J837" s="84"/>
      <c r="K837" s="84"/>
      <c r="L837" s="84"/>
    </row>
    <row r="838" ht="15.75" customHeight="1">
      <c r="A838" s="84"/>
      <c r="B838" s="84"/>
      <c r="C838" s="84"/>
      <c r="D838" s="84"/>
      <c r="E838" s="84"/>
      <c r="F838" s="84"/>
      <c r="G838" s="84"/>
      <c r="H838" s="84"/>
      <c r="I838" s="84"/>
      <c r="J838" s="84"/>
      <c r="K838" s="84"/>
      <c r="L838" s="84"/>
    </row>
    <row r="839" ht="15.75" customHeight="1">
      <c r="A839" s="84"/>
      <c r="B839" s="84"/>
      <c r="C839" s="84"/>
      <c r="D839" s="84"/>
      <c r="E839" s="84"/>
      <c r="F839" s="84"/>
      <c r="G839" s="84"/>
      <c r="H839" s="84"/>
      <c r="I839" s="84"/>
      <c r="J839" s="84"/>
      <c r="K839" s="84"/>
      <c r="L839" s="84"/>
    </row>
    <row r="840" ht="15.75" customHeight="1">
      <c r="A840" s="84"/>
      <c r="B840" s="84"/>
      <c r="C840" s="84"/>
      <c r="D840" s="84"/>
      <c r="E840" s="84"/>
      <c r="F840" s="84"/>
      <c r="G840" s="84"/>
      <c r="H840" s="84"/>
      <c r="I840" s="84"/>
      <c r="J840" s="84"/>
      <c r="K840" s="84"/>
      <c r="L840" s="84"/>
    </row>
    <row r="841" ht="15.75" customHeight="1">
      <c r="A841" s="84"/>
      <c r="B841" s="84"/>
      <c r="C841" s="84"/>
      <c r="D841" s="84"/>
      <c r="E841" s="84"/>
      <c r="F841" s="84"/>
      <c r="G841" s="84"/>
      <c r="H841" s="84"/>
      <c r="I841" s="84"/>
      <c r="J841" s="84"/>
      <c r="K841" s="84"/>
      <c r="L841" s="84"/>
    </row>
    <row r="842" ht="15.75" customHeight="1">
      <c r="A842" s="84"/>
      <c r="B842" s="84"/>
      <c r="C842" s="84"/>
      <c r="D842" s="84"/>
      <c r="E842" s="84"/>
      <c r="F842" s="84"/>
      <c r="G842" s="84"/>
      <c r="H842" s="84"/>
      <c r="I842" s="84"/>
      <c r="J842" s="84"/>
      <c r="K842" s="84"/>
      <c r="L842" s="84"/>
    </row>
    <row r="843" ht="15.75" customHeight="1">
      <c r="A843" s="84"/>
      <c r="B843" s="84"/>
      <c r="C843" s="84"/>
      <c r="D843" s="84"/>
      <c r="E843" s="84"/>
      <c r="F843" s="84"/>
      <c r="G843" s="84"/>
      <c r="H843" s="84"/>
      <c r="I843" s="84"/>
      <c r="J843" s="84"/>
      <c r="K843" s="84"/>
      <c r="L843" s="84"/>
    </row>
    <row r="844" ht="15.75" customHeight="1">
      <c r="A844" s="84"/>
      <c r="B844" s="84"/>
      <c r="C844" s="84"/>
      <c r="D844" s="84"/>
      <c r="E844" s="84"/>
      <c r="F844" s="84"/>
      <c r="G844" s="84"/>
      <c r="H844" s="84"/>
      <c r="I844" s="84"/>
      <c r="J844" s="84"/>
      <c r="K844" s="84"/>
      <c r="L844" s="84"/>
    </row>
    <row r="845" ht="15.75" customHeight="1">
      <c r="A845" s="84"/>
      <c r="B845" s="84"/>
      <c r="C845" s="84"/>
      <c r="D845" s="84"/>
      <c r="E845" s="84"/>
      <c r="F845" s="84"/>
      <c r="G845" s="84"/>
      <c r="H845" s="84"/>
      <c r="I845" s="84"/>
      <c r="J845" s="84"/>
      <c r="K845" s="84"/>
      <c r="L845" s="84"/>
    </row>
    <row r="846" ht="15.75" customHeight="1">
      <c r="A846" s="84"/>
      <c r="B846" s="84"/>
      <c r="C846" s="84"/>
      <c r="D846" s="84"/>
      <c r="E846" s="84"/>
      <c r="F846" s="84"/>
      <c r="G846" s="84"/>
      <c r="H846" s="84"/>
      <c r="I846" s="84"/>
      <c r="J846" s="84"/>
      <c r="K846" s="84"/>
      <c r="L846" s="84"/>
    </row>
    <row r="847" ht="15.75" customHeight="1">
      <c r="A847" s="84"/>
      <c r="B847" s="84"/>
      <c r="C847" s="84"/>
      <c r="D847" s="84"/>
      <c r="E847" s="84"/>
      <c r="F847" s="84"/>
      <c r="G847" s="84"/>
      <c r="H847" s="84"/>
      <c r="I847" s="84"/>
      <c r="J847" s="84"/>
      <c r="K847" s="84"/>
      <c r="L847" s="84"/>
    </row>
    <row r="848" ht="15.75" customHeight="1">
      <c r="A848" s="84"/>
      <c r="B848" s="84"/>
      <c r="C848" s="84"/>
      <c r="D848" s="84"/>
      <c r="E848" s="84"/>
      <c r="F848" s="84"/>
      <c r="G848" s="84"/>
      <c r="H848" s="84"/>
      <c r="I848" s="84"/>
      <c r="J848" s="84"/>
      <c r="K848" s="84"/>
      <c r="L848" s="84"/>
    </row>
    <row r="849" ht="15.75" customHeight="1">
      <c r="A849" s="84"/>
      <c r="B849" s="84"/>
      <c r="C849" s="84"/>
      <c r="D849" s="84"/>
      <c r="E849" s="84"/>
      <c r="F849" s="84"/>
      <c r="G849" s="84"/>
      <c r="H849" s="84"/>
      <c r="I849" s="84"/>
      <c r="J849" s="84"/>
      <c r="K849" s="84"/>
      <c r="L849" s="84"/>
    </row>
    <row r="850" ht="15.75" customHeight="1">
      <c r="A850" s="84"/>
      <c r="B850" s="84"/>
      <c r="C850" s="84"/>
      <c r="D850" s="84"/>
      <c r="E850" s="84"/>
      <c r="F850" s="84"/>
      <c r="G850" s="84"/>
      <c r="H850" s="84"/>
      <c r="I850" s="84"/>
      <c r="J850" s="84"/>
      <c r="K850" s="84"/>
      <c r="L850" s="84"/>
    </row>
    <row r="851" ht="15.75" customHeight="1">
      <c r="A851" s="84"/>
      <c r="B851" s="84"/>
      <c r="C851" s="84"/>
      <c r="D851" s="84"/>
      <c r="E851" s="84"/>
      <c r="F851" s="84"/>
      <c r="G851" s="84"/>
      <c r="H851" s="84"/>
      <c r="I851" s="84"/>
      <c r="J851" s="84"/>
      <c r="K851" s="84"/>
      <c r="L851" s="84"/>
    </row>
    <row r="852" ht="15.75" customHeight="1">
      <c r="A852" s="84"/>
      <c r="B852" s="84"/>
      <c r="C852" s="84"/>
      <c r="D852" s="84"/>
      <c r="E852" s="84"/>
      <c r="F852" s="84"/>
      <c r="G852" s="84"/>
      <c r="H852" s="84"/>
      <c r="I852" s="84"/>
      <c r="J852" s="84"/>
      <c r="K852" s="84"/>
      <c r="L852" s="84"/>
    </row>
    <row r="853" ht="15.75" customHeight="1">
      <c r="A853" s="84"/>
      <c r="B853" s="84"/>
      <c r="C853" s="84"/>
      <c r="D853" s="84"/>
      <c r="E853" s="84"/>
      <c r="F853" s="84"/>
      <c r="G853" s="84"/>
      <c r="H853" s="84"/>
      <c r="I853" s="84"/>
      <c r="J853" s="84"/>
      <c r="K853" s="84"/>
      <c r="L853" s="84"/>
    </row>
    <row r="854" ht="15.75" customHeight="1">
      <c r="A854" s="84"/>
      <c r="B854" s="84"/>
      <c r="C854" s="84"/>
      <c r="D854" s="84"/>
      <c r="E854" s="84"/>
      <c r="F854" s="84"/>
      <c r="G854" s="84"/>
      <c r="H854" s="84"/>
      <c r="I854" s="84"/>
      <c r="J854" s="84"/>
      <c r="K854" s="84"/>
      <c r="L854" s="84"/>
    </row>
    <row r="855" ht="15.75" customHeight="1">
      <c r="A855" s="84"/>
      <c r="B855" s="84"/>
      <c r="C855" s="84"/>
      <c r="D855" s="84"/>
      <c r="E855" s="84"/>
      <c r="F855" s="84"/>
      <c r="G855" s="84"/>
      <c r="H855" s="84"/>
      <c r="I855" s="84"/>
      <c r="J855" s="84"/>
      <c r="K855" s="84"/>
      <c r="L855" s="84"/>
    </row>
    <row r="856" ht="15.75" customHeight="1">
      <c r="A856" s="84"/>
      <c r="B856" s="84"/>
      <c r="C856" s="84"/>
      <c r="D856" s="84"/>
      <c r="E856" s="84"/>
      <c r="F856" s="84"/>
      <c r="G856" s="84"/>
      <c r="H856" s="84"/>
      <c r="I856" s="84"/>
      <c r="J856" s="84"/>
      <c r="K856" s="84"/>
      <c r="L856" s="84"/>
    </row>
    <row r="857" ht="15.75" customHeight="1">
      <c r="A857" s="84"/>
      <c r="B857" s="84"/>
      <c r="C857" s="84"/>
      <c r="D857" s="84"/>
      <c r="E857" s="84"/>
      <c r="F857" s="84"/>
      <c r="G857" s="84"/>
      <c r="H857" s="84"/>
      <c r="I857" s="84"/>
      <c r="J857" s="84"/>
      <c r="K857" s="84"/>
      <c r="L857" s="84"/>
    </row>
    <row r="858" ht="15.75" customHeight="1">
      <c r="A858" s="84"/>
      <c r="B858" s="84"/>
      <c r="C858" s="84"/>
      <c r="D858" s="84"/>
      <c r="E858" s="84"/>
      <c r="F858" s="84"/>
      <c r="G858" s="84"/>
      <c r="H858" s="84"/>
      <c r="I858" s="84"/>
      <c r="J858" s="84"/>
      <c r="K858" s="84"/>
      <c r="L858" s="84"/>
    </row>
    <row r="859" ht="15.75" customHeight="1">
      <c r="A859" s="84"/>
      <c r="B859" s="84"/>
      <c r="C859" s="84"/>
      <c r="D859" s="84"/>
      <c r="E859" s="84"/>
      <c r="F859" s="84"/>
      <c r="G859" s="84"/>
      <c r="H859" s="84"/>
      <c r="I859" s="84"/>
      <c r="J859" s="84"/>
      <c r="K859" s="84"/>
      <c r="L859" s="84"/>
    </row>
    <row r="860" ht="15.75" customHeight="1">
      <c r="A860" s="84"/>
      <c r="B860" s="84"/>
      <c r="C860" s="84"/>
      <c r="D860" s="84"/>
      <c r="E860" s="84"/>
      <c r="F860" s="84"/>
      <c r="G860" s="84"/>
      <c r="H860" s="84"/>
      <c r="I860" s="84"/>
      <c r="J860" s="84"/>
      <c r="K860" s="84"/>
      <c r="L860" s="84"/>
    </row>
    <row r="861" ht="15.75" customHeight="1">
      <c r="A861" s="84"/>
      <c r="B861" s="84"/>
      <c r="C861" s="84"/>
      <c r="D861" s="84"/>
      <c r="E861" s="84"/>
      <c r="F861" s="84"/>
      <c r="G861" s="84"/>
      <c r="H861" s="84"/>
      <c r="I861" s="84"/>
      <c r="J861" s="84"/>
      <c r="K861" s="84"/>
      <c r="L861" s="84"/>
    </row>
    <row r="862" ht="15.75" customHeight="1">
      <c r="A862" s="84"/>
      <c r="B862" s="84"/>
      <c r="C862" s="84"/>
      <c r="D862" s="84"/>
      <c r="E862" s="84"/>
      <c r="F862" s="84"/>
      <c r="G862" s="84"/>
      <c r="H862" s="84"/>
      <c r="I862" s="84"/>
      <c r="J862" s="84"/>
      <c r="K862" s="84"/>
      <c r="L862" s="84"/>
    </row>
    <row r="863" ht="15.75" customHeight="1">
      <c r="A863" s="84"/>
      <c r="B863" s="84"/>
      <c r="C863" s="84"/>
      <c r="D863" s="84"/>
      <c r="E863" s="84"/>
      <c r="F863" s="84"/>
      <c r="G863" s="84"/>
      <c r="H863" s="84"/>
      <c r="I863" s="84"/>
      <c r="J863" s="84"/>
      <c r="K863" s="84"/>
      <c r="L863" s="84"/>
    </row>
    <row r="864" ht="15.75" customHeight="1">
      <c r="A864" s="84"/>
      <c r="B864" s="84"/>
      <c r="C864" s="84"/>
      <c r="D864" s="84"/>
      <c r="E864" s="84"/>
      <c r="F864" s="84"/>
      <c r="G864" s="84"/>
      <c r="H864" s="84"/>
      <c r="I864" s="84"/>
      <c r="J864" s="84"/>
      <c r="K864" s="84"/>
      <c r="L864" s="84"/>
    </row>
    <row r="865" ht="15.75" customHeight="1">
      <c r="A865" s="84"/>
      <c r="B865" s="84"/>
      <c r="C865" s="84"/>
      <c r="D865" s="84"/>
      <c r="E865" s="84"/>
      <c r="F865" s="84"/>
      <c r="G865" s="84"/>
      <c r="H865" s="84"/>
      <c r="I865" s="84"/>
      <c r="J865" s="84"/>
      <c r="K865" s="84"/>
      <c r="L865" s="84"/>
    </row>
    <row r="866" ht="15.75" customHeight="1">
      <c r="A866" s="84"/>
      <c r="B866" s="84"/>
      <c r="C866" s="84"/>
      <c r="D866" s="84"/>
      <c r="E866" s="84"/>
      <c r="F866" s="84"/>
      <c r="G866" s="84"/>
      <c r="H866" s="84"/>
      <c r="I866" s="84"/>
      <c r="J866" s="84"/>
      <c r="K866" s="84"/>
      <c r="L866" s="84"/>
    </row>
    <row r="867" ht="15.75" customHeight="1">
      <c r="A867" s="84"/>
      <c r="B867" s="84"/>
      <c r="C867" s="84"/>
      <c r="D867" s="84"/>
      <c r="E867" s="84"/>
      <c r="F867" s="84"/>
      <c r="G867" s="84"/>
      <c r="H867" s="84"/>
      <c r="I867" s="84"/>
      <c r="J867" s="84"/>
      <c r="K867" s="84"/>
      <c r="L867" s="84"/>
    </row>
    <row r="868" ht="15.75" customHeight="1">
      <c r="A868" s="84"/>
      <c r="B868" s="84"/>
      <c r="C868" s="84"/>
      <c r="D868" s="84"/>
      <c r="E868" s="84"/>
      <c r="F868" s="84"/>
      <c r="G868" s="84"/>
      <c r="H868" s="84"/>
      <c r="I868" s="84"/>
      <c r="J868" s="84"/>
      <c r="K868" s="84"/>
      <c r="L868" s="84"/>
    </row>
    <row r="869" ht="15.75" customHeight="1">
      <c r="A869" s="84"/>
      <c r="B869" s="84"/>
      <c r="C869" s="84"/>
      <c r="D869" s="84"/>
      <c r="E869" s="84"/>
      <c r="F869" s="84"/>
      <c r="G869" s="84"/>
      <c r="H869" s="84"/>
      <c r="I869" s="84"/>
      <c r="J869" s="84"/>
      <c r="K869" s="84"/>
      <c r="L869" s="84"/>
    </row>
    <row r="870" ht="15.75" customHeight="1">
      <c r="A870" s="84"/>
      <c r="B870" s="84"/>
      <c r="C870" s="84"/>
      <c r="D870" s="84"/>
      <c r="E870" s="84"/>
      <c r="F870" s="84"/>
      <c r="G870" s="84"/>
      <c r="H870" s="84"/>
      <c r="I870" s="84"/>
      <c r="J870" s="84"/>
      <c r="K870" s="84"/>
      <c r="L870" s="84"/>
    </row>
    <row r="871" ht="15.75" customHeight="1">
      <c r="A871" s="84"/>
      <c r="B871" s="84"/>
      <c r="C871" s="84"/>
      <c r="D871" s="84"/>
      <c r="E871" s="84"/>
      <c r="F871" s="84"/>
      <c r="G871" s="84"/>
      <c r="H871" s="84"/>
      <c r="I871" s="84"/>
      <c r="J871" s="84"/>
      <c r="K871" s="84"/>
      <c r="L871" s="84"/>
    </row>
    <row r="872" ht="15.75" customHeight="1">
      <c r="A872" s="84"/>
      <c r="B872" s="84"/>
      <c r="C872" s="84"/>
      <c r="D872" s="84"/>
      <c r="E872" s="84"/>
      <c r="F872" s="84"/>
      <c r="G872" s="84"/>
      <c r="H872" s="84"/>
      <c r="I872" s="84"/>
      <c r="J872" s="84"/>
      <c r="K872" s="84"/>
      <c r="L872" s="84"/>
    </row>
    <row r="873" ht="15.75" customHeight="1">
      <c r="A873" s="84"/>
      <c r="B873" s="84"/>
      <c r="C873" s="84"/>
      <c r="D873" s="84"/>
      <c r="E873" s="84"/>
      <c r="F873" s="84"/>
      <c r="G873" s="84"/>
      <c r="H873" s="84"/>
      <c r="I873" s="84"/>
      <c r="J873" s="84"/>
      <c r="K873" s="84"/>
      <c r="L873" s="84"/>
    </row>
    <row r="874" ht="15.75" customHeight="1">
      <c r="A874" s="84"/>
      <c r="B874" s="84"/>
      <c r="C874" s="84"/>
      <c r="D874" s="84"/>
      <c r="E874" s="84"/>
      <c r="F874" s="84"/>
      <c r="G874" s="84"/>
      <c r="H874" s="84"/>
      <c r="I874" s="84"/>
      <c r="J874" s="84"/>
      <c r="K874" s="84"/>
      <c r="L874" s="84"/>
    </row>
    <row r="875" ht="15.75" customHeight="1">
      <c r="A875" s="84"/>
      <c r="B875" s="84"/>
      <c r="C875" s="84"/>
      <c r="D875" s="84"/>
      <c r="E875" s="84"/>
      <c r="F875" s="84"/>
      <c r="G875" s="84"/>
      <c r="H875" s="84"/>
      <c r="I875" s="84"/>
      <c r="J875" s="84"/>
      <c r="K875" s="84"/>
      <c r="L875" s="84"/>
    </row>
    <row r="876" ht="15.75" customHeight="1">
      <c r="A876" s="84"/>
      <c r="B876" s="84"/>
      <c r="C876" s="84"/>
      <c r="D876" s="84"/>
      <c r="E876" s="84"/>
      <c r="F876" s="84"/>
      <c r="G876" s="84"/>
      <c r="H876" s="84"/>
      <c r="I876" s="84"/>
      <c r="J876" s="84"/>
      <c r="K876" s="84"/>
      <c r="L876" s="84"/>
    </row>
    <row r="877" ht="15.75" customHeight="1">
      <c r="A877" s="84"/>
      <c r="B877" s="84"/>
      <c r="C877" s="84"/>
      <c r="D877" s="84"/>
      <c r="E877" s="84"/>
      <c r="F877" s="84"/>
      <c r="G877" s="84"/>
      <c r="H877" s="84"/>
      <c r="I877" s="84"/>
      <c r="J877" s="84"/>
      <c r="K877" s="84"/>
      <c r="L877" s="84"/>
    </row>
    <row r="878" ht="15.75" customHeight="1">
      <c r="A878" s="84"/>
      <c r="B878" s="84"/>
      <c r="C878" s="84"/>
      <c r="D878" s="84"/>
      <c r="E878" s="84"/>
      <c r="F878" s="84"/>
      <c r="G878" s="84"/>
      <c r="H878" s="84"/>
      <c r="I878" s="84"/>
      <c r="J878" s="84"/>
      <c r="K878" s="84"/>
      <c r="L878" s="84"/>
    </row>
    <row r="879" ht="15.75" customHeight="1">
      <c r="A879" s="84"/>
      <c r="B879" s="84"/>
      <c r="C879" s="84"/>
      <c r="D879" s="84"/>
      <c r="E879" s="84"/>
      <c r="F879" s="84"/>
      <c r="G879" s="84"/>
      <c r="H879" s="84"/>
      <c r="I879" s="84"/>
      <c r="J879" s="84"/>
      <c r="K879" s="84"/>
      <c r="L879" s="84"/>
    </row>
    <row r="880" ht="15.75" customHeight="1">
      <c r="A880" s="84"/>
      <c r="B880" s="84"/>
      <c r="C880" s="84"/>
      <c r="D880" s="84"/>
      <c r="E880" s="84"/>
      <c r="F880" s="84"/>
      <c r="G880" s="84"/>
      <c r="H880" s="84"/>
      <c r="I880" s="84"/>
      <c r="J880" s="84"/>
      <c r="K880" s="84"/>
      <c r="L880" s="84"/>
    </row>
    <row r="881" ht="15.75" customHeight="1">
      <c r="A881" s="84"/>
      <c r="B881" s="84"/>
      <c r="C881" s="84"/>
      <c r="D881" s="84"/>
      <c r="E881" s="84"/>
      <c r="F881" s="84"/>
      <c r="G881" s="84"/>
      <c r="H881" s="84"/>
      <c r="I881" s="84"/>
      <c r="J881" s="84"/>
      <c r="K881" s="84"/>
      <c r="L881" s="84"/>
    </row>
    <row r="882" ht="15.75" customHeight="1">
      <c r="A882" s="84"/>
      <c r="B882" s="84"/>
      <c r="C882" s="84"/>
      <c r="D882" s="84"/>
      <c r="E882" s="84"/>
      <c r="F882" s="84"/>
      <c r="G882" s="84"/>
      <c r="H882" s="84"/>
      <c r="I882" s="84"/>
      <c r="J882" s="84"/>
      <c r="K882" s="84"/>
      <c r="L882" s="84"/>
    </row>
    <row r="883" ht="15.75" customHeight="1">
      <c r="A883" s="84"/>
      <c r="B883" s="84"/>
      <c r="C883" s="84"/>
      <c r="D883" s="84"/>
      <c r="E883" s="84"/>
      <c r="F883" s="84"/>
      <c r="G883" s="84"/>
      <c r="H883" s="84"/>
      <c r="I883" s="84"/>
      <c r="J883" s="84"/>
      <c r="K883" s="84"/>
      <c r="L883" s="84"/>
    </row>
    <row r="884" ht="15.75" customHeight="1">
      <c r="A884" s="84"/>
      <c r="B884" s="84"/>
      <c r="C884" s="84"/>
      <c r="D884" s="84"/>
      <c r="E884" s="84"/>
      <c r="F884" s="84"/>
      <c r="G884" s="84"/>
      <c r="H884" s="84"/>
      <c r="I884" s="84"/>
      <c r="J884" s="84"/>
      <c r="K884" s="84"/>
      <c r="L884" s="84"/>
    </row>
    <row r="885" ht="15.75" customHeight="1">
      <c r="A885" s="84"/>
      <c r="B885" s="84"/>
      <c r="C885" s="84"/>
      <c r="D885" s="84"/>
      <c r="E885" s="84"/>
      <c r="F885" s="84"/>
      <c r="G885" s="84"/>
      <c r="H885" s="84"/>
      <c r="I885" s="84"/>
      <c r="J885" s="84"/>
      <c r="K885" s="84"/>
      <c r="L885" s="84"/>
    </row>
    <row r="886" ht="15.75" customHeight="1">
      <c r="A886" s="84"/>
      <c r="B886" s="84"/>
      <c r="C886" s="84"/>
      <c r="D886" s="84"/>
      <c r="E886" s="84"/>
      <c r="F886" s="84"/>
      <c r="G886" s="84"/>
      <c r="H886" s="84"/>
      <c r="I886" s="84"/>
      <c r="J886" s="84"/>
      <c r="K886" s="84"/>
      <c r="L886" s="84"/>
    </row>
    <row r="887" ht="15.75" customHeight="1">
      <c r="A887" s="84"/>
      <c r="B887" s="84"/>
      <c r="C887" s="84"/>
      <c r="D887" s="84"/>
      <c r="E887" s="84"/>
      <c r="F887" s="84"/>
      <c r="G887" s="84"/>
      <c r="H887" s="84"/>
      <c r="I887" s="84"/>
      <c r="J887" s="84"/>
      <c r="K887" s="84"/>
      <c r="L887" s="84"/>
    </row>
    <row r="888" ht="15.75" customHeight="1">
      <c r="A888" s="84"/>
      <c r="B888" s="84"/>
      <c r="C888" s="84"/>
      <c r="D888" s="84"/>
      <c r="E888" s="84"/>
      <c r="F888" s="84"/>
      <c r="G888" s="84"/>
      <c r="H888" s="84"/>
      <c r="I888" s="84"/>
      <c r="J888" s="84"/>
      <c r="K888" s="84"/>
      <c r="L888" s="84"/>
    </row>
    <row r="889" ht="15.75" customHeight="1">
      <c r="A889" s="84"/>
      <c r="B889" s="84"/>
      <c r="C889" s="84"/>
      <c r="D889" s="84"/>
      <c r="E889" s="84"/>
      <c r="F889" s="84"/>
      <c r="G889" s="84"/>
      <c r="H889" s="84"/>
      <c r="I889" s="84"/>
      <c r="J889" s="84"/>
      <c r="K889" s="84"/>
      <c r="L889" s="84"/>
    </row>
    <row r="890" ht="15.75" customHeight="1">
      <c r="A890" s="84"/>
      <c r="B890" s="84"/>
      <c r="C890" s="84"/>
      <c r="D890" s="84"/>
      <c r="E890" s="84"/>
      <c r="F890" s="84"/>
      <c r="G890" s="84"/>
      <c r="H890" s="84"/>
      <c r="I890" s="84"/>
      <c r="J890" s="84"/>
      <c r="K890" s="84"/>
      <c r="L890" s="84"/>
    </row>
    <row r="891" ht="15.75" customHeight="1">
      <c r="A891" s="84"/>
      <c r="B891" s="84"/>
      <c r="C891" s="84"/>
      <c r="D891" s="84"/>
      <c r="E891" s="84"/>
      <c r="F891" s="84"/>
      <c r="G891" s="84"/>
      <c r="H891" s="84"/>
      <c r="I891" s="84"/>
      <c r="J891" s="84"/>
      <c r="K891" s="84"/>
      <c r="L891" s="84"/>
    </row>
    <row r="892" ht="15.75" customHeight="1">
      <c r="A892" s="84"/>
      <c r="B892" s="84"/>
      <c r="C892" s="84"/>
      <c r="D892" s="84"/>
      <c r="E892" s="84"/>
      <c r="F892" s="84"/>
      <c r="G892" s="84"/>
      <c r="H892" s="84"/>
      <c r="I892" s="84"/>
      <c r="J892" s="84"/>
      <c r="K892" s="84"/>
      <c r="L892" s="84"/>
    </row>
    <row r="893" ht="15.75" customHeight="1">
      <c r="A893" s="84"/>
      <c r="B893" s="84"/>
      <c r="C893" s="84"/>
      <c r="D893" s="84"/>
      <c r="E893" s="84"/>
      <c r="F893" s="84"/>
      <c r="G893" s="84"/>
      <c r="H893" s="84"/>
      <c r="I893" s="84"/>
      <c r="J893" s="84"/>
      <c r="K893" s="84"/>
      <c r="L893" s="84"/>
    </row>
    <row r="894" ht="15.75" customHeight="1">
      <c r="A894" s="84"/>
      <c r="B894" s="84"/>
      <c r="C894" s="84"/>
      <c r="D894" s="84"/>
      <c r="E894" s="84"/>
      <c r="F894" s="84"/>
      <c r="G894" s="84"/>
      <c r="H894" s="84"/>
      <c r="I894" s="84"/>
      <c r="J894" s="84"/>
      <c r="K894" s="84"/>
      <c r="L894" s="84"/>
    </row>
    <row r="895" ht="15.75" customHeight="1">
      <c r="A895" s="84"/>
      <c r="B895" s="84"/>
      <c r="C895" s="84"/>
      <c r="D895" s="84"/>
      <c r="E895" s="84"/>
      <c r="F895" s="84"/>
      <c r="G895" s="84"/>
      <c r="H895" s="84"/>
      <c r="I895" s="84"/>
      <c r="J895" s="84"/>
      <c r="K895" s="84"/>
      <c r="L895" s="84"/>
    </row>
    <row r="896" ht="15.75" customHeight="1">
      <c r="A896" s="84"/>
      <c r="B896" s="84"/>
      <c r="C896" s="84"/>
      <c r="D896" s="84"/>
      <c r="E896" s="84"/>
      <c r="F896" s="84"/>
      <c r="G896" s="84"/>
      <c r="H896" s="84"/>
      <c r="I896" s="84"/>
      <c r="J896" s="84"/>
      <c r="K896" s="84"/>
      <c r="L896" s="84"/>
    </row>
    <row r="897" ht="15.75" customHeight="1">
      <c r="A897" s="84"/>
      <c r="B897" s="84"/>
      <c r="C897" s="84"/>
      <c r="D897" s="84"/>
      <c r="E897" s="84"/>
      <c r="F897" s="84"/>
      <c r="G897" s="84"/>
      <c r="H897" s="84"/>
      <c r="I897" s="84"/>
      <c r="J897" s="84"/>
      <c r="K897" s="84"/>
      <c r="L897" s="84"/>
    </row>
    <row r="898" ht="15.75" customHeight="1">
      <c r="A898" s="84"/>
      <c r="B898" s="84"/>
      <c r="C898" s="84"/>
      <c r="D898" s="84"/>
      <c r="E898" s="84"/>
      <c r="F898" s="84"/>
      <c r="G898" s="84"/>
      <c r="H898" s="84"/>
      <c r="I898" s="84"/>
      <c r="J898" s="84"/>
      <c r="K898" s="84"/>
      <c r="L898" s="84"/>
    </row>
    <row r="899" ht="15.75" customHeight="1">
      <c r="A899" s="84"/>
      <c r="B899" s="84"/>
      <c r="C899" s="84"/>
      <c r="D899" s="84"/>
      <c r="E899" s="84"/>
      <c r="F899" s="84"/>
      <c r="G899" s="84"/>
      <c r="H899" s="84"/>
      <c r="I899" s="84"/>
      <c r="J899" s="84"/>
      <c r="K899" s="84"/>
      <c r="L899" s="84"/>
    </row>
    <row r="900" ht="15.75" customHeight="1">
      <c r="A900" s="84"/>
      <c r="B900" s="84"/>
      <c r="C900" s="84"/>
      <c r="D900" s="84"/>
      <c r="E900" s="84"/>
      <c r="F900" s="84"/>
      <c r="G900" s="84"/>
      <c r="H900" s="84"/>
      <c r="I900" s="84"/>
      <c r="J900" s="84"/>
      <c r="K900" s="84"/>
      <c r="L900" s="84"/>
    </row>
    <row r="901" ht="15.75" customHeight="1">
      <c r="A901" s="84"/>
      <c r="B901" s="84"/>
      <c r="C901" s="84"/>
      <c r="D901" s="84"/>
      <c r="E901" s="84"/>
      <c r="F901" s="84"/>
      <c r="G901" s="84"/>
      <c r="H901" s="84"/>
      <c r="I901" s="84"/>
      <c r="J901" s="84"/>
      <c r="K901" s="84"/>
      <c r="L901" s="84"/>
    </row>
    <row r="902" ht="15.75" customHeight="1">
      <c r="A902" s="84"/>
      <c r="B902" s="84"/>
      <c r="C902" s="84"/>
      <c r="D902" s="84"/>
      <c r="E902" s="84"/>
      <c r="F902" s="84"/>
      <c r="G902" s="84"/>
      <c r="H902" s="84"/>
      <c r="I902" s="84"/>
      <c r="J902" s="84"/>
      <c r="K902" s="84"/>
      <c r="L902" s="84"/>
    </row>
    <row r="903" ht="15.75" customHeight="1">
      <c r="A903" s="84"/>
      <c r="B903" s="84"/>
      <c r="C903" s="84"/>
      <c r="D903" s="84"/>
      <c r="E903" s="84"/>
      <c r="F903" s="84"/>
      <c r="G903" s="84"/>
      <c r="H903" s="84"/>
      <c r="I903" s="84"/>
      <c r="J903" s="84"/>
      <c r="K903" s="84"/>
      <c r="L903" s="84"/>
    </row>
    <row r="904" ht="15.75" customHeight="1">
      <c r="A904" s="84"/>
      <c r="B904" s="84"/>
      <c r="C904" s="84"/>
      <c r="D904" s="84"/>
      <c r="E904" s="84"/>
      <c r="F904" s="84"/>
      <c r="G904" s="84"/>
      <c r="H904" s="84"/>
      <c r="I904" s="84"/>
      <c r="J904" s="84"/>
      <c r="K904" s="84"/>
      <c r="L904" s="84"/>
    </row>
    <row r="905" ht="15.75" customHeight="1">
      <c r="A905" s="84"/>
      <c r="B905" s="84"/>
      <c r="C905" s="84"/>
      <c r="D905" s="84"/>
      <c r="E905" s="84"/>
      <c r="F905" s="84"/>
      <c r="G905" s="84"/>
      <c r="H905" s="84"/>
      <c r="I905" s="84"/>
      <c r="J905" s="84"/>
      <c r="K905" s="84"/>
      <c r="L905" s="84"/>
    </row>
    <row r="906" ht="15.75" customHeight="1">
      <c r="A906" s="84"/>
      <c r="B906" s="84"/>
      <c r="C906" s="84"/>
      <c r="D906" s="84"/>
      <c r="E906" s="84"/>
      <c r="F906" s="84"/>
      <c r="G906" s="84"/>
      <c r="H906" s="84"/>
      <c r="I906" s="84"/>
      <c r="J906" s="84"/>
      <c r="K906" s="84"/>
      <c r="L906" s="84"/>
    </row>
    <row r="907" ht="15.75" customHeight="1">
      <c r="A907" s="84"/>
      <c r="B907" s="84"/>
      <c r="C907" s="84"/>
      <c r="D907" s="84"/>
      <c r="E907" s="84"/>
      <c r="F907" s="84"/>
      <c r="G907" s="84"/>
      <c r="H907" s="84"/>
      <c r="I907" s="84"/>
      <c r="J907" s="84"/>
      <c r="K907" s="84"/>
      <c r="L907" s="84"/>
    </row>
    <row r="908" ht="15.75" customHeight="1">
      <c r="A908" s="84"/>
      <c r="B908" s="84"/>
      <c r="C908" s="84"/>
      <c r="D908" s="84"/>
      <c r="E908" s="84"/>
      <c r="F908" s="84"/>
      <c r="G908" s="84"/>
      <c r="H908" s="84"/>
      <c r="I908" s="84"/>
      <c r="J908" s="84"/>
      <c r="K908" s="84"/>
      <c r="L908" s="84"/>
    </row>
    <row r="909" ht="15.75" customHeight="1">
      <c r="A909" s="84"/>
      <c r="B909" s="84"/>
      <c r="C909" s="84"/>
      <c r="D909" s="84"/>
      <c r="E909" s="84"/>
      <c r="F909" s="84"/>
      <c r="G909" s="84"/>
      <c r="H909" s="84"/>
      <c r="I909" s="84"/>
      <c r="J909" s="84"/>
      <c r="K909" s="84"/>
      <c r="L909" s="84"/>
    </row>
    <row r="910" ht="15.75" customHeight="1">
      <c r="A910" s="84"/>
      <c r="B910" s="84"/>
      <c r="C910" s="84"/>
      <c r="D910" s="84"/>
      <c r="E910" s="84"/>
      <c r="F910" s="84"/>
      <c r="G910" s="84"/>
      <c r="H910" s="84"/>
      <c r="I910" s="84"/>
      <c r="J910" s="84"/>
      <c r="K910" s="84"/>
      <c r="L910" s="84"/>
    </row>
    <row r="911" ht="15.75" customHeight="1">
      <c r="A911" s="84"/>
      <c r="B911" s="84"/>
      <c r="C911" s="84"/>
      <c r="D911" s="84"/>
      <c r="E911" s="84"/>
      <c r="F911" s="84"/>
      <c r="G911" s="84"/>
      <c r="H911" s="84"/>
      <c r="I911" s="84"/>
      <c r="J911" s="84"/>
      <c r="K911" s="84"/>
      <c r="L911" s="84"/>
    </row>
    <row r="912" ht="15.75" customHeight="1">
      <c r="A912" s="84"/>
      <c r="B912" s="84"/>
      <c r="C912" s="84"/>
      <c r="D912" s="84"/>
      <c r="E912" s="84"/>
      <c r="F912" s="84"/>
      <c r="G912" s="84"/>
      <c r="H912" s="84"/>
      <c r="I912" s="84"/>
      <c r="J912" s="84"/>
      <c r="K912" s="84"/>
      <c r="L912" s="84"/>
    </row>
    <row r="913" ht="15.75" customHeight="1">
      <c r="A913" s="84"/>
      <c r="B913" s="84"/>
      <c r="C913" s="84"/>
      <c r="D913" s="84"/>
      <c r="E913" s="84"/>
      <c r="F913" s="84"/>
      <c r="G913" s="84"/>
      <c r="H913" s="84"/>
      <c r="I913" s="84"/>
      <c r="J913" s="84"/>
      <c r="K913" s="84"/>
      <c r="L913" s="84"/>
    </row>
    <row r="914" ht="15.75" customHeight="1">
      <c r="A914" s="84"/>
      <c r="B914" s="84"/>
      <c r="C914" s="84"/>
      <c r="D914" s="84"/>
      <c r="E914" s="84"/>
      <c r="F914" s="84"/>
      <c r="G914" s="84"/>
      <c r="H914" s="84"/>
      <c r="I914" s="84"/>
      <c r="J914" s="84"/>
      <c r="K914" s="84"/>
      <c r="L914" s="84"/>
    </row>
    <row r="915" ht="15.75" customHeight="1">
      <c r="A915" s="84"/>
      <c r="B915" s="84"/>
      <c r="C915" s="84"/>
      <c r="D915" s="84"/>
      <c r="E915" s="84"/>
      <c r="F915" s="84"/>
      <c r="G915" s="84"/>
      <c r="H915" s="84"/>
      <c r="I915" s="84"/>
      <c r="J915" s="84"/>
      <c r="K915" s="84"/>
      <c r="L915" s="84"/>
    </row>
    <row r="916" ht="15.75" customHeight="1">
      <c r="A916" s="84"/>
      <c r="B916" s="84"/>
      <c r="C916" s="84"/>
      <c r="D916" s="84"/>
      <c r="E916" s="84"/>
      <c r="F916" s="84"/>
      <c r="G916" s="84"/>
      <c r="H916" s="84"/>
      <c r="I916" s="84"/>
      <c r="J916" s="84"/>
      <c r="K916" s="84"/>
      <c r="L916" s="84"/>
    </row>
    <row r="917" ht="15.75" customHeight="1">
      <c r="A917" s="84"/>
      <c r="B917" s="84"/>
      <c r="C917" s="84"/>
      <c r="D917" s="84"/>
      <c r="E917" s="84"/>
      <c r="F917" s="84"/>
      <c r="G917" s="84"/>
      <c r="H917" s="84"/>
      <c r="I917" s="84"/>
      <c r="J917" s="84"/>
      <c r="K917" s="84"/>
      <c r="L917" s="84"/>
    </row>
    <row r="918" ht="15.75" customHeight="1">
      <c r="A918" s="84"/>
      <c r="B918" s="84"/>
      <c r="C918" s="84"/>
      <c r="D918" s="84"/>
      <c r="E918" s="84"/>
      <c r="F918" s="84"/>
      <c r="G918" s="84"/>
      <c r="H918" s="84"/>
      <c r="I918" s="84"/>
      <c r="J918" s="84"/>
      <c r="K918" s="84"/>
      <c r="L918" s="84"/>
    </row>
    <row r="919" ht="15.75" customHeight="1">
      <c r="A919" s="84"/>
      <c r="B919" s="84"/>
      <c r="C919" s="84"/>
      <c r="D919" s="84"/>
      <c r="E919" s="84"/>
      <c r="F919" s="84"/>
      <c r="G919" s="84"/>
      <c r="H919" s="84"/>
      <c r="I919" s="84"/>
      <c r="J919" s="84"/>
      <c r="K919" s="84"/>
      <c r="L919" s="84"/>
    </row>
    <row r="920" ht="15.75" customHeight="1">
      <c r="A920" s="84"/>
      <c r="B920" s="84"/>
      <c r="C920" s="84"/>
      <c r="D920" s="84"/>
      <c r="E920" s="84"/>
      <c r="F920" s="84"/>
      <c r="G920" s="84"/>
      <c r="H920" s="84"/>
      <c r="I920" s="84"/>
      <c r="J920" s="84"/>
      <c r="K920" s="84"/>
      <c r="L920" s="84"/>
    </row>
    <row r="921" ht="15.75" customHeight="1">
      <c r="A921" s="84"/>
      <c r="B921" s="84"/>
      <c r="C921" s="84"/>
      <c r="D921" s="84"/>
      <c r="E921" s="84"/>
      <c r="F921" s="84"/>
      <c r="G921" s="84"/>
      <c r="H921" s="84"/>
      <c r="I921" s="84"/>
      <c r="J921" s="84"/>
      <c r="K921" s="84"/>
      <c r="L921" s="84"/>
    </row>
    <row r="922" ht="15.75" customHeight="1">
      <c r="A922" s="84"/>
      <c r="B922" s="84"/>
      <c r="C922" s="84"/>
      <c r="D922" s="84"/>
      <c r="E922" s="84"/>
      <c r="F922" s="84"/>
      <c r="G922" s="84"/>
      <c r="H922" s="84"/>
      <c r="I922" s="84"/>
      <c r="J922" s="84"/>
      <c r="K922" s="84"/>
      <c r="L922" s="84"/>
    </row>
    <row r="923" ht="15.75" customHeight="1">
      <c r="A923" s="84"/>
      <c r="B923" s="84"/>
      <c r="C923" s="84"/>
      <c r="D923" s="84"/>
      <c r="E923" s="84"/>
      <c r="F923" s="84"/>
      <c r="G923" s="84"/>
      <c r="H923" s="84"/>
      <c r="I923" s="84"/>
      <c r="J923" s="84"/>
      <c r="K923" s="84"/>
      <c r="L923" s="84"/>
    </row>
    <row r="924" ht="15.75" customHeight="1">
      <c r="A924" s="84"/>
      <c r="B924" s="84"/>
      <c r="C924" s="84"/>
      <c r="D924" s="84"/>
      <c r="E924" s="84"/>
      <c r="F924" s="84"/>
      <c r="G924" s="84"/>
      <c r="H924" s="84"/>
      <c r="I924" s="84"/>
      <c r="J924" s="84"/>
      <c r="K924" s="84"/>
      <c r="L924" s="84"/>
    </row>
    <row r="925" ht="15.75" customHeight="1">
      <c r="A925" s="84"/>
      <c r="B925" s="84"/>
      <c r="C925" s="84"/>
      <c r="D925" s="84"/>
      <c r="E925" s="84"/>
      <c r="F925" s="84"/>
      <c r="G925" s="84"/>
      <c r="H925" s="84"/>
      <c r="I925" s="84"/>
      <c r="J925" s="84"/>
      <c r="K925" s="84"/>
      <c r="L925" s="84"/>
    </row>
    <row r="926" ht="15.75" customHeight="1">
      <c r="A926" s="84"/>
      <c r="B926" s="84"/>
      <c r="C926" s="84"/>
      <c r="D926" s="84"/>
      <c r="E926" s="84"/>
      <c r="F926" s="84"/>
      <c r="G926" s="84"/>
      <c r="H926" s="84"/>
      <c r="I926" s="84"/>
      <c r="J926" s="84"/>
      <c r="K926" s="84"/>
      <c r="L926" s="84"/>
    </row>
    <row r="927" ht="15.75" customHeight="1">
      <c r="A927" s="84"/>
      <c r="B927" s="84"/>
      <c r="C927" s="84"/>
      <c r="D927" s="84"/>
      <c r="E927" s="84"/>
      <c r="F927" s="84"/>
      <c r="G927" s="84"/>
      <c r="H927" s="84"/>
      <c r="I927" s="84"/>
      <c r="J927" s="84"/>
      <c r="K927" s="84"/>
      <c r="L927" s="84"/>
    </row>
    <row r="928" ht="15.75" customHeight="1">
      <c r="A928" s="84"/>
      <c r="B928" s="84"/>
      <c r="C928" s="84"/>
      <c r="D928" s="84"/>
      <c r="E928" s="84"/>
      <c r="F928" s="84"/>
      <c r="G928" s="84"/>
      <c r="H928" s="84"/>
      <c r="I928" s="84"/>
      <c r="J928" s="84"/>
      <c r="K928" s="84"/>
      <c r="L928" s="84"/>
    </row>
    <row r="929" ht="15.75" customHeight="1">
      <c r="A929" s="84"/>
      <c r="B929" s="84"/>
      <c r="C929" s="84"/>
      <c r="D929" s="84"/>
      <c r="E929" s="84"/>
      <c r="F929" s="84"/>
      <c r="G929" s="84"/>
      <c r="H929" s="84"/>
      <c r="I929" s="84"/>
      <c r="J929" s="84"/>
      <c r="K929" s="84"/>
      <c r="L929" s="84"/>
    </row>
    <row r="930" ht="15.75" customHeight="1">
      <c r="A930" s="84"/>
      <c r="B930" s="84"/>
      <c r="C930" s="84"/>
      <c r="D930" s="84"/>
      <c r="E930" s="84"/>
      <c r="F930" s="84"/>
      <c r="G930" s="84"/>
      <c r="H930" s="84"/>
      <c r="I930" s="84"/>
      <c r="J930" s="84"/>
      <c r="K930" s="84"/>
      <c r="L930" s="84"/>
    </row>
    <row r="931" ht="15.75" customHeight="1">
      <c r="A931" s="84"/>
      <c r="B931" s="84"/>
      <c r="C931" s="84"/>
      <c r="D931" s="84"/>
      <c r="E931" s="84"/>
      <c r="F931" s="84"/>
      <c r="G931" s="84"/>
      <c r="H931" s="84"/>
      <c r="I931" s="84"/>
      <c r="J931" s="84"/>
      <c r="K931" s="84"/>
      <c r="L931" s="84"/>
    </row>
    <row r="932" ht="15.75" customHeight="1">
      <c r="A932" s="84"/>
      <c r="B932" s="84"/>
      <c r="C932" s="84"/>
      <c r="D932" s="84"/>
      <c r="E932" s="84"/>
      <c r="F932" s="84"/>
      <c r="G932" s="84"/>
      <c r="H932" s="84"/>
      <c r="I932" s="84"/>
      <c r="J932" s="84"/>
      <c r="K932" s="84"/>
      <c r="L932" s="84"/>
    </row>
    <row r="933" ht="15.75" customHeight="1">
      <c r="A933" s="84"/>
      <c r="B933" s="84"/>
      <c r="C933" s="84"/>
      <c r="D933" s="84"/>
      <c r="E933" s="84"/>
      <c r="F933" s="84"/>
      <c r="G933" s="84"/>
      <c r="H933" s="84"/>
      <c r="I933" s="84"/>
      <c r="J933" s="84"/>
      <c r="K933" s="84"/>
      <c r="L933" s="84"/>
    </row>
    <row r="934" ht="15.75" customHeight="1">
      <c r="A934" s="84"/>
      <c r="B934" s="84"/>
      <c r="C934" s="84"/>
      <c r="D934" s="84"/>
      <c r="E934" s="84"/>
      <c r="F934" s="84"/>
      <c r="G934" s="84"/>
      <c r="H934" s="84"/>
      <c r="I934" s="84"/>
      <c r="J934" s="84"/>
      <c r="K934" s="84"/>
      <c r="L934" s="84"/>
    </row>
    <row r="935" ht="15.75" customHeight="1">
      <c r="A935" s="84"/>
      <c r="B935" s="84"/>
      <c r="C935" s="84"/>
      <c r="D935" s="84"/>
      <c r="E935" s="84"/>
      <c r="F935" s="84"/>
      <c r="G935" s="84"/>
      <c r="H935" s="84"/>
      <c r="I935" s="84"/>
      <c r="J935" s="84"/>
      <c r="K935" s="84"/>
      <c r="L935" s="84"/>
    </row>
    <row r="936" ht="15.75" customHeight="1">
      <c r="A936" s="84"/>
      <c r="B936" s="84"/>
      <c r="C936" s="84"/>
      <c r="D936" s="84"/>
      <c r="E936" s="84"/>
      <c r="F936" s="84"/>
      <c r="G936" s="84"/>
      <c r="H936" s="84"/>
      <c r="I936" s="84"/>
      <c r="J936" s="84"/>
      <c r="K936" s="84"/>
      <c r="L936" s="84"/>
    </row>
    <row r="937" ht="15.75" customHeight="1">
      <c r="A937" s="84"/>
      <c r="B937" s="84"/>
      <c r="C937" s="84"/>
      <c r="D937" s="84"/>
      <c r="E937" s="84"/>
      <c r="F937" s="84"/>
      <c r="G937" s="84"/>
      <c r="H937" s="84"/>
      <c r="I937" s="84"/>
      <c r="J937" s="84"/>
      <c r="K937" s="84"/>
      <c r="L937" s="84"/>
    </row>
    <row r="938" ht="15.75" customHeight="1">
      <c r="A938" s="84"/>
      <c r="B938" s="84"/>
      <c r="C938" s="84"/>
      <c r="D938" s="84"/>
      <c r="E938" s="84"/>
      <c r="F938" s="84"/>
      <c r="G938" s="84"/>
      <c r="H938" s="84"/>
      <c r="I938" s="84"/>
      <c r="J938" s="84"/>
      <c r="K938" s="84"/>
      <c r="L938" s="84"/>
    </row>
    <row r="939" ht="15.75" customHeight="1">
      <c r="A939" s="84"/>
      <c r="B939" s="84"/>
      <c r="C939" s="84"/>
      <c r="D939" s="84"/>
      <c r="E939" s="84"/>
      <c r="F939" s="84"/>
      <c r="G939" s="84"/>
      <c r="H939" s="84"/>
      <c r="I939" s="84"/>
      <c r="J939" s="84"/>
      <c r="K939" s="84"/>
      <c r="L939" s="84"/>
    </row>
    <row r="940" ht="15.75" customHeight="1">
      <c r="A940" s="84"/>
      <c r="B940" s="84"/>
      <c r="C940" s="84"/>
      <c r="D940" s="84"/>
      <c r="E940" s="84"/>
      <c r="F940" s="84"/>
      <c r="G940" s="84"/>
      <c r="H940" s="84"/>
      <c r="I940" s="84"/>
      <c r="J940" s="84"/>
      <c r="K940" s="84"/>
      <c r="L940" s="84"/>
    </row>
    <row r="941" ht="15.75" customHeight="1">
      <c r="A941" s="84"/>
      <c r="B941" s="84"/>
      <c r="C941" s="84"/>
      <c r="D941" s="84"/>
      <c r="E941" s="84"/>
      <c r="F941" s="84"/>
      <c r="G941" s="84"/>
      <c r="H941" s="84"/>
      <c r="I941" s="84"/>
      <c r="J941" s="84"/>
      <c r="K941" s="84"/>
      <c r="L941" s="84"/>
    </row>
    <row r="942" ht="15.75" customHeight="1">
      <c r="A942" s="84"/>
      <c r="B942" s="84"/>
      <c r="C942" s="84"/>
      <c r="D942" s="84"/>
      <c r="E942" s="84"/>
      <c r="F942" s="84"/>
      <c r="G942" s="84"/>
      <c r="H942" s="84"/>
      <c r="I942" s="84"/>
      <c r="J942" s="84"/>
      <c r="K942" s="84"/>
      <c r="L942" s="84"/>
    </row>
    <row r="943" ht="15.75" customHeight="1">
      <c r="A943" s="84"/>
      <c r="B943" s="84"/>
      <c r="C943" s="84"/>
      <c r="D943" s="84"/>
      <c r="E943" s="84"/>
      <c r="F943" s="84"/>
      <c r="G943" s="84"/>
      <c r="H943" s="84"/>
      <c r="I943" s="84"/>
      <c r="J943" s="84"/>
      <c r="K943" s="84"/>
      <c r="L943" s="84"/>
    </row>
    <row r="944" ht="15.75" customHeight="1">
      <c r="A944" s="84"/>
      <c r="B944" s="84"/>
      <c r="C944" s="84"/>
      <c r="D944" s="84"/>
      <c r="E944" s="84"/>
      <c r="F944" s="84"/>
      <c r="G944" s="84"/>
      <c r="H944" s="84"/>
      <c r="I944" s="84"/>
      <c r="J944" s="84"/>
      <c r="K944" s="84"/>
      <c r="L944" s="84"/>
    </row>
    <row r="945" ht="15.75" customHeight="1">
      <c r="A945" s="84"/>
      <c r="B945" s="84"/>
      <c r="C945" s="84"/>
      <c r="D945" s="84"/>
      <c r="E945" s="84"/>
      <c r="F945" s="84"/>
      <c r="G945" s="84"/>
      <c r="H945" s="84"/>
      <c r="I945" s="84"/>
      <c r="J945" s="84"/>
      <c r="K945" s="84"/>
      <c r="L945" s="84"/>
    </row>
    <row r="946" ht="15.75" customHeight="1">
      <c r="A946" s="84"/>
      <c r="B946" s="84"/>
      <c r="C946" s="84"/>
      <c r="D946" s="84"/>
      <c r="E946" s="84"/>
      <c r="F946" s="84"/>
      <c r="G946" s="84"/>
      <c r="H946" s="84"/>
      <c r="I946" s="84"/>
      <c r="J946" s="84"/>
      <c r="K946" s="84"/>
      <c r="L946" s="84"/>
    </row>
    <row r="947" ht="15.75" customHeight="1">
      <c r="A947" s="84"/>
      <c r="B947" s="84"/>
      <c r="C947" s="84"/>
      <c r="D947" s="84"/>
      <c r="E947" s="84"/>
      <c r="F947" s="84"/>
      <c r="G947" s="84"/>
      <c r="H947" s="84"/>
      <c r="I947" s="84"/>
      <c r="J947" s="84"/>
      <c r="K947" s="84"/>
      <c r="L947" s="84"/>
    </row>
    <row r="948" ht="15.75" customHeight="1">
      <c r="A948" s="84"/>
      <c r="B948" s="84"/>
      <c r="C948" s="84"/>
      <c r="D948" s="84"/>
      <c r="E948" s="84"/>
      <c r="F948" s="84"/>
      <c r="G948" s="84"/>
      <c r="H948" s="84"/>
      <c r="I948" s="84"/>
      <c r="J948" s="84"/>
      <c r="K948" s="84"/>
      <c r="L948" s="84"/>
    </row>
    <row r="949" ht="15.75" customHeight="1">
      <c r="A949" s="84"/>
      <c r="B949" s="84"/>
      <c r="C949" s="84"/>
      <c r="D949" s="84"/>
      <c r="E949" s="84"/>
      <c r="F949" s="84"/>
      <c r="G949" s="84"/>
      <c r="H949" s="84"/>
      <c r="I949" s="84"/>
      <c r="J949" s="84"/>
      <c r="K949" s="84"/>
      <c r="L949" s="84"/>
    </row>
    <row r="950" ht="15.75" customHeight="1">
      <c r="A950" s="84"/>
      <c r="B950" s="84"/>
      <c r="C950" s="84"/>
      <c r="D950" s="84"/>
      <c r="E950" s="84"/>
      <c r="F950" s="84"/>
      <c r="G950" s="84"/>
      <c r="H950" s="84"/>
      <c r="I950" s="84"/>
      <c r="J950" s="84"/>
      <c r="K950" s="84"/>
      <c r="L950" s="84"/>
    </row>
    <row r="951" ht="15.75" customHeight="1">
      <c r="A951" s="84"/>
      <c r="B951" s="84"/>
      <c r="C951" s="84"/>
      <c r="D951" s="84"/>
      <c r="E951" s="84"/>
      <c r="F951" s="84"/>
      <c r="G951" s="84"/>
      <c r="H951" s="84"/>
      <c r="I951" s="84"/>
      <c r="J951" s="84"/>
      <c r="K951" s="84"/>
      <c r="L951" s="84"/>
    </row>
    <row r="952" ht="15.75" customHeight="1">
      <c r="A952" s="84"/>
      <c r="B952" s="84"/>
      <c r="C952" s="84"/>
      <c r="D952" s="84"/>
      <c r="E952" s="84"/>
      <c r="F952" s="84"/>
      <c r="G952" s="84"/>
      <c r="H952" s="84"/>
      <c r="I952" s="84"/>
      <c r="J952" s="84"/>
      <c r="K952" s="84"/>
      <c r="L952" s="84"/>
    </row>
    <row r="953" ht="15.75" customHeight="1">
      <c r="A953" s="84"/>
      <c r="B953" s="84"/>
      <c r="C953" s="84"/>
      <c r="D953" s="84"/>
      <c r="E953" s="84"/>
      <c r="F953" s="84"/>
      <c r="G953" s="84"/>
      <c r="H953" s="84"/>
      <c r="I953" s="84"/>
      <c r="J953" s="84"/>
      <c r="K953" s="84"/>
      <c r="L953" s="84"/>
    </row>
    <row r="954" ht="15.75" customHeight="1">
      <c r="A954" s="84"/>
      <c r="B954" s="84"/>
      <c r="C954" s="84"/>
      <c r="D954" s="84"/>
      <c r="E954" s="84"/>
      <c r="F954" s="84"/>
      <c r="G954" s="84"/>
      <c r="H954" s="84"/>
      <c r="I954" s="84"/>
      <c r="J954" s="84"/>
      <c r="K954" s="84"/>
      <c r="L954" s="84"/>
    </row>
    <row r="955" ht="15.75" customHeight="1">
      <c r="A955" s="84"/>
      <c r="B955" s="84"/>
      <c r="C955" s="84"/>
      <c r="D955" s="84"/>
      <c r="E955" s="84"/>
      <c r="F955" s="84"/>
      <c r="G955" s="84"/>
      <c r="H955" s="84"/>
      <c r="I955" s="84"/>
      <c r="J955" s="84"/>
      <c r="K955" s="84"/>
      <c r="L955" s="84"/>
    </row>
    <row r="956" ht="15.75" customHeight="1">
      <c r="A956" s="84"/>
      <c r="B956" s="84"/>
      <c r="C956" s="84"/>
      <c r="D956" s="84"/>
      <c r="E956" s="84"/>
      <c r="F956" s="84"/>
      <c r="G956" s="84"/>
      <c r="H956" s="84"/>
      <c r="I956" s="84"/>
      <c r="J956" s="84"/>
      <c r="K956" s="84"/>
      <c r="L956" s="84"/>
    </row>
    <row r="957" ht="15.75" customHeight="1">
      <c r="A957" s="84"/>
      <c r="B957" s="84"/>
      <c r="C957" s="84"/>
      <c r="D957" s="84"/>
      <c r="E957" s="84"/>
      <c r="F957" s="84"/>
      <c r="G957" s="84"/>
      <c r="H957" s="84"/>
      <c r="I957" s="84"/>
      <c r="J957" s="84"/>
      <c r="K957" s="84"/>
      <c r="L957" s="84"/>
    </row>
    <row r="958" ht="15.75" customHeight="1">
      <c r="A958" s="84"/>
      <c r="B958" s="84"/>
      <c r="C958" s="84"/>
      <c r="D958" s="84"/>
      <c r="E958" s="84"/>
      <c r="F958" s="84"/>
      <c r="G958" s="84"/>
      <c r="H958" s="84"/>
      <c r="I958" s="84"/>
      <c r="J958" s="84"/>
      <c r="K958" s="84"/>
      <c r="L958" s="84"/>
    </row>
    <row r="959" ht="15.75" customHeight="1">
      <c r="A959" s="84"/>
      <c r="B959" s="84"/>
      <c r="C959" s="84"/>
      <c r="D959" s="84"/>
      <c r="E959" s="84"/>
      <c r="F959" s="84"/>
      <c r="G959" s="84"/>
      <c r="H959" s="84"/>
      <c r="I959" s="84"/>
      <c r="J959" s="84"/>
      <c r="K959" s="84"/>
      <c r="L959" s="84"/>
    </row>
    <row r="960" ht="15.75" customHeight="1">
      <c r="A960" s="84"/>
      <c r="B960" s="84"/>
      <c r="C960" s="84"/>
      <c r="D960" s="84"/>
      <c r="E960" s="84"/>
      <c r="F960" s="84"/>
      <c r="G960" s="84"/>
      <c r="H960" s="84"/>
      <c r="I960" s="84"/>
      <c r="J960" s="84"/>
      <c r="K960" s="84"/>
      <c r="L960" s="84"/>
    </row>
    <row r="961" ht="15.75" customHeight="1">
      <c r="A961" s="84"/>
      <c r="B961" s="84"/>
      <c r="C961" s="84"/>
      <c r="D961" s="84"/>
      <c r="E961" s="84"/>
      <c r="F961" s="84"/>
      <c r="G961" s="84"/>
      <c r="H961" s="84"/>
      <c r="I961" s="84"/>
      <c r="J961" s="84"/>
      <c r="K961" s="84"/>
      <c r="L961" s="84"/>
    </row>
    <row r="962" ht="15.75" customHeight="1">
      <c r="A962" s="84"/>
      <c r="B962" s="84"/>
      <c r="C962" s="84"/>
      <c r="D962" s="84"/>
      <c r="E962" s="84"/>
      <c r="F962" s="84"/>
      <c r="G962" s="84"/>
      <c r="H962" s="84"/>
      <c r="I962" s="84"/>
      <c r="J962" s="84"/>
      <c r="K962" s="84"/>
      <c r="L962" s="84"/>
    </row>
    <row r="963" ht="15.75" customHeight="1">
      <c r="A963" s="84"/>
      <c r="B963" s="84"/>
      <c r="C963" s="84"/>
      <c r="D963" s="84"/>
      <c r="E963" s="84"/>
      <c r="F963" s="84"/>
      <c r="G963" s="84"/>
      <c r="H963" s="84"/>
      <c r="I963" s="84"/>
      <c r="J963" s="84"/>
      <c r="K963" s="84"/>
      <c r="L963" s="84"/>
    </row>
    <row r="964" ht="15.75" customHeight="1">
      <c r="A964" s="84"/>
      <c r="B964" s="84"/>
      <c r="C964" s="84"/>
      <c r="D964" s="84"/>
      <c r="E964" s="84"/>
      <c r="F964" s="84"/>
      <c r="G964" s="84"/>
      <c r="H964" s="84"/>
      <c r="I964" s="84"/>
      <c r="J964" s="84"/>
      <c r="K964" s="84"/>
      <c r="L964" s="84"/>
    </row>
    <row r="965" ht="15.75" customHeight="1">
      <c r="A965" s="84"/>
      <c r="B965" s="84"/>
      <c r="C965" s="84"/>
      <c r="D965" s="84"/>
      <c r="E965" s="84"/>
      <c r="F965" s="84"/>
      <c r="G965" s="84"/>
      <c r="H965" s="84"/>
      <c r="I965" s="84"/>
      <c r="J965" s="84"/>
      <c r="K965" s="84"/>
      <c r="L965" s="84"/>
    </row>
    <row r="966" ht="15.75" customHeight="1">
      <c r="A966" s="84"/>
      <c r="B966" s="84"/>
      <c r="C966" s="84"/>
      <c r="D966" s="84"/>
      <c r="E966" s="84"/>
      <c r="F966" s="84"/>
      <c r="G966" s="84"/>
      <c r="H966" s="84"/>
      <c r="I966" s="84"/>
      <c r="J966" s="84"/>
      <c r="K966" s="84"/>
      <c r="L966" s="84"/>
    </row>
    <row r="967" ht="15.75" customHeight="1">
      <c r="A967" s="84"/>
      <c r="B967" s="84"/>
      <c r="C967" s="84"/>
      <c r="D967" s="84"/>
      <c r="E967" s="84"/>
      <c r="F967" s="84"/>
      <c r="G967" s="84"/>
      <c r="H967" s="84"/>
      <c r="I967" s="84"/>
      <c r="J967" s="84"/>
      <c r="K967" s="84"/>
      <c r="L967" s="84"/>
    </row>
    <row r="968" ht="15.75" customHeight="1">
      <c r="A968" s="84"/>
      <c r="B968" s="84"/>
      <c r="C968" s="84"/>
      <c r="D968" s="84"/>
      <c r="E968" s="84"/>
      <c r="F968" s="84"/>
      <c r="G968" s="84"/>
      <c r="H968" s="84"/>
      <c r="I968" s="84"/>
      <c r="J968" s="84"/>
      <c r="K968" s="84"/>
      <c r="L968" s="84"/>
    </row>
    <row r="969" ht="15.75" customHeight="1">
      <c r="A969" s="84"/>
      <c r="B969" s="84"/>
      <c r="C969" s="84"/>
      <c r="D969" s="84"/>
      <c r="E969" s="84"/>
      <c r="F969" s="84"/>
      <c r="G969" s="84"/>
      <c r="H969" s="84"/>
      <c r="I969" s="84"/>
      <c r="J969" s="84"/>
      <c r="K969" s="84"/>
      <c r="L969" s="84"/>
    </row>
    <row r="970" ht="15.75" customHeight="1">
      <c r="A970" s="84"/>
      <c r="B970" s="84"/>
      <c r="C970" s="84"/>
      <c r="D970" s="84"/>
      <c r="E970" s="84"/>
      <c r="F970" s="84"/>
      <c r="G970" s="84"/>
      <c r="H970" s="84"/>
      <c r="I970" s="84"/>
      <c r="J970" s="84"/>
      <c r="K970" s="84"/>
      <c r="L970" s="84"/>
    </row>
    <row r="971" ht="15.75" customHeight="1">
      <c r="A971" s="84"/>
      <c r="B971" s="84"/>
      <c r="C971" s="84"/>
      <c r="D971" s="84"/>
      <c r="E971" s="84"/>
      <c r="F971" s="84"/>
      <c r="G971" s="84"/>
      <c r="H971" s="84"/>
      <c r="I971" s="84"/>
      <c r="J971" s="84"/>
      <c r="K971" s="84"/>
      <c r="L971" s="84"/>
    </row>
    <row r="972" ht="15.75" customHeight="1">
      <c r="A972" s="84"/>
      <c r="B972" s="84"/>
      <c r="C972" s="84"/>
      <c r="D972" s="84"/>
      <c r="E972" s="84"/>
      <c r="F972" s="84"/>
      <c r="G972" s="84"/>
      <c r="H972" s="84"/>
      <c r="I972" s="84"/>
      <c r="J972" s="84"/>
      <c r="K972" s="84"/>
      <c r="L972" s="84"/>
    </row>
    <row r="973" ht="15.75" customHeight="1">
      <c r="A973" s="84"/>
      <c r="B973" s="84"/>
      <c r="C973" s="84"/>
      <c r="D973" s="84"/>
      <c r="E973" s="84"/>
      <c r="F973" s="84"/>
      <c r="G973" s="84"/>
      <c r="H973" s="84"/>
      <c r="I973" s="84"/>
      <c r="J973" s="84"/>
      <c r="K973" s="84"/>
      <c r="L973" s="84"/>
    </row>
    <row r="974" ht="15.75" customHeight="1">
      <c r="A974" s="84"/>
      <c r="B974" s="84"/>
      <c r="C974" s="84"/>
      <c r="D974" s="84"/>
      <c r="E974" s="84"/>
      <c r="F974" s="84"/>
      <c r="G974" s="84"/>
      <c r="H974" s="84"/>
      <c r="I974" s="84"/>
      <c r="J974" s="84"/>
      <c r="K974" s="84"/>
      <c r="L974" s="84"/>
    </row>
    <row r="975" ht="15.75" customHeight="1">
      <c r="A975" s="84"/>
      <c r="B975" s="84"/>
      <c r="C975" s="84"/>
      <c r="D975" s="84"/>
      <c r="E975" s="84"/>
      <c r="F975" s="84"/>
      <c r="G975" s="84"/>
      <c r="H975" s="84"/>
      <c r="I975" s="84"/>
      <c r="J975" s="84"/>
      <c r="K975" s="84"/>
      <c r="L975" s="84"/>
    </row>
    <row r="976" ht="15.75" customHeight="1">
      <c r="A976" s="84"/>
      <c r="B976" s="84"/>
      <c r="C976" s="84"/>
      <c r="D976" s="84"/>
      <c r="E976" s="84"/>
      <c r="F976" s="84"/>
      <c r="G976" s="84"/>
      <c r="H976" s="84"/>
      <c r="I976" s="84"/>
      <c r="J976" s="84"/>
      <c r="K976" s="84"/>
      <c r="L976" s="84"/>
    </row>
    <row r="977" ht="15.75" customHeight="1">
      <c r="A977" s="84"/>
      <c r="B977" s="84"/>
      <c r="C977" s="84"/>
      <c r="D977" s="84"/>
      <c r="E977" s="84"/>
      <c r="F977" s="84"/>
      <c r="G977" s="84"/>
      <c r="H977" s="84"/>
      <c r="I977" s="84"/>
      <c r="J977" s="84"/>
      <c r="K977" s="84"/>
      <c r="L977" s="84"/>
    </row>
    <row r="978" ht="15.75" customHeight="1">
      <c r="A978" s="84"/>
      <c r="B978" s="84"/>
      <c r="C978" s="84"/>
      <c r="D978" s="84"/>
      <c r="E978" s="84"/>
      <c r="F978" s="84"/>
      <c r="G978" s="84"/>
      <c r="H978" s="84"/>
      <c r="I978" s="84"/>
      <c r="J978" s="84"/>
      <c r="K978" s="84"/>
      <c r="L978" s="84"/>
    </row>
    <row r="979" ht="15.75" customHeight="1">
      <c r="A979" s="84"/>
      <c r="B979" s="84"/>
      <c r="C979" s="84"/>
      <c r="D979" s="84"/>
      <c r="E979" s="84"/>
      <c r="F979" s="84"/>
      <c r="G979" s="84"/>
      <c r="H979" s="84"/>
      <c r="I979" s="84"/>
      <c r="J979" s="84"/>
      <c r="K979" s="84"/>
      <c r="L979" s="84"/>
    </row>
    <row r="980" ht="15.75" customHeight="1">
      <c r="A980" s="84"/>
      <c r="B980" s="84"/>
      <c r="C980" s="84"/>
      <c r="D980" s="84"/>
      <c r="E980" s="84"/>
      <c r="F980" s="84"/>
      <c r="G980" s="84"/>
      <c r="H980" s="84"/>
      <c r="I980" s="84"/>
      <c r="J980" s="84"/>
      <c r="K980" s="84"/>
      <c r="L980" s="84"/>
    </row>
    <row r="981" ht="15.75" customHeight="1">
      <c r="A981" s="84"/>
      <c r="B981" s="84"/>
      <c r="C981" s="84"/>
      <c r="D981" s="84"/>
      <c r="E981" s="84"/>
      <c r="F981" s="84"/>
      <c r="G981" s="84"/>
      <c r="H981" s="84"/>
      <c r="I981" s="84"/>
      <c r="J981" s="84"/>
      <c r="K981" s="84"/>
      <c r="L981" s="84"/>
    </row>
    <row r="982" ht="15.75" customHeight="1">
      <c r="A982" s="84"/>
      <c r="B982" s="84"/>
      <c r="C982" s="84"/>
      <c r="D982" s="84"/>
      <c r="E982" s="84"/>
      <c r="F982" s="84"/>
      <c r="G982" s="84"/>
      <c r="H982" s="84"/>
      <c r="I982" s="84"/>
      <c r="J982" s="84"/>
      <c r="K982" s="84"/>
      <c r="L982" s="84"/>
    </row>
    <row r="983" ht="15.75" customHeight="1">
      <c r="A983" s="84"/>
      <c r="B983" s="84"/>
      <c r="C983" s="84"/>
      <c r="D983" s="84"/>
      <c r="E983" s="84"/>
      <c r="F983" s="84"/>
      <c r="G983" s="84"/>
      <c r="H983" s="84"/>
      <c r="I983" s="84"/>
      <c r="J983" s="84"/>
      <c r="K983" s="84"/>
      <c r="L983" s="84"/>
    </row>
    <row r="984" ht="15.75" customHeight="1">
      <c r="A984" s="84"/>
      <c r="B984" s="84"/>
      <c r="C984" s="84"/>
      <c r="D984" s="84"/>
      <c r="E984" s="84"/>
      <c r="F984" s="84"/>
      <c r="G984" s="84"/>
      <c r="H984" s="84"/>
      <c r="I984" s="84"/>
      <c r="J984" s="84"/>
      <c r="K984" s="84"/>
      <c r="L984" s="84"/>
    </row>
    <row r="985" ht="15.75" customHeight="1">
      <c r="A985" s="84"/>
      <c r="B985" s="84"/>
      <c r="C985" s="84"/>
      <c r="D985" s="84"/>
      <c r="E985" s="84"/>
      <c r="F985" s="84"/>
      <c r="G985" s="84"/>
      <c r="H985" s="84"/>
      <c r="I985" s="84"/>
      <c r="J985" s="84"/>
      <c r="K985" s="84"/>
      <c r="L985" s="84"/>
    </row>
    <row r="986" ht="15.75" customHeight="1">
      <c r="A986" s="84"/>
      <c r="B986" s="84"/>
      <c r="C986" s="84"/>
      <c r="D986" s="84"/>
      <c r="E986" s="84"/>
      <c r="F986" s="84"/>
      <c r="G986" s="84"/>
      <c r="H986" s="84"/>
      <c r="I986" s="84"/>
      <c r="J986" s="84"/>
      <c r="K986" s="84"/>
      <c r="L986" s="84"/>
    </row>
    <row r="987" ht="15.75" customHeight="1">
      <c r="A987" s="84"/>
      <c r="B987" s="84"/>
      <c r="C987" s="84"/>
      <c r="D987" s="84"/>
      <c r="E987" s="84"/>
      <c r="F987" s="84"/>
      <c r="G987" s="84"/>
      <c r="H987" s="84"/>
      <c r="I987" s="84"/>
      <c r="J987" s="84"/>
      <c r="K987" s="84"/>
      <c r="L987" s="84"/>
    </row>
    <row r="988" ht="15.75" customHeight="1">
      <c r="A988" s="84"/>
      <c r="B988" s="84"/>
      <c r="C988" s="84"/>
      <c r="D988" s="84"/>
      <c r="E988" s="84"/>
      <c r="F988" s="84"/>
      <c r="G988" s="84"/>
      <c r="H988" s="84"/>
      <c r="I988" s="84"/>
      <c r="J988" s="84"/>
      <c r="K988" s="84"/>
      <c r="L988" s="84"/>
    </row>
    <row r="989" ht="15.75" customHeight="1">
      <c r="A989" s="84"/>
      <c r="B989" s="84"/>
      <c r="C989" s="84"/>
      <c r="D989" s="84"/>
      <c r="E989" s="84"/>
      <c r="F989" s="84"/>
      <c r="G989" s="84"/>
      <c r="H989" s="84"/>
      <c r="I989" s="84"/>
      <c r="J989" s="84"/>
      <c r="K989" s="84"/>
      <c r="L989" s="84"/>
    </row>
    <row r="990" ht="15.75" customHeight="1">
      <c r="A990" s="84"/>
      <c r="B990" s="84"/>
      <c r="C990" s="84"/>
      <c r="D990" s="84"/>
      <c r="E990" s="84"/>
      <c r="F990" s="84"/>
      <c r="G990" s="84"/>
      <c r="H990" s="84"/>
      <c r="I990" s="84"/>
      <c r="J990" s="84"/>
      <c r="K990" s="84"/>
      <c r="L990" s="84"/>
    </row>
    <row r="991" ht="15.75" customHeight="1">
      <c r="A991" s="84"/>
      <c r="B991" s="84"/>
      <c r="C991" s="84"/>
      <c r="D991" s="84"/>
      <c r="E991" s="84"/>
      <c r="F991" s="84"/>
      <c r="G991" s="84"/>
      <c r="H991" s="84"/>
      <c r="I991" s="84"/>
      <c r="J991" s="84"/>
      <c r="K991" s="84"/>
      <c r="L991" s="84"/>
    </row>
    <row r="992" ht="15.75" customHeight="1">
      <c r="A992" s="84"/>
      <c r="B992" s="84"/>
      <c r="C992" s="84"/>
      <c r="D992" s="84"/>
      <c r="E992" s="84"/>
      <c r="F992" s="84"/>
      <c r="G992" s="84"/>
      <c r="H992" s="84"/>
      <c r="I992" s="84"/>
      <c r="J992" s="84"/>
      <c r="K992" s="84"/>
      <c r="L992" s="84"/>
    </row>
    <row r="993" ht="15.75" customHeight="1">
      <c r="A993" s="84"/>
      <c r="B993" s="84"/>
      <c r="C993" s="84"/>
      <c r="D993" s="84"/>
      <c r="E993" s="84"/>
      <c r="F993" s="84"/>
      <c r="G993" s="84"/>
      <c r="H993" s="84"/>
      <c r="I993" s="84"/>
      <c r="J993" s="84"/>
      <c r="K993" s="84"/>
      <c r="L993" s="84"/>
    </row>
    <row r="994" ht="15.75" customHeight="1">
      <c r="A994" s="84"/>
      <c r="B994" s="84"/>
      <c r="C994" s="84"/>
      <c r="D994" s="84"/>
      <c r="E994" s="84"/>
      <c r="F994" s="84"/>
      <c r="G994" s="84"/>
      <c r="H994" s="84"/>
      <c r="I994" s="84"/>
      <c r="J994" s="84"/>
      <c r="K994" s="84"/>
      <c r="L994" s="84"/>
    </row>
    <row r="995" ht="15.75" customHeight="1">
      <c r="A995" s="84"/>
      <c r="B995" s="84"/>
      <c r="C995" s="84"/>
      <c r="D995" s="84"/>
      <c r="E995" s="84"/>
      <c r="F995" s="84"/>
      <c r="G995" s="84"/>
      <c r="H995" s="84"/>
      <c r="I995" s="84"/>
      <c r="J995" s="84"/>
      <c r="K995" s="84"/>
      <c r="L995" s="84"/>
    </row>
    <row r="996" ht="15.75" customHeight="1">
      <c r="A996" s="84"/>
      <c r="B996" s="84"/>
      <c r="C996" s="84"/>
      <c r="D996" s="84"/>
      <c r="E996" s="84"/>
      <c r="F996" s="84"/>
      <c r="G996" s="84"/>
      <c r="H996" s="84"/>
      <c r="I996" s="84"/>
      <c r="J996" s="84"/>
      <c r="K996" s="84"/>
      <c r="L996" s="84"/>
    </row>
    <row r="997" ht="15.75" customHeight="1">
      <c r="A997" s="84"/>
      <c r="B997" s="84"/>
      <c r="C997" s="84"/>
      <c r="D997" s="84"/>
      <c r="E997" s="84"/>
      <c r="F997" s="84"/>
      <c r="G997" s="84"/>
      <c r="H997" s="84"/>
      <c r="I997" s="84"/>
      <c r="J997" s="84"/>
      <c r="K997" s="84"/>
      <c r="L997" s="84"/>
    </row>
    <row r="998" ht="15.75" customHeight="1">
      <c r="A998" s="84"/>
      <c r="B998" s="84"/>
      <c r="C998" s="84"/>
      <c r="D998" s="84"/>
      <c r="E998" s="84"/>
      <c r="F998" s="84"/>
      <c r="G998" s="84"/>
      <c r="H998" s="84"/>
      <c r="I998" s="84"/>
      <c r="J998" s="84"/>
      <c r="K998" s="84"/>
      <c r="L998" s="84"/>
    </row>
    <row r="999" ht="15.75" customHeight="1">
      <c r="A999" s="84"/>
      <c r="B999" s="84"/>
      <c r="C999" s="84"/>
      <c r="D999" s="84"/>
      <c r="E999" s="84"/>
      <c r="F999" s="84"/>
      <c r="G999" s="84"/>
      <c r="H999" s="84"/>
      <c r="I999" s="84"/>
      <c r="J999" s="84"/>
      <c r="K999" s="84"/>
      <c r="L999" s="84"/>
    </row>
    <row r="1000" ht="15.75" customHeight="1">
      <c r="A1000" s="84"/>
      <c r="B1000" s="84"/>
      <c r="C1000" s="84"/>
      <c r="D1000" s="84"/>
      <c r="E1000" s="84"/>
      <c r="F1000" s="84"/>
      <c r="G1000" s="84"/>
      <c r="H1000" s="84"/>
      <c r="I1000" s="84"/>
      <c r="J1000" s="84"/>
      <c r="K1000" s="84"/>
      <c r="L1000" s="84"/>
    </row>
  </sheetData>
  <autoFilter ref="$A$5:$L$174"/>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0.0"/>
    <col customWidth="1" min="2" max="2" width="24.0"/>
    <col customWidth="1" min="3" max="3" width="6.0"/>
    <col customWidth="1" min="4" max="4" width="28.0"/>
    <col customWidth="1" min="5" max="5" width="20.0"/>
    <col customWidth="1" min="6" max="6" width="60.0"/>
    <col customWidth="1" min="7" max="7" width="24.0"/>
    <col customWidth="1" min="8" max="8" width="20.0"/>
    <col customWidth="1" min="9" max="9" width="56.0"/>
    <col customWidth="1" min="10" max="10" width="34.0"/>
  </cols>
  <sheetData>
    <row r="1" ht="21.0" customHeight="1">
      <c r="A1" s="1" t="s">
        <v>0</v>
      </c>
      <c r="B1" s="3"/>
      <c r="C1" s="3"/>
      <c r="D1" s="3"/>
      <c r="E1" s="3"/>
      <c r="F1" s="3"/>
      <c r="G1" s="3"/>
      <c r="H1" s="3"/>
      <c r="I1" s="3"/>
      <c r="J1" s="3"/>
      <c r="K1" s="3"/>
      <c r="L1" s="3"/>
      <c r="M1" s="3"/>
      <c r="N1" s="3"/>
      <c r="O1" s="3"/>
      <c r="P1" s="3"/>
      <c r="Q1" s="3"/>
      <c r="R1" s="3"/>
      <c r="S1" s="3"/>
      <c r="T1" s="3"/>
      <c r="U1" s="3"/>
      <c r="V1" s="3"/>
      <c r="W1" s="3"/>
      <c r="X1" s="3"/>
      <c r="Y1" s="3"/>
      <c r="Z1" s="3"/>
    </row>
    <row r="2" ht="15.0" customHeight="1">
      <c r="A2" s="6" t="s">
        <v>4</v>
      </c>
      <c r="B2" s="3"/>
      <c r="C2" s="3"/>
      <c r="D2" s="3"/>
      <c r="E2" s="3"/>
      <c r="F2" s="3"/>
      <c r="G2" s="3"/>
      <c r="H2" s="3"/>
      <c r="I2" s="3"/>
      <c r="J2" s="3"/>
      <c r="K2" s="3"/>
      <c r="L2" s="3"/>
      <c r="M2" s="3"/>
      <c r="N2" s="3"/>
      <c r="O2" s="3"/>
      <c r="P2" s="3"/>
      <c r="Q2" s="3"/>
      <c r="R2" s="3"/>
      <c r="S2" s="3"/>
      <c r="T2" s="3"/>
      <c r="U2" s="3"/>
      <c r="V2" s="3"/>
      <c r="W2" s="3"/>
      <c r="X2" s="3"/>
      <c r="Y2" s="3"/>
      <c r="Z2" s="3"/>
    </row>
    <row r="3" ht="15.0" customHeight="1">
      <c r="A3" s="3"/>
      <c r="B3" s="3"/>
      <c r="C3" s="3"/>
      <c r="D3" s="3"/>
      <c r="E3" s="3"/>
      <c r="F3" s="3"/>
      <c r="G3" s="3"/>
      <c r="H3" s="3"/>
      <c r="I3" s="3"/>
      <c r="J3" s="3"/>
      <c r="K3" s="3"/>
      <c r="L3" s="3"/>
      <c r="M3" s="3"/>
      <c r="N3" s="3"/>
      <c r="O3" s="3"/>
      <c r="P3" s="3"/>
      <c r="Q3" s="3"/>
      <c r="R3" s="3"/>
      <c r="S3" s="3"/>
      <c r="T3" s="3"/>
      <c r="U3" s="3"/>
      <c r="V3" s="3"/>
      <c r="W3" s="3"/>
      <c r="X3" s="3"/>
      <c r="Y3" s="3"/>
      <c r="Z3" s="3"/>
    </row>
    <row r="4" ht="17.25" customHeight="1">
      <c r="A4" s="10" t="s">
        <v>9</v>
      </c>
      <c r="B4" s="10" t="s">
        <v>11</v>
      </c>
      <c r="C4" s="13" t="s">
        <v>12</v>
      </c>
      <c r="D4" s="10" t="s">
        <v>23</v>
      </c>
      <c r="E4" s="10" t="s">
        <v>24</v>
      </c>
      <c r="F4" s="10" t="s">
        <v>25</v>
      </c>
      <c r="G4" s="10" t="s">
        <v>26</v>
      </c>
      <c r="H4" s="10" t="s">
        <v>27</v>
      </c>
      <c r="I4" s="10" t="s">
        <v>28</v>
      </c>
      <c r="J4" s="10" t="s">
        <v>30</v>
      </c>
      <c r="K4" s="15"/>
      <c r="L4" s="15"/>
      <c r="M4" s="15"/>
      <c r="N4" s="15"/>
      <c r="O4" s="15"/>
      <c r="P4" s="15"/>
      <c r="Q4" s="15"/>
      <c r="R4" s="15"/>
      <c r="S4" s="15"/>
      <c r="T4" s="15"/>
      <c r="U4" s="15"/>
      <c r="V4" s="15"/>
      <c r="W4" s="15"/>
      <c r="X4" s="15"/>
      <c r="Y4" s="15"/>
      <c r="Z4" s="15"/>
    </row>
    <row r="5" ht="31.5" customHeight="1">
      <c r="A5" s="18" t="s">
        <v>31</v>
      </c>
      <c r="B5" s="24" t="s">
        <v>32</v>
      </c>
      <c r="C5" s="18" t="s">
        <v>36</v>
      </c>
      <c r="D5" s="24" t="s">
        <v>37</v>
      </c>
      <c r="E5" s="24" t="s">
        <v>38</v>
      </c>
      <c r="F5" s="24" t="s">
        <v>39</v>
      </c>
      <c r="G5" s="18" t="s">
        <v>40</v>
      </c>
      <c r="H5" s="18" t="s">
        <v>41</v>
      </c>
      <c r="I5" s="18" t="s">
        <v>42</v>
      </c>
      <c r="J5" s="18" t="s">
        <v>43</v>
      </c>
      <c r="K5" s="15"/>
      <c r="L5" s="15"/>
      <c r="M5" s="15"/>
      <c r="N5" s="15"/>
      <c r="O5" s="15"/>
      <c r="P5" s="15"/>
      <c r="Q5" s="15"/>
      <c r="R5" s="15"/>
      <c r="S5" s="15"/>
      <c r="T5" s="15"/>
      <c r="U5" s="15"/>
      <c r="V5" s="15"/>
      <c r="W5" s="15"/>
      <c r="X5" s="15"/>
      <c r="Y5" s="15"/>
      <c r="Z5" s="15"/>
    </row>
    <row r="6" ht="45.0" customHeight="1">
      <c r="A6" s="18" t="s">
        <v>45</v>
      </c>
      <c r="B6" s="28" t="s">
        <v>47</v>
      </c>
      <c r="C6" s="32" t="s">
        <v>36</v>
      </c>
      <c r="D6" s="28" t="s">
        <v>49</v>
      </c>
      <c r="E6" s="32" t="s">
        <v>51</v>
      </c>
      <c r="F6" s="28" t="s">
        <v>52</v>
      </c>
      <c r="G6" s="28" t="s">
        <v>54</v>
      </c>
      <c r="H6" s="32" t="s">
        <v>55</v>
      </c>
      <c r="I6" s="18" t="s">
        <v>56</v>
      </c>
      <c r="J6" s="18" t="s">
        <v>57</v>
      </c>
      <c r="K6" s="15"/>
      <c r="L6" s="15"/>
      <c r="M6" s="15"/>
      <c r="N6" s="15"/>
      <c r="O6" s="15"/>
      <c r="P6" s="15"/>
      <c r="Q6" s="15"/>
      <c r="R6" s="15"/>
      <c r="S6" s="15"/>
      <c r="T6" s="15"/>
      <c r="U6" s="15"/>
      <c r="V6" s="15"/>
      <c r="W6" s="15"/>
      <c r="X6" s="15"/>
      <c r="Y6" s="15"/>
      <c r="Z6" s="15"/>
    </row>
    <row r="7" ht="45.0" customHeight="1">
      <c r="A7" s="39" t="s">
        <v>65</v>
      </c>
      <c r="B7" s="42" t="s">
        <v>71</v>
      </c>
      <c r="C7" s="42" t="s">
        <v>73</v>
      </c>
      <c r="D7" s="42" t="s">
        <v>74</v>
      </c>
      <c r="E7" s="39" t="s">
        <v>75</v>
      </c>
      <c r="F7" s="42" t="s">
        <v>77</v>
      </c>
      <c r="G7" s="39" t="s">
        <v>78</v>
      </c>
      <c r="H7" s="39" t="s">
        <v>80</v>
      </c>
      <c r="I7" s="44" t="s">
        <v>83</v>
      </c>
      <c r="J7" s="46" t="s">
        <v>87</v>
      </c>
      <c r="K7" s="15"/>
      <c r="L7" s="15"/>
      <c r="M7" s="15"/>
      <c r="N7" s="15"/>
      <c r="O7" s="15"/>
      <c r="P7" s="15"/>
      <c r="Q7" s="15"/>
      <c r="R7" s="15"/>
      <c r="S7" s="15"/>
      <c r="T7" s="15"/>
      <c r="U7" s="15"/>
      <c r="V7" s="15"/>
      <c r="W7" s="15"/>
      <c r="X7" s="15"/>
      <c r="Y7" s="15"/>
      <c r="Z7" s="15"/>
    </row>
    <row r="8" ht="31.5" customHeight="1">
      <c r="A8" s="48" t="s">
        <v>99</v>
      </c>
      <c r="B8" s="50" t="s">
        <v>107</v>
      </c>
      <c r="C8" s="50" t="s">
        <v>73</v>
      </c>
      <c r="D8" s="50" t="s">
        <v>113</v>
      </c>
      <c r="E8" s="48" t="s">
        <v>114</v>
      </c>
      <c r="F8" s="50" t="s">
        <v>116</v>
      </c>
      <c r="G8" s="48" t="s">
        <v>78</v>
      </c>
      <c r="H8" s="48" t="s">
        <v>117</v>
      </c>
      <c r="I8" s="24" t="s">
        <v>119</v>
      </c>
      <c r="J8" s="18" t="s">
        <v>120</v>
      </c>
      <c r="K8" s="15"/>
      <c r="L8" s="15"/>
      <c r="M8" s="15"/>
      <c r="N8" s="15"/>
      <c r="O8" s="15"/>
      <c r="P8" s="15"/>
      <c r="Q8" s="15"/>
      <c r="R8" s="15"/>
      <c r="S8" s="15"/>
      <c r="T8" s="15"/>
      <c r="U8" s="15"/>
      <c r="V8" s="15"/>
      <c r="W8" s="15"/>
      <c r="X8" s="15"/>
      <c r="Y8" s="15"/>
      <c r="Z8" s="15"/>
    </row>
    <row r="9" ht="58.5" customHeight="1">
      <c r="A9" s="48" t="s">
        <v>126</v>
      </c>
      <c r="B9" s="50" t="s">
        <v>128</v>
      </c>
      <c r="C9" s="50" t="s">
        <v>73</v>
      </c>
      <c r="D9" s="50" t="s">
        <v>129</v>
      </c>
      <c r="E9" s="48" t="s">
        <v>131</v>
      </c>
      <c r="F9" s="50" t="s">
        <v>133</v>
      </c>
      <c r="G9" s="48" t="s">
        <v>78</v>
      </c>
      <c r="H9" s="48" t="s">
        <v>136</v>
      </c>
      <c r="I9" s="24" t="s">
        <v>138</v>
      </c>
      <c r="J9" s="18" t="s">
        <v>140</v>
      </c>
      <c r="K9" s="15"/>
      <c r="L9" s="15"/>
      <c r="M9" s="15"/>
      <c r="N9" s="15"/>
      <c r="O9" s="15"/>
      <c r="P9" s="15"/>
      <c r="Q9" s="15"/>
      <c r="R9" s="15"/>
      <c r="S9" s="15"/>
      <c r="T9" s="15"/>
      <c r="U9" s="15"/>
      <c r="V9" s="15"/>
      <c r="W9" s="15"/>
      <c r="X9" s="15"/>
      <c r="Y9" s="15"/>
      <c r="Z9" s="15"/>
    </row>
    <row r="10" ht="72.75" customHeight="1">
      <c r="A10" s="48" t="s">
        <v>147</v>
      </c>
      <c r="B10" s="50" t="s">
        <v>149</v>
      </c>
      <c r="C10" s="50" t="s">
        <v>73</v>
      </c>
      <c r="D10" s="50" t="s">
        <v>151</v>
      </c>
      <c r="E10" s="48" t="s">
        <v>153</v>
      </c>
      <c r="F10" s="50" t="s">
        <v>154</v>
      </c>
      <c r="G10" s="48" t="s">
        <v>155</v>
      </c>
      <c r="H10" s="48" t="s">
        <v>156</v>
      </c>
      <c r="I10" s="55" t="s">
        <v>158</v>
      </c>
      <c r="J10" s="56" t="s">
        <v>162</v>
      </c>
      <c r="K10" s="15"/>
      <c r="L10" s="15"/>
      <c r="M10" s="15"/>
      <c r="N10" s="15"/>
      <c r="O10" s="15"/>
      <c r="P10" s="15"/>
      <c r="Q10" s="15"/>
      <c r="R10" s="15"/>
      <c r="S10" s="15"/>
      <c r="T10" s="15"/>
      <c r="U10" s="15"/>
      <c r="V10" s="15"/>
      <c r="W10" s="15"/>
      <c r="X10" s="15"/>
      <c r="Y10" s="15"/>
      <c r="Z10" s="15"/>
    </row>
    <row r="11" ht="155.25" customHeight="1">
      <c r="A11" s="48" t="s">
        <v>173</v>
      </c>
      <c r="B11" s="50" t="s">
        <v>174</v>
      </c>
      <c r="C11" s="50" t="s">
        <v>73</v>
      </c>
      <c r="D11" s="50" t="s">
        <v>178</v>
      </c>
      <c r="E11" s="48" t="s">
        <v>180</v>
      </c>
      <c r="F11" s="50" t="s">
        <v>183</v>
      </c>
      <c r="G11" s="48" t="s">
        <v>185</v>
      </c>
      <c r="H11" s="48" t="s">
        <v>187</v>
      </c>
      <c r="I11" s="59" t="s">
        <v>191</v>
      </c>
      <c r="J11" s="60" t="s">
        <v>203</v>
      </c>
      <c r="K11" s="15"/>
      <c r="L11" s="15"/>
      <c r="M11" s="15"/>
      <c r="N11" s="15"/>
      <c r="O11" s="15"/>
      <c r="P11" s="15"/>
      <c r="Q11" s="15"/>
      <c r="R11" s="15"/>
      <c r="S11" s="15"/>
      <c r="T11" s="15"/>
      <c r="U11" s="15"/>
      <c r="V11" s="15"/>
      <c r="W11" s="15"/>
      <c r="X11" s="15"/>
      <c r="Y11" s="15"/>
      <c r="Z11" s="15"/>
    </row>
    <row r="12" ht="100.5" customHeight="1">
      <c r="A12" s="48" t="s">
        <v>216</v>
      </c>
      <c r="B12" s="50" t="s">
        <v>218</v>
      </c>
      <c r="C12" s="50" t="s">
        <v>73</v>
      </c>
      <c r="D12" s="48" t="s">
        <v>222</v>
      </c>
      <c r="E12" s="48" t="s">
        <v>225</v>
      </c>
      <c r="F12" s="50" t="s">
        <v>226</v>
      </c>
      <c r="G12" s="48" t="s">
        <v>155</v>
      </c>
      <c r="H12" s="48" t="s">
        <v>228</v>
      </c>
      <c r="I12" s="55" t="s">
        <v>231</v>
      </c>
      <c r="J12" s="56" t="s">
        <v>234</v>
      </c>
      <c r="K12" s="15"/>
      <c r="L12" s="15"/>
      <c r="M12" s="15"/>
      <c r="N12" s="15"/>
      <c r="O12" s="15"/>
      <c r="P12" s="15"/>
      <c r="Q12" s="15"/>
      <c r="R12" s="15"/>
      <c r="S12" s="15"/>
      <c r="T12" s="15"/>
      <c r="U12" s="15"/>
      <c r="V12" s="15"/>
      <c r="W12" s="15"/>
      <c r="X12" s="15"/>
      <c r="Y12" s="15"/>
      <c r="Z12" s="15"/>
    </row>
    <row r="13" ht="45.0" customHeight="1">
      <c r="A13" s="48" t="s">
        <v>243</v>
      </c>
      <c r="B13" s="48" t="s">
        <v>245</v>
      </c>
      <c r="C13" s="50" t="s">
        <v>73</v>
      </c>
      <c r="D13" s="50" t="s">
        <v>247</v>
      </c>
      <c r="E13" s="48" t="s">
        <v>248</v>
      </c>
      <c r="F13" s="50" t="s">
        <v>250</v>
      </c>
      <c r="G13" s="48" t="s">
        <v>252</v>
      </c>
      <c r="H13" s="48" t="s">
        <v>255</v>
      </c>
      <c r="I13" s="24" t="s">
        <v>258</v>
      </c>
      <c r="J13" s="18" t="s">
        <v>259</v>
      </c>
      <c r="K13" s="15"/>
      <c r="L13" s="15"/>
      <c r="M13" s="15"/>
      <c r="N13" s="15"/>
      <c r="O13" s="15"/>
      <c r="P13" s="15"/>
      <c r="Q13" s="15"/>
      <c r="R13" s="15"/>
      <c r="S13" s="15"/>
      <c r="T13" s="15"/>
      <c r="U13" s="15"/>
      <c r="V13" s="15"/>
      <c r="W13" s="15"/>
      <c r="X13" s="15"/>
      <c r="Y13" s="15"/>
      <c r="Z13" s="15"/>
    </row>
    <row r="14" ht="58.5" customHeight="1">
      <c r="A14" s="48" t="s">
        <v>267</v>
      </c>
      <c r="B14" s="50" t="s">
        <v>269</v>
      </c>
      <c r="C14" s="50" t="s">
        <v>73</v>
      </c>
      <c r="D14" s="50" t="s">
        <v>271</v>
      </c>
      <c r="E14" s="48" t="s">
        <v>272</v>
      </c>
      <c r="F14" s="50" t="s">
        <v>274</v>
      </c>
      <c r="G14" s="48" t="s">
        <v>252</v>
      </c>
      <c r="H14" s="48" t="s">
        <v>41</v>
      </c>
      <c r="I14" s="24" t="s">
        <v>280</v>
      </c>
      <c r="J14" s="18" t="s">
        <v>282</v>
      </c>
      <c r="K14" s="15"/>
      <c r="L14" s="15"/>
      <c r="M14" s="15"/>
      <c r="N14" s="15"/>
      <c r="O14" s="15"/>
      <c r="P14" s="15"/>
      <c r="Q14" s="15"/>
      <c r="R14" s="15"/>
      <c r="S14" s="15"/>
      <c r="T14" s="15"/>
      <c r="U14" s="15"/>
      <c r="V14" s="15"/>
      <c r="W14" s="15"/>
      <c r="X14" s="15"/>
      <c r="Y14" s="15"/>
      <c r="Z14" s="15"/>
    </row>
    <row r="15" ht="86.25" customHeight="1">
      <c r="A15" s="61" t="s">
        <v>294</v>
      </c>
      <c r="B15" s="62" t="s">
        <v>298</v>
      </c>
      <c r="C15" s="61" t="s">
        <v>36</v>
      </c>
      <c r="D15" s="62" t="s">
        <v>304</v>
      </c>
      <c r="E15" s="61" t="s">
        <v>75</v>
      </c>
      <c r="F15" s="62" t="s">
        <v>307</v>
      </c>
      <c r="G15" s="63" t="s">
        <v>313</v>
      </c>
      <c r="H15" s="63" t="s">
        <v>316</v>
      </c>
      <c r="I15" s="63" t="s">
        <v>320</v>
      </c>
      <c r="J15" s="63" t="s">
        <v>322</v>
      </c>
      <c r="K15" s="15"/>
      <c r="L15" s="15"/>
      <c r="M15" s="15"/>
      <c r="N15" s="15"/>
      <c r="O15" s="15"/>
      <c r="P15" s="15"/>
      <c r="Q15" s="15"/>
      <c r="R15" s="15"/>
      <c r="S15" s="15"/>
      <c r="T15" s="15"/>
      <c r="U15" s="15"/>
      <c r="V15" s="15"/>
      <c r="W15" s="15"/>
      <c r="X15" s="15"/>
      <c r="Y15" s="15"/>
      <c r="Z15" s="15"/>
    </row>
    <row r="16" ht="58.5" customHeight="1">
      <c r="A16" s="61" t="s">
        <v>332</v>
      </c>
      <c r="B16" s="62" t="s">
        <v>334</v>
      </c>
      <c r="C16" s="61" t="s">
        <v>36</v>
      </c>
      <c r="D16" s="62" t="s">
        <v>337</v>
      </c>
      <c r="E16" s="61" t="s">
        <v>339</v>
      </c>
      <c r="F16" s="62" t="s">
        <v>341</v>
      </c>
      <c r="G16" s="63" t="s">
        <v>343</v>
      </c>
      <c r="H16" s="63" t="s">
        <v>346</v>
      </c>
      <c r="I16" s="63" t="s">
        <v>348</v>
      </c>
      <c r="J16" s="63" t="s">
        <v>350</v>
      </c>
      <c r="K16" s="15"/>
      <c r="L16" s="15"/>
      <c r="M16" s="15"/>
      <c r="N16" s="15"/>
      <c r="O16" s="15"/>
      <c r="P16" s="15"/>
      <c r="Q16" s="15"/>
      <c r="R16" s="15"/>
      <c r="S16" s="15"/>
      <c r="T16" s="15"/>
      <c r="U16" s="15"/>
      <c r="V16" s="15"/>
      <c r="W16" s="15"/>
      <c r="X16" s="15"/>
      <c r="Y16" s="15"/>
      <c r="Z16" s="15"/>
    </row>
    <row r="17" ht="72.75" customHeight="1">
      <c r="A17" s="61" t="s">
        <v>359</v>
      </c>
      <c r="B17" s="62" t="s">
        <v>361</v>
      </c>
      <c r="C17" s="61" t="s">
        <v>36</v>
      </c>
      <c r="D17" s="62" t="s">
        <v>364</v>
      </c>
      <c r="E17" s="61" t="s">
        <v>366</v>
      </c>
      <c r="F17" s="62" t="s">
        <v>369</v>
      </c>
      <c r="G17" s="63" t="s">
        <v>370</v>
      </c>
      <c r="H17" s="63" t="s">
        <v>372</v>
      </c>
      <c r="I17" s="63" t="s">
        <v>375</v>
      </c>
      <c r="J17" s="63" t="s">
        <v>378</v>
      </c>
      <c r="K17" s="15"/>
      <c r="L17" s="15"/>
      <c r="M17" s="15"/>
      <c r="N17" s="15"/>
      <c r="O17" s="15"/>
      <c r="P17" s="15"/>
      <c r="Q17" s="15"/>
      <c r="R17" s="15"/>
      <c r="S17" s="15"/>
      <c r="T17" s="15"/>
      <c r="U17" s="15"/>
      <c r="V17" s="15"/>
      <c r="W17" s="15"/>
      <c r="X17" s="15"/>
      <c r="Y17" s="15"/>
      <c r="Z17" s="15"/>
    </row>
    <row r="18" ht="72.75" customHeight="1">
      <c r="A18" s="61" t="s">
        <v>386</v>
      </c>
      <c r="B18" s="62" t="s">
        <v>388</v>
      </c>
      <c r="C18" s="61" t="s">
        <v>36</v>
      </c>
      <c r="D18" s="62" t="s">
        <v>391</v>
      </c>
      <c r="E18" s="61" t="s">
        <v>393</v>
      </c>
      <c r="F18" s="62" t="s">
        <v>396</v>
      </c>
      <c r="G18" s="63" t="s">
        <v>397</v>
      </c>
      <c r="H18" s="63" t="s">
        <v>399</v>
      </c>
      <c r="I18" s="63" t="s">
        <v>400</v>
      </c>
      <c r="J18" s="63" t="s">
        <v>403</v>
      </c>
      <c r="K18" s="15"/>
      <c r="L18" s="15"/>
      <c r="M18" s="15"/>
      <c r="N18" s="15"/>
      <c r="O18" s="15"/>
      <c r="P18" s="15"/>
      <c r="Q18" s="15"/>
      <c r="R18" s="15"/>
      <c r="S18" s="15"/>
      <c r="T18" s="15"/>
      <c r="U18" s="15"/>
      <c r="V18" s="15"/>
      <c r="W18" s="15"/>
      <c r="X18" s="15"/>
      <c r="Y18" s="15"/>
      <c r="Z18" s="15"/>
    </row>
    <row r="19">
      <c r="A19" s="61" t="s">
        <v>411</v>
      </c>
      <c r="B19" s="62" t="s">
        <v>413</v>
      </c>
      <c r="C19" s="61" t="s">
        <v>36</v>
      </c>
      <c r="D19" s="62" t="s">
        <v>415</v>
      </c>
      <c r="E19" s="61" t="s">
        <v>417</v>
      </c>
      <c r="F19" s="62" t="s">
        <v>420</v>
      </c>
      <c r="G19" s="63" t="s">
        <v>422</v>
      </c>
      <c r="H19" s="63" t="s">
        <v>423</v>
      </c>
      <c r="I19" s="63" t="s">
        <v>428</v>
      </c>
      <c r="J19" s="63" t="s">
        <v>429</v>
      </c>
      <c r="K19" s="15"/>
      <c r="L19" s="15"/>
      <c r="M19" s="15"/>
      <c r="N19" s="15"/>
      <c r="O19" s="15"/>
      <c r="P19" s="15"/>
      <c r="Q19" s="15"/>
      <c r="R19" s="15"/>
      <c r="S19" s="15"/>
      <c r="T19" s="15"/>
      <c r="U19" s="15"/>
      <c r="V19" s="15"/>
      <c r="W19" s="15"/>
      <c r="X19" s="15"/>
      <c r="Y19" s="15"/>
      <c r="Z19" s="15"/>
    </row>
    <row r="20" ht="58.5" customHeight="1">
      <c r="A20" s="61" t="s">
        <v>436</v>
      </c>
      <c r="B20" s="62" t="s">
        <v>438</v>
      </c>
      <c r="C20" s="61" t="s">
        <v>36</v>
      </c>
      <c r="D20" s="62" t="s">
        <v>440</v>
      </c>
      <c r="E20" s="61" t="s">
        <v>441</v>
      </c>
      <c r="F20" s="61" t="s">
        <v>445</v>
      </c>
      <c r="G20" s="63" t="s">
        <v>447</v>
      </c>
      <c r="H20" s="63" t="s">
        <v>448</v>
      </c>
      <c r="I20" s="63" t="s">
        <v>450</v>
      </c>
      <c r="J20" s="63" t="s">
        <v>453</v>
      </c>
      <c r="K20" s="15"/>
      <c r="L20" s="15"/>
      <c r="M20" s="15"/>
      <c r="N20" s="15"/>
      <c r="O20" s="15"/>
      <c r="P20" s="15"/>
      <c r="Q20" s="15"/>
      <c r="R20" s="15"/>
      <c r="S20" s="15"/>
      <c r="T20" s="15"/>
      <c r="U20" s="15"/>
      <c r="V20" s="15"/>
      <c r="W20" s="15"/>
      <c r="X20" s="15"/>
      <c r="Y20" s="15"/>
      <c r="Z20" s="15"/>
    </row>
    <row r="21" ht="58.5" customHeight="1">
      <c r="A21" s="56" t="s">
        <v>463</v>
      </c>
      <c r="B21" s="55" t="s">
        <v>464</v>
      </c>
      <c r="C21" s="56" t="s">
        <v>36</v>
      </c>
      <c r="D21" s="55" t="s">
        <v>466</v>
      </c>
      <c r="E21" s="56" t="s">
        <v>468</v>
      </c>
      <c r="F21" s="28" t="s">
        <v>470</v>
      </c>
      <c r="G21" s="56" t="s">
        <v>471</v>
      </c>
      <c r="H21" s="56" t="s">
        <v>472</v>
      </c>
      <c r="I21" s="56" t="s">
        <v>474</v>
      </c>
      <c r="J21" s="56" t="s">
        <v>476</v>
      </c>
      <c r="K21" s="15"/>
      <c r="L21" s="15"/>
      <c r="M21" s="15"/>
      <c r="N21" s="15"/>
      <c r="O21" s="15"/>
      <c r="P21" s="15"/>
      <c r="Q21" s="15"/>
      <c r="R21" s="15"/>
      <c r="S21" s="15"/>
      <c r="T21" s="15"/>
      <c r="U21" s="15"/>
      <c r="V21" s="15"/>
      <c r="W21" s="15"/>
      <c r="X21" s="15"/>
      <c r="Y21" s="15"/>
      <c r="Z21" s="15"/>
    </row>
    <row r="22" ht="31.5" customHeight="1">
      <c r="A22" s="18" t="s">
        <v>240</v>
      </c>
      <c r="B22" s="24" t="s">
        <v>478</v>
      </c>
      <c r="C22" s="18" t="s">
        <v>36</v>
      </c>
      <c r="D22" s="24" t="s">
        <v>479</v>
      </c>
      <c r="E22" s="18" t="s">
        <v>481</v>
      </c>
      <c r="F22" s="24" t="s">
        <v>482</v>
      </c>
      <c r="G22" s="18" t="s">
        <v>483</v>
      </c>
      <c r="H22" s="18" t="s">
        <v>472</v>
      </c>
      <c r="I22" s="24" t="s">
        <v>485</v>
      </c>
      <c r="J22" s="18" t="s">
        <v>486</v>
      </c>
      <c r="K22" s="15"/>
      <c r="L22" s="15"/>
      <c r="M22" s="15"/>
      <c r="N22" s="15"/>
      <c r="O22" s="15"/>
      <c r="P22" s="15"/>
      <c r="Q22" s="15"/>
      <c r="R22" s="15"/>
      <c r="S22" s="15"/>
      <c r="T22" s="15"/>
      <c r="U22" s="15"/>
      <c r="V22" s="15"/>
      <c r="W22" s="15"/>
      <c r="X22" s="15"/>
      <c r="Y22" s="15"/>
      <c r="Z22" s="15"/>
    </row>
    <row r="23" ht="31.5" customHeight="1">
      <c r="A23" s="46" t="s">
        <v>492</v>
      </c>
      <c r="B23" s="44" t="s">
        <v>493</v>
      </c>
      <c r="C23" s="46" t="s">
        <v>181</v>
      </c>
      <c r="D23" s="44" t="s">
        <v>495</v>
      </c>
      <c r="E23" s="46" t="s">
        <v>496</v>
      </c>
      <c r="F23" s="44" t="s">
        <v>497</v>
      </c>
      <c r="G23" s="44" t="s">
        <v>499</v>
      </c>
      <c r="H23" s="44" t="s">
        <v>501</v>
      </c>
      <c r="I23" s="44" t="s">
        <v>502</v>
      </c>
      <c r="J23" s="46" t="s">
        <v>504</v>
      </c>
      <c r="K23" s="15"/>
      <c r="L23" s="15"/>
      <c r="M23" s="15"/>
      <c r="N23" s="15"/>
      <c r="O23" s="15"/>
      <c r="P23" s="15"/>
      <c r="Q23" s="15"/>
      <c r="R23" s="15"/>
      <c r="S23" s="15"/>
      <c r="T23" s="15"/>
      <c r="U23" s="15"/>
      <c r="V23" s="15"/>
      <c r="W23" s="15"/>
      <c r="X23" s="15"/>
      <c r="Y23" s="15"/>
      <c r="Z23" s="15"/>
    </row>
    <row r="24" ht="31.5" customHeight="1">
      <c r="A24" s="46" t="s">
        <v>509</v>
      </c>
      <c r="B24" s="44" t="s">
        <v>512</v>
      </c>
      <c r="C24" s="46" t="s">
        <v>181</v>
      </c>
      <c r="D24" s="44" t="s">
        <v>514</v>
      </c>
      <c r="E24" s="44" t="s">
        <v>516</v>
      </c>
      <c r="F24" s="44" t="s">
        <v>518</v>
      </c>
      <c r="G24" s="46" t="s">
        <v>520</v>
      </c>
      <c r="H24" s="44" t="s">
        <v>522</v>
      </c>
      <c r="I24" s="44" t="s">
        <v>524</v>
      </c>
      <c r="J24" s="46" t="s">
        <v>526</v>
      </c>
      <c r="K24" s="15"/>
      <c r="L24" s="15"/>
      <c r="M24" s="15"/>
      <c r="N24" s="15"/>
      <c r="O24" s="15"/>
      <c r="P24" s="15"/>
      <c r="Q24" s="15"/>
      <c r="R24" s="15"/>
      <c r="S24" s="15"/>
      <c r="T24" s="15"/>
      <c r="U24" s="15"/>
      <c r="V24" s="15"/>
      <c r="W24" s="15"/>
      <c r="X24" s="15"/>
      <c r="Y24" s="15"/>
      <c r="Z24" s="15"/>
    </row>
    <row r="25" ht="31.5" customHeight="1">
      <c r="A25" s="46" t="s">
        <v>533</v>
      </c>
      <c r="B25" s="44" t="s">
        <v>535</v>
      </c>
      <c r="C25" s="46" t="s">
        <v>181</v>
      </c>
      <c r="D25" s="44" t="s">
        <v>538</v>
      </c>
      <c r="E25" s="44" t="s">
        <v>516</v>
      </c>
      <c r="F25" s="44" t="s">
        <v>540</v>
      </c>
      <c r="G25" s="46" t="s">
        <v>541</v>
      </c>
      <c r="H25" s="44" t="s">
        <v>543</v>
      </c>
      <c r="I25" s="44" t="s">
        <v>547</v>
      </c>
      <c r="J25" s="46" t="s">
        <v>549</v>
      </c>
      <c r="K25" s="15"/>
      <c r="L25" s="15"/>
      <c r="M25" s="15"/>
      <c r="N25" s="15"/>
      <c r="O25" s="15"/>
      <c r="P25" s="15"/>
      <c r="Q25" s="15"/>
      <c r="R25" s="15"/>
      <c r="S25" s="15"/>
      <c r="T25" s="15"/>
      <c r="U25" s="15"/>
      <c r="V25" s="15"/>
      <c r="W25" s="15"/>
      <c r="X25" s="15"/>
      <c r="Y25" s="15"/>
      <c r="Z25" s="15"/>
    </row>
    <row r="26" ht="45.0" customHeight="1">
      <c r="A26" s="18" t="s">
        <v>556</v>
      </c>
      <c r="B26" s="24" t="s">
        <v>558</v>
      </c>
      <c r="C26" s="18" t="s">
        <v>181</v>
      </c>
      <c r="D26" s="24" t="s">
        <v>560</v>
      </c>
      <c r="E26" s="24" t="s">
        <v>516</v>
      </c>
      <c r="F26" s="32" t="s">
        <v>562</v>
      </c>
      <c r="G26" s="18" t="s">
        <v>565</v>
      </c>
      <c r="H26" s="18" t="s">
        <v>472</v>
      </c>
      <c r="I26" s="18" t="s">
        <v>568</v>
      </c>
      <c r="J26" s="18" t="s">
        <v>570</v>
      </c>
      <c r="K26" s="15"/>
      <c r="L26" s="15"/>
      <c r="M26" s="15"/>
      <c r="N26" s="15"/>
      <c r="O26" s="15"/>
      <c r="P26" s="15"/>
      <c r="Q26" s="15"/>
      <c r="R26" s="15"/>
      <c r="S26" s="15"/>
      <c r="T26" s="15"/>
      <c r="U26" s="15"/>
      <c r="V26" s="15"/>
      <c r="W26" s="15"/>
      <c r="X26" s="15"/>
      <c r="Y26" s="15"/>
      <c r="Z26" s="15"/>
    </row>
    <row r="27" ht="31.5" customHeight="1">
      <c r="A27" s="46" t="s">
        <v>452</v>
      </c>
      <c r="B27" s="44" t="s">
        <v>579</v>
      </c>
      <c r="C27" s="46" t="s">
        <v>181</v>
      </c>
      <c r="D27" s="44" t="s">
        <v>582</v>
      </c>
      <c r="E27" s="44" t="s">
        <v>516</v>
      </c>
      <c r="F27" s="44" t="s">
        <v>584</v>
      </c>
      <c r="G27" s="46" t="s">
        <v>586</v>
      </c>
      <c r="H27" s="46" t="s">
        <v>472</v>
      </c>
      <c r="I27" s="44" t="s">
        <v>587</v>
      </c>
      <c r="J27" s="46" t="s">
        <v>590</v>
      </c>
      <c r="K27" s="15"/>
      <c r="L27" s="15"/>
      <c r="M27" s="15"/>
      <c r="N27" s="15"/>
      <c r="O27" s="15"/>
      <c r="P27" s="15"/>
      <c r="Q27" s="15"/>
      <c r="R27" s="15"/>
      <c r="S27" s="15"/>
      <c r="T27" s="15"/>
      <c r="U27" s="15"/>
      <c r="V27" s="15"/>
      <c r="W27" s="15"/>
      <c r="X27" s="15"/>
      <c r="Y27" s="15"/>
      <c r="Z27" s="15"/>
    </row>
    <row r="28" ht="31.5" customHeight="1">
      <c r="A28" s="46" t="s">
        <v>596</v>
      </c>
      <c r="B28" s="44" t="s">
        <v>598</v>
      </c>
      <c r="C28" s="46" t="s">
        <v>181</v>
      </c>
      <c r="D28" s="44" t="s">
        <v>600</v>
      </c>
      <c r="E28" s="44" t="s">
        <v>516</v>
      </c>
      <c r="F28" s="44" t="s">
        <v>602</v>
      </c>
      <c r="G28" s="46" t="s">
        <v>604</v>
      </c>
      <c r="H28" s="44" t="s">
        <v>605</v>
      </c>
      <c r="I28" s="44" t="s">
        <v>607</v>
      </c>
      <c r="J28" s="46" t="s">
        <v>609</v>
      </c>
      <c r="K28" s="15"/>
      <c r="L28" s="15"/>
      <c r="M28" s="15"/>
      <c r="N28" s="15"/>
      <c r="O28" s="15"/>
      <c r="P28" s="15"/>
      <c r="Q28" s="15"/>
      <c r="R28" s="15"/>
      <c r="S28" s="15"/>
      <c r="T28" s="15"/>
      <c r="U28" s="15"/>
      <c r="V28" s="15"/>
      <c r="W28" s="15"/>
      <c r="X28" s="15"/>
      <c r="Y28" s="15"/>
      <c r="Z28" s="15"/>
    </row>
    <row r="29" ht="17.25" customHeight="1">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row>
    <row r="30" ht="100.5" customHeight="1">
      <c r="A30" s="76" t="s">
        <v>629</v>
      </c>
      <c r="B30" s="15"/>
      <c r="C30" s="15"/>
      <c r="D30" s="15"/>
      <c r="E30" s="15"/>
      <c r="F30" s="15"/>
      <c r="G30" s="15"/>
      <c r="H30" s="15"/>
      <c r="I30" s="15"/>
      <c r="J30" s="15"/>
      <c r="K30" s="15"/>
      <c r="L30" s="15"/>
      <c r="M30" s="15"/>
      <c r="N30" s="15"/>
      <c r="O30" s="15"/>
      <c r="P30" s="15"/>
      <c r="Q30" s="15"/>
      <c r="R30" s="15"/>
      <c r="S30" s="15"/>
      <c r="T30" s="15"/>
      <c r="U30" s="15"/>
      <c r="V30" s="15"/>
      <c r="W30" s="15"/>
      <c r="X30" s="15"/>
      <c r="Y30" s="15"/>
      <c r="Z30" s="15"/>
    </row>
    <row r="31" ht="17.25" customHeight="1">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row>
    <row r="32" ht="196.5" customHeight="1">
      <c r="A32" s="61" t="s">
        <v>655</v>
      </c>
      <c r="B32" s="61"/>
      <c r="C32" s="61"/>
      <c r="D32" s="61"/>
      <c r="E32" s="61"/>
      <c r="F32" s="61"/>
      <c r="G32" s="61"/>
      <c r="H32" s="61"/>
      <c r="I32" s="61"/>
      <c r="J32" s="61"/>
      <c r="K32" s="15"/>
      <c r="L32" s="15"/>
      <c r="M32" s="15"/>
      <c r="N32" s="15"/>
      <c r="O32" s="15"/>
      <c r="P32" s="15"/>
      <c r="Q32" s="15"/>
      <c r="R32" s="15"/>
      <c r="S32" s="15"/>
      <c r="T32" s="15"/>
      <c r="U32" s="15"/>
      <c r="V32" s="15"/>
      <c r="W32" s="15"/>
      <c r="X32" s="15"/>
      <c r="Y32" s="15"/>
      <c r="Z32" s="15"/>
    </row>
    <row r="33" ht="321.0" customHeight="1">
      <c r="A33" s="61" t="s">
        <v>661</v>
      </c>
      <c r="B33" s="61"/>
      <c r="C33" s="61"/>
      <c r="D33" s="61"/>
      <c r="E33" s="61"/>
      <c r="F33" s="61"/>
      <c r="G33" s="61"/>
      <c r="H33" s="61"/>
      <c r="I33" s="61"/>
      <c r="J33" s="61"/>
      <c r="K33" s="15"/>
      <c r="L33" s="15"/>
      <c r="M33" s="15"/>
      <c r="N33" s="15"/>
      <c r="O33" s="15"/>
      <c r="P33" s="15"/>
      <c r="Q33" s="15"/>
      <c r="R33" s="15"/>
      <c r="S33" s="15"/>
      <c r="T33" s="15"/>
      <c r="U33" s="15"/>
      <c r="V33" s="15"/>
      <c r="W33" s="15"/>
      <c r="X33" s="15"/>
      <c r="Y33" s="15"/>
      <c r="Z33" s="15"/>
    </row>
    <row r="34" ht="252.0" customHeight="1">
      <c r="A34" s="62" t="s">
        <v>672</v>
      </c>
      <c r="B34" s="61"/>
      <c r="C34" s="61"/>
      <c r="D34" s="61"/>
      <c r="E34" s="61"/>
      <c r="F34" s="61"/>
      <c r="G34" s="61"/>
      <c r="H34" s="61"/>
      <c r="I34" s="61"/>
      <c r="J34" s="61"/>
      <c r="K34" s="15"/>
      <c r="L34" s="15"/>
      <c r="M34" s="15"/>
      <c r="N34" s="15"/>
      <c r="O34" s="15"/>
      <c r="P34" s="15"/>
      <c r="Q34" s="15"/>
      <c r="R34" s="15"/>
      <c r="S34" s="15"/>
      <c r="T34" s="15"/>
      <c r="U34" s="15"/>
      <c r="V34" s="15"/>
      <c r="W34" s="15"/>
      <c r="X34" s="15"/>
      <c r="Y34" s="15"/>
      <c r="Z34" s="15"/>
    </row>
    <row r="35" ht="238.5" customHeight="1">
      <c r="A35" s="62" t="s">
        <v>683</v>
      </c>
      <c r="B35" s="61"/>
      <c r="C35" s="61"/>
      <c r="D35" s="61"/>
      <c r="E35" s="61"/>
      <c r="F35" s="61"/>
      <c r="G35" s="61"/>
      <c r="H35" s="61"/>
      <c r="I35" s="61"/>
      <c r="J35" s="61"/>
      <c r="K35" s="15"/>
      <c r="L35" s="15"/>
      <c r="M35" s="15"/>
      <c r="N35" s="15"/>
      <c r="O35" s="15"/>
      <c r="P35" s="15"/>
      <c r="Q35" s="15"/>
      <c r="R35" s="15"/>
      <c r="S35" s="15"/>
      <c r="T35" s="15"/>
      <c r="U35" s="15"/>
      <c r="V35" s="15"/>
      <c r="W35" s="15"/>
      <c r="X35" s="15"/>
      <c r="Y35" s="15"/>
      <c r="Z35" s="15"/>
    </row>
    <row r="36" ht="15.75" customHeight="1">
      <c r="A36" s="84"/>
      <c r="B36" s="84"/>
      <c r="C36" s="84"/>
      <c r="D36" s="84"/>
      <c r="E36" s="84"/>
      <c r="F36" s="84"/>
      <c r="G36" s="84"/>
      <c r="H36" s="84"/>
      <c r="I36" s="84"/>
      <c r="J36" s="84"/>
      <c r="K36" s="84"/>
      <c r="L36" s="84"/>
      <c r="M36" s="84"/>
      <c r="N36" s="84"/>
      <c r="O36" s="84"/>
      <c r="P36" s="84"/>
      <c r="Q36" s="84"/>
      <c r="R36" s="84"/>
      <c r="S36" s="84"/>
      <c r="T36" s="84"/>
      <c r="U36" s="84"/>
      <c r="V36" s="84"/>
      <c r="W36" s="84"/>
      <c r="X36" s="84"/>
      <c r="Y36" s="84"/>
      <c r="Z36" s="84"/>
    </row>
    <row r="37" ht="15.75" customHeight="1">
      <c r="A37" s="84"/>
      <c r="B37" s="84"/>
      <c r="C37" s="84"/>
      <c r="D37" s="84"/>
      <c r="E37" s="84"/>
      <c r="F37" s="84"/>
      <c r="G37" s="84"/>
      <c r="H37" s="84"/>
      <c r="I37" s="84"/>
      <c r="J37" s="84"/>
      <c r="K37" s="84"/>
      <c r="L37" s="84"/>
      <c r="M37" s="84"/>
      <c r="N37" s="84"/>
      <c r="O37" s="84"/>
      <c r="P37" s="84"/>
      <c r="Q37" s="84"/>
      <c r="R37" s="84"/>
      <c r="S37" s="84"/>
      <c r="T37" s="84"/>
      <c r="U37" s="84"/>
      <c r="V37" s="84"/>
      <c r="W37" s="84"/>
      <c r="X37" s="84"/>
      <c r="Y37" s="84"/>
      <c r="Z37" s="84"/>
    </row>
    <row r="38" ht="15.75" customHeight="1">
      <c r="A38" s="84"/>
      <c r="B38" s="84"/>
      <c r="C38" s="84"/>
      <c r="D38" s="84"/>
      <c r="E38" s="84"/>
      <c r="F38" s="84"/>
      <c r="G38" s="84"/>
      <c r="H38" s="84"/>
      <c r="I38" s="84"/>
      <c r="J38" s="84"/>
      <c r="K38" s="84"/>
      <c r="L38" s="84"/>
      <c r="M38" s="84"/>
      <c r="N38" s="84"/>
      <c r="O38" s="84"/>
      <c r="P38" s="84"/>
      <c r="Q38" s="84"/>
      <c r="R38" s="84"/>
      <c r="S38" s="84"/>
      <c r="T38" s="84"/>
      <c r="U38" s="84"/>
      <c r="V38" s="84"/>
      <c r="W38" s="84"/>
      <c r="X38" s="84"/>
      <c r="Y38" s="84"/>
      <c r="Z38" s="84"/>
    </row>
    <row r="39" ht="15.75" customHeight="1">
      <c r="A39" s="84"/>
      <c r="B39" s="84"/>
      <c r="C39" s="84"/>
      <c r="D39" s="84"/>
      <c r="E39" s="84"/>
      <c r="F39" s="84"/>
      <c r="G39" s="84"/>
      <c r="H39" s="84"/>
      <c r="I39" s="84"/>
      <c r="J39" s="84"/>
      <c r="K39" s="84"/>
      <c r="L39" s="84"/>
      <c r="M39" s="84"/>
      <c r="N39" s="84"/>
      <c r="O39" s="84"/>
      <c r="P39" s="84"/>
      <c r="Q39" s="84"/>
      <c r="R39" s="84"/>
      <c r="S39" s="84"/>
      <c r="T39" s="84"/>
      <c r="U39" s="84"/>
      <c r="V39" s="84"/>
      <c r="W39" s="84"/>
      <c r="X39" s="84"/>
      <c r="Y39" s="84"/>
      <c r="Z39" s="84"/>
    </row>
    <row r="40" ht="15.75" customHeight="1">
      <c r="A40" s="84"/>
      <c r="B40" s="84"/>
      <c r="C40" s="84"/>
      <c r="D40" s="84"/>
      <c r="E40" s="84"/>
      <c r="F40" s="84"/>
      <c r="G40" s="84"/>
      <c r="H40" s="84"/>
      <c r="I40" s="84"/>
      <c r="J40" s="84"/>
      <c r="K40" s="84"/>
      <c r="L40" s="84"/>
      <c r="M40" s="84"/>
      <c r="N40" s="84"/>
      <c r="O40" s="84"/>
      <c r="P40" s="84"/>
      <c r="Q40" s="84"/>
      <c r="R40" s="84"/>
      <c r="S40" s="84"/>
      <c r="T40" s="84"/>
      <c r="U40" s="84"/>
      <c r="V40" s="84"/>
      <c r="W40" s="84"/>
      <c r="X40" s="84"/>
      <c r="Y40" s="84"/>
      <c r="Z40" s="84"/>
    </row>
    <row r="41" ht="15.75" customHeight="1">
      <c r="A41" s="84"/>
      <c r="B41" s="84"/>
      <c r="C41" s="84"/>
      <c r="D41" s="84"/>
      <c r="E41" s="84"/>
      <c r="F41" s="84"/>
      <c r="G41" s="84"/>
      <c r="H41" s="84"/>
      <c r="I41" s="84"/>
      <c r="J41" s="84"/>
      <c r="K41" s="84"/>
      <c r="L41" s="84"/>
      <c r="M41" s="84"/>
      <c r="N41" s="84"/>
      <c r="O41" s="84"/>
      <c r="P41" s="84"/>
      <c r="Q41" s="84"/>
      <c r="R41" s="84"/>
      <c r="S41" s="84"/>
      <c r="T41" s="84"/>
      <c r="U41" s="84"/>
      <c r="V41" s="84"/>
      <c r="W41" s="84"/>
      <c r="X41" s="84"/>
      <c r="Y41" s="84"/>
      <c r="Z41" s="84"/>
    </row>
    <row r="42" ht="15.75" customHeight="1">
      <c r="A42" s="84"/>
      <c r="B42" s="84"/>
      <c r="C42" s="84"/>
      <c r="D42" s="84"/>
      <c r="E42" s="84"/>
      <c r="F42" s="84"/>
      <c r="G42" s="84"/>
      <c r="H42" s="84"/>
      <c r="I42" s="84"/>
      <c r="J42" s="84"/>
      <c r="K42" s="84"/>
      <c r="L42" s="84"/>
      <c r="M42" s="84"/>
      <c r="N42" s="84"/>
      <c r="O42" s="84"/>
      <c r="P42" s="84"/>
      <c r="Q42" s="84"/>
      <c r="R42" s="84"/>
      <c r="S42" s="84"/>
      <c r="T42" s="84"/>
      <c r="U42" s="84"/>
      <c r="V42" s="84"/>
      <c r="W42" s="84"/>
      <c r="X42" s="84"/>
      <c r="Y42" s="84"/>
      <c r="Z42" s="84"/>
    </row>
    <row r="43" ht="15.75" customHeight="1">
      <c r="A43" s="84"/>
      <c r="B43" s="84"/>
      <c r="C43" s="84"/>
      <c r="D43" s="84"/>
      <c r="E43" s="84"/>
      <c r="F43" s="84"/>
      <c r="G43" s="84"/>
      <c r="H43" s="84"/>
      <c r="I43" s="84"/>
      <c r="J43" s="84"/>
      <c r="K43" s="84"/>
      <c r="L43" s="84"/>
      <c r="M43" s="84"/>
      <c r="N43" s="84"/>
      <c r="O43" s="84"/>
      <c r="P43" s="84"/>
      <c r="Q43" s="84"/>
      <c r="R43" s="84"/>
      <c r="S43" s="84"/>
      <c r="T43" s="84"/>
      <c r="U43" s="84"/>
      <c r="V43" s="84"/>
      <c r="W43" s="84"/>
      <c r="X43" s="84"/>
      <c r="Y43" s="84"/>
      <c r="Z43" s="84"/>
    </row>
    <row r="44" ht="15.75" customHeight="1">
      <c r="A44" s="84"/>
      <c r="B44" s="84"/>
      <c r="C44" s="84"/>
      <c r="D44" s="84"/>
      <c r="E44" s="84"/>
      <c r="F44" s="84"/>
      <c r="G44" s="84"/>
      <c r="H44" s="84"/>
      <c r="I44" s="84"/>
      <c r="J44" s="84"/>
      <c r="K44" s="84"/>
      <c r="L44" s="84"/>
      <c r="M44" s="84"/>
      <c r="N44" s="84"/>
      <c r="O44" s="84"/>
      <c r="P44" s="84"/>
      <c r="Q44" s="84"/>
      <c r="R44" s="84"/>
      <c r="S44" s="84"/>
      <c r="T44" s="84"/>
      <c r="U44" s="84"/>
      <c r="V44" s="84"/>
      <c r="W44" s="84"/>
      <c r="X44" s="84"/>
      <c r="Y44" s="84"/>
      <c r="Z44" s="84"/>
    </row>
    <row r="45" ht="15.75" customHeight="1">
      <c r="A45" s="84"/>
      <c r="B45" s="84"/>
      <c r="C45" s="84"/>
      <c r="D45" s="84"/>
      <c r="E45" s="84"/>
      <c r="F45" s="84"/>
      <c r="G45" s="84"/>
      <c r="H45" s="84"/>
      <c r="I45" s="84"/>
      <c r="J45" s="84"/>
      <c r="K45" s="84"/>
      <c r="L45" s="84"/>
      <c r="M45" s="84"/>
      <c r="N45" s="84"/>
      <c r="O45" s="84"/>
      <c r="P45" s="84"/>
      <c r="Q45" s="84"/>
      <c r="R45" s="84"/>
      <c r="S45" s="84"/>
      <c r="T45" s="84"/>
      <c r="U45" s="84"/>
      <c r="V45" s="84"/>
      <c r="W45" s="84"/>
      <c r="X45" s="84"/>
      <c r="Y45" s="84"/>
      <c r="Z45" s="84"/>
    </row>
    <row r="46" ht="15.75" customHeight="1">
      <c r="A46" s="84"/>
      <c r="B46" s="84"/>
      <c r="C46" s="84"/>
      <c r="D46" s="84"/>
      <c r="E46" s="84"/>
      <c r="F46" s="84"/>
      <c r="G46" s="84"/>
      <c r="H46" s="84"/>
      <c r="I46" s="84"/>
      <c r="J46" s="84"/>
      <c r="K46" s="84"/>
      <c r="L46" s="84"/>
      <c r="M46" s="84"/>
      <c r="N46" s="84"/>
      <c r="O46" s="84"/>
      <c r="P46" s="84"/>
      <c r="Q46" s="84"/>
      <c r="R46" s="84"/>
      <c r="S46" s="84"/>
      <c r="T46" s="84"/>
      <c r="U46" s="84"/>
      <c r="V46" s="84"/>
      <c r="W46" s="84"/>
      <c r="X46" s="84"/>
      <c r="Y46" s="84"/>
      <c r="Z46" s="84"/>
    </row>
    <row r="47" ht="15.75" customHeight="1">
      <c r="A47" s="84"/>
      <c r="B47" s="84"/>
      <c r="C47" s="84"/>
      <c r="D47" s="84"/>
      <c r="E47" s="84"/>
      <c r="F47" s="84"/>
      <c r="G47" s="84"/>
      <c r="H47" s="84"/>
      <c r="I47" s="84"/>
      <c r="J47" s="84"/>
      <c r="K47" s="84"/>
      <c r="L47" s="84"/>
      <c r="M47" s="84"/>
      <c r="N47" s="84"/>
      <c r="O47" s="84"/>
      <c r="P47" s="84"/>
      <c r="Q47" s="84"/>
      <c r="R47" s="84"/>
      <c r="S47" s="84"/>
      <c r="T47" s="84"/>
      <c r="U47" s="84"/>
      <c r="V47" s="84"/>
      <c r="W47" s="84"/>
      <c r="X47" s="84"/>
      <c r="Y47" s="84"/>
      <c r="Z47" s="84"/>
    </row>
    <row r="48" ht="15.75" customHeight="1">
      <c r="A48" s="84"/>
      <c r="B48" s="84"/>
      <c r="C48" s="84"/>
      <c r="D48" s="84"/>
      <c r="E48" s="84"/>
      <c r="F48" s="84"/>
      <c r="G48" s="84"/>
      <c r="H48" s="84"/>
      <c r="I48" s="84"/>
      <c r="J48" s="84"/>
      <c r="K48" s="84"/>
      <c r="L48" s="84"/>
      <c r="M48" s="84"/>
      <c r="N48" s="84"/>
      <c r="O48" s="84"/>
      <c r="P48" s="84"/>
      <c r="Q48" s="84"/>
      <c r="R48" s="84"/>
      <c r="S48" s="84"/>
      <c r="T48" s="84"/>
      <c r="U48" s="84"/>
      <c r="V48" s="84"/>
      <c r="W48" s="84"/>
      <c r="X48" s="84"/>
      <c r="Y48" s="84"/>
      <c r="Z48" s="84"/>
    </row>
    <row r="49" ht="15.75" customHeight="1">
      <c r="A49" s="84"/>
      <c r="B49" s="84"/>
      <c r="C49" s="84"/>
      <c r="D49" s="84"/>
      <c r="E49" s="84"/>
      <c r="F49" s="84"/>
      <c r="G49" s="84"/>
      <c r="H49" s="84"/>
      <c r="I49" s="84"/>
      <c r="J49" s="84"/>
      <c r="K49" s="84"/>
      <c r="L49" s="84"/>
      <c r="M49" s="84"/>
      <c r="N49" s="84"/>
      <c r="O49" s="84"/>
      <c r="P49" s="84"/>
      <c r="Q49" s="84"/>
      <c r="R49" s="84"/>
      <c r="S49" s="84"/>
      <c r="T49" s="84"/>
      <c r="U49" s="84"/>
      <c r="V49" s="84"/>
      <c r="W49" s="84"/>
      <c r="X49" s="84"/>
      <c r="Y49" s="84"/>
      <c r="Z49" s="84"/>
    </row>
    <row r="50" ht="15.75" customHeight="1">
      <c r="A50" s="84"/>
      <c r="B50" s="84"/>
      <c r="C50" s="84"/>
      <c r="D50" s="84"/>
      <c r="E50" s="84"/>
      <c r="F50" s="84"/>
      <c r="G50" s="84"/>
      <c r="H50" s="84"/>
      <c r="I50" s="84"/>
      <c r="J50" s="84"/>
      <c r="K50" s="84"/>
      <c r="L50" s="84"/>
      <c r="M50" s="84"/>
      <c r="N50" s="84"/>
      <c r="O50" s="84"/>
      <c r="P50" s="84"/>
      <c r="Q50" s="84"/>
      <c r="R50" s="84"/>
      <c r="S50" s="84"/>
      <c r="T50" s="84"/>
      <c r="U50" s="84"/>
      <c r="V50" s="84"/>
      <c r="W50" s="84"/>
      <c r="X50" s="84"/>
      <c r="Y50" s="84"/>
      <c r="Z50" s="84"/>
    </row>
    <row r="51" ht="15.75" customHeight="1">
      <c r="A51" s="84"/>
      <c r="B51" s="84"/>
      <c r="C51" s="84"/>
      <c r="D51" s="84"/>
      <c r="E51" s="84"/>
      <c r="F51" s="84"/>
      <c r="G51" s="84"/>
      <c r="H51" s="84"/>
      <c r="I51" s="84"/>
      <c r="J51" s="84"/>
      <c r="K51" s="84"/>
      <c r="L51" s="84"/>
      <c r="M51" s="84"/>
      <c r="N51" s="84"/>
      <c r="O51" s="84"/>
      <c r="P51" s="84"/>
      <c r="Q51" s="84"/>
      <c r="R51" s="84"/>
      <c r="S51" s="84"/>
      <c r="T51" s="84"/>
      <c r="U51" s="84"/>
      <c r="V51" s="84"/>
      <c r="W51" s="84"/>
      <c r="X51" s="84"/>
      <c r="Y51" s="84"/>
      <c r="Z51" s="84"/>
    </row>
    <row r="52" ht="15.75" customHeight="1">
      <c r="A52" s="84"/>
      <c r="B52" s="84"/>
      <c r="C52" s="84"/>
      <c r="D52" s="84"/>
      <c r="E52" s="84"/>
      <c r="F52" s="84"/>
      <c r="G52" s="84"/>
      <c r="H52" s="84"/>
      <c r="I52" s="84"/>
      <c r="J52" s="84"/>
      <c r="K52" s="84"/>
      <c r="L52" s="84"/>
      <c r="M52" s="84"/>
      <c r="N52" s="84"/>
      <c r="O52" s="84"/>
      <c r="P52" s="84"/>
      <c r="Q52" s="84"/>
      <c r="R52" s="84"/>
      <c r="S52" s="84"/>
      <c r="T52" s="84"/>
      <c r="U52" s="84"/>
      <c r="V52" s="84"/>
      <c r="W52" s="84"/>
      <c r="X52" s="84"/>
      <c r="Y52" s="84"/>
      <c r="Z52" s="84"/>
    </row>
    <row r="53" ht="15.75" customHeight="1">
      <c r="A53" s="84"/>
      <c r="B53" s="84"/>
      <c r="C53" s="84"/>
      <c r="D53" s="84"/>
      <c r="E53" s="84"/>
      <c r="F53" s="84"/>
      <c r="G53" s="84"/>
      <c r="H53" s="84"/>
      <c r="I53" s="84"/>
      <c r="J53" s="84"/>
      <c r="K53" s="84"/>
      <c r="L53" s="84"/>
      <c r="M53" s="84"/>
      <c r="N53" s="84"/>
      <c r="O53" s="84"/>
      <c r="P53" s="84"/>
      <c r="Q53" s="84"/>
      <c r="R53" s="84"/>
      <c r="S53" s="84"/>
      <c r="T53" s="84"/>
      <c r="U53" s="84"/>
      <c r="V53" s="84"/>
      <c r="W53" s="84"/>
      <c r="X53" s="84"/>
      <c r="Y53" s="84"/>
      <c r="Z53" s="84"/>
    </row>
    <row r="54" ht="15.75" customHeight="1">
      <c r="A54" s="84"/>
      <c r="B54" s="84"/>
      <c r="C54" s="84"/>
      <c r="D54" s="84"/>
      <c r="E54" s="84"/>
      <c r="F54" s="84"/>
      <c r="G54" s="84"/>
      <c r="H54" s="84"/>
      <c r="I54" s="84"/>
      <c r="J54" s="84"/>
      <c r="K54" s="84"/>
      <c r="L54" s="84"/>
      <c r="M54" s="84"/>
      <c r="N54" s="84"/>
      <c r="O54" s="84"/>
      <c r="P54" s="84"/>
      <c r="Q54" s="84"/>
      <c r="R54" s="84"/>
      <c r="S54" s="84"/>
      <c r="T54" s="84"/>
      <c r="U54" s="84"/>
      <c r="V54" s="84"/>
      <c r="W54" s="84"/>
      <c r="X54" s="84"/>
      <c r="Y54" s="84"/>
      <c r="Z54" s="84"/>
    </row>
    <row r="55" ht="15.75" customHeight="1">
      <c r="A55" s="84"/>
      <c r="B55" s="84"/>
      <c r="C55" s="84"/>
      <c r="D55" s="84"/>
      <c r="E55" s="84"/>
      <c r="F55" s="84"/>
      <c r="G55" s="84"/>
      <c r="H55" s="84"/>
      <c r="I55" s="84"/>
      <c r="J55" s="84"/>
      <c r="K55" s="84"/>
      <c r="L55" s="84"/>
      <c r="M55" s="84"/>
      <c r="N55" s="84"/>
      <c r="O55" s="84"/>
      <c r="P55" s="84"/>
      <c r="Q55" s="84"/>
      <c r="R55" s="84"/>
      <c r="S55" s="84"/>
      <c r="T55" s="84"/>
      <c r="U55" s="84"/>
      <c r="V55" s="84"/>
      <c r="W55" s="84"/>
      <c r="X55" s="84"/>
      <c r="Y55" s="84"/>
      <c r="Z55" s="84"/>
    </row>
    <row r="56" ht="15.75" customHeight="1">
      <c r="A56" s="84"/>
      <c r="B56" s="84"/>
      <c r="C56" s="84"/>
      <c r="D56" s="84"/>
      <c r="E56" s="84"/>
      <c r="F56" s="84"/>
      <c r="G56" s="84"/>
      <c r="H56" s="84"/>
      <c r="I56" s="84"/>
      <c r="J56" s="84"/>
      <c r="K56" s="84"/>
      <c r="L56" s="84"/>
      <c r="M56" s="84"/>
      <c r="N56" s="84"/>
      <c r="O56" s="84"/>
      <c r="P56" s="84"/>
      <c r="Q56" s="84"/>
      <c r="R56" s="84"/>
      <c r="S56" s="84"/>
      <c r="T56" s="84"/>
      <c r="U56" s="84"/>
      <c r="V56" s="84"/>
      <c r="W56" s="84"/>
      <c r="X56" s="84"/>
      <c r="Y56" s="84"/>
      <c r="Z56" s="84"/>
    </row>
    <row r="57" ht="15.75" customHeight="1">
      <c r="A57" s="84"/>
      <c r="B57" s="84"/>
      <c r="C57" s="84"/>
      <c r="D57" s="84"/>
      <c r="E57" s="84"/>
      <c r="F57" s="84"/>
      <c r="G57" s="84"/>
      <c r="H57" s="84"/>
      <c r="I57" s="84"/>
      <c r="J57" s="84"/>
      <c r="K57" s="84"/>
      <c r="L57" s="84"/>
      <c r="M57" s="84"/>
      <c r="N57" s="84"/>
      <c r="O57" s="84"/>
      <c r="P57" s="84"/>
      <c r="Q57" s="84"/>
      <c r="R57" s="84"/>
      <c r="S57" s="84"/>
      <c r="T57" s="84"/>
      <c r="U57" s="84"/>
      <c r="V57" s="84"/>
      <c r="W57" s="84"/>
      <c r="X57" s="84"/>
      <c r="Y57" s="84"/>
      <c r="Z57" s="84"/>
    </row>
    <row r="58" ht="15.75" customHeight="1">
      <c r="A58" s="84"/>
      <c r="B58" s="84"/>
      <c r="C58" s="84"/>
      <c r="D58" s="84"/>
      <c r="E58" s="84"/>
      <c r="F58" s="84"/>
      <c r="G58" s="84"/>
      <c r="H58" s="84"/>
      <c r="I58" s="84"/>
      <c r="J58" s="84"/>
      <c r="K58" s="84"/>
      <c r="L58" s="84"/>
      <c r="M58" s="84"/>
      <c r="N58" s="84"/>
      <c r="O58" s="84"/>
      <c r="P58" s="84"/>
      <c r="Q58" s="84"/>
      <c r="R58" s="84"/>
      <c r="S58" s="84"/>
      <c r="T58" s="84"/>
      <c r="U58" s="84"/>
      <c r="V58" s="84"/>
      <c r="W58" s="84"/>
      <c r="X58" s="84"/>
      <c r="Y58" s="84"/>
      <c r="Z58" s="84"/>
    </row>
    <row r="59" ht="15.75" customHeight="1">
      <c r="A59" s="84"/>
      <c r="B59" s="84"/>
      <c r="C59" s="84"/>
      <c r="D59" s="84"/>
      <c r="E59" s="84"/>
      <c r="F59" s="84"/>
      <c r="G59" s="84"/>
      <c r="H59" s="84"/>
      <c r="I59" s="84"/>
      <c r="J59" s="84"/>
      <c r="K59" s="84"/>
      <c r="L59" s="84"/>
      <c r="M59" s="84"/>
      <c r="N59" s="84"/>
      <c r="O59" s="84"/>
      <c r="P59" s="84"/>
      <c r="Q59" s="84"/>
      <c r="R59" s="84"/>
      <c r="S59" s="84"/>
      <c r="T59" s="84"/>
      <c r="U59" s="84"/>
      <c r="V59" s="84"/>
      <c r="W59" s="84"/>
      <c r="X59" s="84"/>
      <c r="Y59" s="84"/>
      <c r="Z59" s="84"/>
    </row>
    <row r="60" ht="15.75" customHeight="1">
      <c r="A60" s="84"/>
      <c r="B60" s="84"/>
      <c r="C60" s="84"/>
      <c r="D60" s="84"/>
      <c r="E60" s="84"/>
      <c r="F60" s="84"/>
      <c r="G60" s="84"/>
      <c r="H60" s="84"/>
      <c r="I60" s="84"/>
      <c r="J60" s="84"/>
      <c r="K60" s="84"/>
      <c r="L60" s="84"/>
      <c r="M60" s="84"/>
      <c r="N60" s="84"/>
      <c r="O60" s="84"/>
      <c r="P60" s="84"/>
      <c r="Q60" s="84"/>
      <c r="R60" s="84"/>
      <c r="S60" s="84"/>
      <c r="T60" s="84"/>
      <c r="U60" s="84"/>
      <c r="V60" s="84"/>
      <c r="W60" s="84"/>
      <c r="X60" s="84"/>
      <c r="Y60" s="84"/>
      <c r="Z60" s="84"/>
    </row>
    <row r="61" ht="15.75" customHeight="1">
      <c r="A61" s="84"/>
      <c r="B61" s="84"/>
      <c r="C61" s="84"/>
      <c r="D61" s="84"/>
      <c r="E61" s="84"/>
      <c r="F61" s="84"/>
      <c r="G61" s="84"/>
      <c r="H61" s="84"/>
      <c r="I61" s="84"/>
      <c r="J61" s="84"/>
      <c r="K61" s="84"/>
      <c r="L61" s="84"/>
      <c r="M61" s="84"/>
      <c r="N61" s="84"/>
      <c r="O61" s="84"/>
      <c r="P61" s="84"/>
      <c r="Q61" s="84"/>
      <c r="R61" s="84"/>
      <c r="S61" s="84"/>
      <c r="T61" s="84"/>
      <c r="U61" s="84"/>
      <c r="V61" s="84"/>
      <c r="W61" s="84"/>
      <c r="X61" s="84"/>
      <c r="Y61" s="84"/>
      <c r="Z61" s="84"/>
    </row>
    <row r="62" ht="15.75" customHeight="1">
      <c r="A62" s="84"/>
      <c r="B62" s="84"/>
      <c r="C62" s="84"/>
      <c r="D62" s="84"/>
      <c r="E62" s="84"/>
      <c r="F62" s="84"/>
      <c r="G62" s="84"/>
      <c r="H62" s="84"/>
      <c r="I62" s="84"/>
      <c r="J62" s="84"/>
      <c r="K62" s="84"/>
      <c r="L62" s="84"/>
      <c r="M62" s="84"/>
      <c r="N62" s="84"/>
      <c r="O62" s="84"/>
      <c r="P62" s="84"/>
      <c r="Q62" s="84"/>
      <c r="R62" s="84"/>
      <c r="S62" s="84"/>
      <c r="T62" s="84"/>
      <c r="U62" s="84"/>
      <c r="V62" s="84"/>
      <c r="W62" s="84"/>
      <c r="X62" s="84"/>
      <c r="Y62" s="84"/>
      <c r="Z62" s="84"/>
    </row>
    <row r="63" ht="15.75" customHeight="1">
      <c r="A63" s="84"/>
      <c r="B63" s="84"/>
      <c r="C63" s="84"/>
      <c r="D63" s="84"/>
      <c r="E63" s="84"/>
      <c r="F63" s="84"/>
      <c r="G63" s="84"/>
      <c r="H63" s="84"/>
      <c r="I63" s="84"/>
      <c r="J63" s="84"/>
      <c r="K63" s="84"/>
      <c r="L63" s="84"/>
      <c r="M63" s="84"/>
      <c r="N63" s="84"/>
      <c r="O63" s="84"/>
      <c r="P63" s="84"/>
      <c r="Q63" s="84"/>
      <c r="R63" s="84"/>
      <c r="S63" s="84"/>
      <c r="T63" s="84"/>
      <c r="U63" s="84"/>
      <c r="V63" s="84"/>
      <c r="W63" s="84"/>
      <c r="X63" s="84"/>
      <c r="Y63" s="84"/>
      <c r="Z63" s="84"/>
    </row>
    <row r="64" ht="15.75" customHeight="1">
      <c r="A64" s="84"/>
      <c r="B64" s="84"/>
      <c r="C64" s="84"/>
      <c r="D64" s="84"/>
      <c r="E64" s="84"/>
      <c r="F64" s="84"/>
      <c r="G64" s="84"/>
      <c r="H64" s="84"/>
      <c r="I64" s="84"/>
      <c r="J64" s="84"/>
      <c r="K64" s="84"/>
      <c r="L64" s="84"/>
      <c r="M64" s="84"/>
      <c r="N64" s="84"/>
      <c r="O64" s="84"/>
      <c r="P64" s="84"/>
      <c r="Q64" s="84"/>
      <c r="R64" s="84"/>
      <c r="S64" s="84"/>
      <c r="T64" s="84"/>
      <c r="U64" s="84"/>
      <c r="V64" s="84"/>
      <c r="W64" s="84"/>
      <c r="X64" s="84"/>
      <c r="Y64" s="84"/>
      <c r="Z64" s="84"/>
    </row>
    <row r="65" ht="15.75" customHeight="1">
      <c r="A65" s="84"/>
      <c r="B65" s="84"/>
      <c r="C65" s="84"/>
      <c r="D65" s="84"/>
      <c r="E65" s="84"/>
      <c r="F65" s="84"/>
      <c r="G65" s="84"/>
      <c r="H65" s="84"/>
      <c r="I65" s="84"/>
      <c r="J65" s="84"/>
      <c r="K65" s="84"/>
      <c r="L65" s="84"/>
      <c r="M65" s="84"/>
      <c r="N65" s="84"/>
      <c r="O65" s="84"/>
      <c r="P65" s="84"/>
      <c r="Q65" s="84"/>
      <c r="R65" s="84"/>
      <c r="S65" s="84"/>
      <c r="T65" s="84"/>
      <c r="U65" s="84"/>
      <c r="V65" s="84"/>
      <c r="W65" s="84"/>
      <c r="X65" s="84"/>
      <c r="Y65" s="84"/>
      <c r="Z65" s="84"/>
    </row>
    <row r="66" ht="15.75" customHeight="1">
      <c r="A66" s="84"/>
      <c r="B66" s="84"/>
      <c r="C66" s="84"/>
      <c r="D66" s="84"/>
      <c r="E66" s="84"/>
      <c r="F66" s="84"/>
      <c r="G66" s="84"/>
      <c r="H66" s="84"/>
      <c r="I66" s="84"/>
      <c r="J66" s="84"/>
      <c r="K66" s="84"/>
      <c r="L66" s="84"/>
      <c r="M66" s="84"/>
      <c r="N66" s="84"/>
      <c r="O66" s="84"/>
      <c r="P66" s="84"/>
      <c r="Q66" s="84"/>
      <c r="R66" s="84"/>
      <c r="S66" s="84"/>
      <c r="T66" s="84"/>
      <c r="U66" s="84"/>
      <c r="V66" s="84"/>
      <c r="W66" s="84"/>
      <c r="X66" s="84"/>
      <c r="Y66" s="84"/>
      <c r="Z66" s="84"/>
    </row>
    <row r="67" ht="15.75" customHeight="1">
      <c r="A67" s="84"/>
      <c r="B67" s="84"/>
      <c r="C67" s="84"/>
      <c r="D67" s="84"/>
      <c r="E67" s="84"/>
      <c r="F67" s="84"/>
      <c r="G67" s="84"/>
      <c r="H67" s="84"/>
      <c r="I67" s="84"/>
      <c r="J67" s="84"/>
      <c r="K67" s="84"/>
      <c r="L67" s="84"/>
      <c r="M67" s="84"/>
      <c r="N67" s="84"/>
      <c r="O67" s="84"/>
      <c r="P67" s="84"/>
      <c r="Q67" s="84"/>
      <c r="R67" s="84"/>
      <c r="S67" s="84"/>
      <c r="T67" s="84"/>
      <c r="U67" s="84"/>
      <c r="V67" s="84"/>
      <c r="W67" s="84"/>
      <c r="X67" s="84"/>
      <c r="Y67" s="84"/>
      <c r="Z67" s="84"/>
    </row>
    <row r="68" ht="15.75" customHeight="1">
      <c r="A68" s="84"/>
      <c r="B68" s="84"/>
      <c r="C68" s="84"/>
      <c r="D68" s="84"/>
      <c r="E68" s="84"/>
      <c r="F68" s="84"/>
      <c r="G68" s="84"/>
      <c r="H68" s="84"/>
      <c r="I68" s="84"/>
      <c r="J68" s="84"/>
      <c r="K68" s="84"/>
      <c r="L68" s="84"/>
      <c r="M68" s="84"/>
      <c r="N68" s="84"/>
      <c r="O68" s="84"/>
      <c r="P68" s="84"/>
      <c r="Q68" s="84"/>
      <c r="R68" s="84"/>
      <c r="S68" s="84"/>
      <c r="T68" s="84"/>
      <c r="U68" s="84"/>
      <c r="V68" s="84"/>
      <c r="W68" s="84"/>
      <c r="X68" s="84"/>
      <c r="Y68" s="84"/>
      <c r="Z68" s="84"/>
    </row>
    <row r="69" ht="15.75" customHeight="1">
      <c r="A69" s="84"/>
      <c r="B69" s="84"/>
      <c r="C69" s="84"/>
      <c r="D69" s="84"/>
      <c r="E69" s="84"/>
      <c r="F69" s="84"/>
      <c r="G69" s="84"/>
      <c r="H69" s="84"/>
      <c r="I69" s="84"/>
      <c r="J69" s="84"/>
      <c r="K69" s="84"/>
      <c r="L69" s="84"/>
      <c r="M69" s="84"/>
      <c r="N69" s="84"/>
      <c r="O69" s="84"/>
      <c r="P69" s="84"/>
      <c r="Q69" s="84"/>
      <c r="R69" s="84"/>
      <c r="S69" s="84"/>
      <c r="T69" s="84"/>
      <c r="U69" s="84"/>
      <c r="V69" s="84"/>
      <c r="W69" s="84"/>
      <c r="X69" s="84"/>
      <c r="Y69" s="84"/>
      <c r="Z69" s="84"/>
    </row>
    <row r="70" ht="15.75" customHeight="1">
      <c r="A70" s="84"/>
      <c r="B70" s="84"/>
      <c r="C70" s="84"/>
      <c r="D70" s="84"/>
      <c r="E70" s="84"/>
      <c r="F70" s="84"/>
      <c r="G70" s="84"/>
      <c r="H70" s="84"/>
      <c r="I70" s="84"/>
      <c r="J70" s="84"/>
      <c r="K70" s="84"/>
      <c r="L70" s="84"/>
      <c r="M70" s="84"/>
      <c r="N70" s="84"/>
      <c r="O70" s="84"/>
      <c r="P70" s="84"/>
      <c r="Q70" s="84"/>
      <c r="R70" s="84"/>
      <c r="S70" s="84"/>
      <c r="T70" s="84"/>
      <c r="U70" s="84"/>
      <c r="V70" s="84"/>
      <c r="W70" s="84"/>
      <c r="X70" s="84"/>
      <c r="Y70" s="84"/>
      <c r="Z70" s="84"/>
    </row>
    <row r="71" ht="15.75" customHeight="1">
      <c r="A71" s="84"/>
      <c r="B71" s="84"/>
      <c r="C71" s="84"/>
      <c r="D71" s="84"/>
      <c r="E71" s="84"/>
      <c r="F71" s="84"/>
      <c r="G71" s="84"/>
      <c r="H71" s="84"/>
      <c r="I71" s="84"/>
      <c r="J71" s="84"/>
      <c r="K71" s="84"/>
      <c r="L71" s="84"/>
      <c r="M71" s="84"/>
      <c r="N71" s="84"/>
      <c r="O71" s="84"/>
      <c r="P71" s="84"/>
      <c r="Q71" s="84"/>
      <c r="R71" s="84"/>
      <c r="S71" s="84"/>
      <c r="T71" s="84"/>
      <c r="U71" s="84"/>
      <c r="V71" s="84"/>
      <c r="W71" s="84"/>
      <c r="X71" s="84"/>
      <c r="Y71" s="84"/>
      <c r="Z71" s="84"/>
    </row>
    <row r="72" ht="15.75" customHeight="1">
      <c r="A72" s="84"/>
      <c r="B72" s="84"/>
      <c r="C72" s="84"/>
      <c r="D72" s="84"/>
      <c r="E72" s="84"/>
      <c r="F72" s="84"/>
      <c r="G72" s="84"/>
      <c r="H72" s="84"/>
      <c r="I72" s="84"/>
      <c r="J72" s="84"/>
      <c r="K72" s="84"/>
      <c r="L72" s="84"/>
      <c r="M72" s="84"/>
      <c r="N72" s="84"/>
      <c r="O72" s="84"/>
      <c r="P72" s="84"/>
      <c r="Q72" s="84"/>
      <c r="R72" s="84"/>
      <c r="S72" s="84"/>
      <c r="T72" s="84"/>
      <c r="U72" s="84"/>
      <c r="V72" s="84"/>
      <c r="W72" s="84"/>
      <c r="X72" s="84"/>
      <c r="Y72" s="84"/>
      <c r="Z72" s="84"/>
    </row>
    <row r="73" ht="15.75" customHeight="1">
      <c r="A73" s="84"/>
      <c r="B73" s="84"/>
      <c r="C73" s="84"/>
      <c r="D73" s="84"/>
      <c r="E73" s="84"/>
      <c r="F73" s="84"/>
      <c r="G73" s="84"/>
      <c r="H73" s="84"/>
      <c r="I73" s="84"/>
      <c r="J73" s="84"/>
      <c r="K73" s="84"/>
      <c r="L73" s="84"/>
      <c r="M73" s="84"/>
      <c r="N73" s="84"/>
      <c r="O73" s="84"/>
      <c r="P73" s="84"/>
      <c r="Q73" s="84"/>
      <c r="R73" s="84"/>
      <c r="S73" s="84"/>
      <c r="T73" s="84"/>
      <c r="U73" s="84"/>
      <c r="V73" s="84"/>
      <c r="W73" s="84"/>
      <c r="X73" s="84"/>
      <c r="Y73" s="84"/>
      <c r="Z73" s="84"/>
    </row>
    <row r="74" ht="15.75" customHeight="1">
      <c r="A74" s="84"/>
      <c r="B74" s="84"/>
      <c r="C74" s="84"/>
      <c r="D74" s="84"/>
      <c r="E74" s="84"/>
      <c r="F74" s="84"/>
      <c r="G74" s="84"/>
      <c r="H74" s="84"/>
      <c r="I74" s="84"/>
      <c r="J74" s="84"/>
      <c r="K74" s="84"/>
      <c r="L74" s="84"/>
      <c r="M74" s="84"/>
      <c r="N74" s="84"/>
      <c r="O74" s="84"/>
      <c r="P74" s="84"/>
      <c r="Q74" s="84"/>
      <c r="R74" s="84"/>
      <c r="S74" s="84"/>
      <c r="T74" s="84"/>
      <c r="U74" s="84"/>
      <c r="V74" s="84"/>
      <c r="W74" s="84"/>
      <c r="X74" s="84"/>
      <c r="Y74" s="84"/>
      <c r="Z74" s="84"/>
    </row>
    <row r="75" ht="15.75" customHeight="1">
      <c r="A75" s="84"/>
      <c r="B75" s="84"/>
      <c r="C75" s="84"/>
      <c r="D75" s="84"/>
      <c r="E75" s="84"/>
      <c r="F75" s="84"/>
      <c r="G75" s="84"/>
      <c r="H75" s="84"/>
      <c r="I75" s="84"/>
      <c r="J75" s="84"/>
      <c r="K75" s="84"/>
      <c r="L75" s="84"/>
      <c r="M75" s="84"/>
      <c r="N75" s="84"/>
      <c r="O75" s="84"/>
      <c r="P75" s="84"/>
      <c r="Q75" s="84"/>
      <c r="R75" s="84"/>
      <c r="S75" s="84"/>
      <c r="T75" s="84"/>
      <c r="U75" s="84"/>
      <c r="V75" s="84"/>
      <c r="W75" s="84"/>
      <c r="X75" s="84"/>
      <c r="Y75" s="84"/>
      <c r="Z75" s="84"/>
    </row>
    <row r="76" ht="15.75" customHeight="1">
      <c r="A76" s="84"/>
      <c r="B76" s="84"/>
      <c r="C76" s="84"/>
      <c r="D76" s="84"/>
      <c r="E76" s="84"/>
      <c r="F76" s="84"/>
      <c r="G76" s="84"/>
      <c r="H76" s="84"/>
      <c r="I76" s="84"/>
      <c r="J76" s="84"/>
      <c r="K76" s="84"/>
      <c r="L76" s="84"/>
      <c r="M76" s="84"/>
      <c r="N76" s="84"/>
      <c r="O76" s="84"/>
      <c r="P76" s="84"/>
      <c r="Q76" s="84"/>
      <c r="R76" s="84"/>
      <c r="S76" s="84"/>
      <c r="T76" s="84"/>
      <c r="U76" s="84"/>
      <c r="V76" s="84"/>
      <c r="W76" s="84"/>
      <c r="X76" s="84"/>
      <c r="Y76" s="84"/>
      <c r="Z76" s="84"/>
    </row>
    <row r="77" ht="15.75" customHeight="1">
      <c r="A77" s="84"/>
      <c r="B77" s="84"/>
      <c r="C77" s="84"/>
      <c r="D77" s="84"/>
      <c r="E77" s="84"/>
      <c r="F77" s="84"/>
      <c r="G77" s="84"/>
      <c r="H77" s="84"/>
      <c r="I77" s="84"/>
      <c r="J77" s="84"/>
      <c r="K77" s="84"/>
      <c r="L77" s="84"/>
      <c r="M77" s="84"/>
      <c r="N77" s="84"/>
      <c r="O77" s="84"/>
      <c r="P77" s="84"/>
      <c r="Q77" s="84"/>
      <c r="R77" s="84"/>
      <c r="S77" s="84"/>
      <c r="T77" s="84"/>
      <c r="U77" s="84"/>
      <c r="V77" s="84"/>
      <c r="W77" s="84"/>
      <c r="X77" s="84"/>
      <c r="Y77" s="84"/>
      <c r="Z77" s="84"/>
    </row>
    <row r="78" ht="15.75" customHeight="1">
      <c r="A78" s="84"/>
      <c r="B78" s="84"/>
      <c r="C78" s="84"/>
      <c r="D78" s="84"/>
      <c r="E78" s="84"/>
      <c r="F78" s="84"/>
      <c r="G78" s="84"/>
      <c r="H78" s="84"/>
      <c r="I78" s="84"/>
      <c r="J78" s="84"/>
      <c r="K78" s="84"/>
      <c r="L78" s="84"/>
      <c r="M78" s="84"/>
      <c r="N78" s="84"/>
      <c r="O78" s="84"/>
      <c r="P78" s="84"/>
      <c r="Q78" s="84"/>
      <c r="R78" s="84"/>
      <c r="S78" s="84"/>
      <c r="T78" s="84"/>
      <c r="U78" s="84"/>
      <c r="V78" s="84"/>
      <c r="W78" s="84"/>
      <c r="X78" s="84"/>
      <c r="Y78" s="84"/>
      <c r="Z78" s="84"/>
    </row>
    <row r="79" ht="15.75" customHeight="1">
      <c r="A79" s="84"/>
      <c r="B79" s="84"/>
      <c r="C79" s="84"/>
      <c r="D79" s="84"/>
      <c r="E79" s="84"/>
      <c r="F79" s="84"/>
      <c r="G79" s="84"/>
      <c r="H79" s="84"/>
      <c r="I79" s="84"/>
      <c r="J79" s="84"/>
      <c r="K79" s="84"/>
      <c r="L79" s="84"/>
      <c r="M79" s="84"/>
      <c r="N79" s="84"/>
      <c r="O79" s="84"/>
      <c r="P79" s="84"/>
      <c r="Q79" s="84"/>
      <c r="R79" s="84"/>
      <c r="S79" s="84"/>
      <c r="T79" s="84"/>
      <c r="U79" s="84"/>
      <c r="V79" s="84"/>
      <c r="W79" s="84"/>
      <c r="X79" s="84"/>
      <c r="Y79" s="84"/>
      <c r="Z79" s="84"/>
    </row>
    <row r="80" ht="15.75" customHeight="1">
      <c r="A80" s="84"/>
      <c r="B80" s="84"/>
      <c r="C80" s="84"/>
      <c r="D80" s="84"/>
      <c r="E80" s="84"/>
      <c r="F80" s="84"/>
      <c r="G80" s="84"/>
      <c r="H80" s="84"/>
      <c r="I80" s="84"/>
      <c r="J80" s="84"/>
      <c r="K80" s="84"/>
      <c r="L80" s="84"/>
      <c r="M80" s="84"/>
      <c r="N80" s="84"/>
      <c r="O80" s="84"/>
      <c r="P80" s="84"/>
      <c r="Q80" s="84"/>
      <c r="R80" s="84"/>
      <c r="S80" s="84"/>
      <c r="T80" s="84"/>
      <c r="U80" s="84"/>
      <c r="V80" s="84"/>
      <c r="W80" s="84"/>
      <c r="X80" s="84"/>
      <c r="Y80" s="84"/>
      <c r="Z80" s="84"/>
    </row>
    <row r="81" ht="15.75" customHeight="1">
      <c r="A81" s="84"/>
      <c r="B81" s="84"/>
      <c r="C81" s="84"/>
      <c r="D81" s="84"/>
      <c r="E81" s="84"/>
      <c r="F81" s="84"/>
      <c r="G81" s="84"/>
      <c r="H81" s="84"/>
      <c r="I81" s="84"/>
      <c r="J81" s="84"/>
      <c r="K81" s="84"/>
      <c r="L81" s="84"/>
      <c r="M81" s="84"/>
      <c r="N81" s="84"/>
      <c r="O81" s="84"/>
      <c r="P81" s="84"/>
      <c r="Q81" s="84"/>
      <c r="R81" s="84"/>
      <c r="S81" s="84"/>
      <c r="T81" s="84"/>
      <c r="U81" s="84"/>
      <c r="V81" s="84"/>
      <c r="W81" s="84"/>
      <c r="X81" s="84"/>
      <c r="Y81" s="84"/>
      <c r="Z81" s="84"/>
    </row>
    <row r="82" ht="15.75" customHeight="1">
      <c r="A82" s="84"/>
      <c r="B82" s="84"/>
      <c r="C82" s="84"/>
      <c r="D82" s="84"/>
      <c r="E82" s="84"/>
      <c r="F82" s="84"/>
      <c r="G82" s="84"/>
      <c r="H82" s="84"/>
      <c r="I82" s="84"/>
      <c r="J82" s="84"/>
      <c r="K82" s="84"/>
      <c r="L82" s="84"/>
      <c r="M82" s="84"/>
      <c r="N82" s="84"/>
      <c r="O82" s="84"/>
      <c r="P82" s="84"/>
      <c r="Q82" s="84"/>
      <c r="R82" s="84"/>
      <c r="S82" s="84"/>
      <c r="T82" s="84"/>
      <c r="U82" s="84"/>
      <c r="V82" s="84"/>
      <c r="W82" s="84"/>
      <c r="X82" s="84"/>
      <c r="Y82" s="84"/>
      <c r="Z82" s="84"/>
    </row>
    <row r="83" ht="15.75" customHeight="1">
      <c r="A83" s="84"/>
      <c r="B83" s="84"/>
      <c r="C83" s="84"/>
      <c r="D83" s="84"/>
      <c r="E83" s="84"/>
      <c r="F83" s="84"/>
      <c r="G83" s="84"/>
      <c r="H83" s="84"/>
      <c r="I83" s="84"/>
      <c r="J83" s="84"/>
      <c r="K83" s="84"/>
      <c r="L83" s="84"/>
      <c r="M83" s="84"/>
      <c r="N83" s="84"/>
      <c r="O83" s="84"/>
      <c r="P83" s="84"/>
      <c r="Q83" s="84"/>
      <c r="R83" s="84"/>
      <c r="S83" s="84"/>
      <c r="T83" s="84"/>
      <c r="U83" s="84"/>
      <c r="V83" s="84"/>
      <c r="W83" s="84"/>
      <c r="X83" s="84"/>
      <c r="Y83" s="84"/>
      <c r="Z83" s="84"/>
    </row>
    <row r="84" ht="15.75" customHeight="1">
      <c r="A84" s="84"/>
      <c r="B84" s="84"/>
      <c r="C84" s="84"/>
      <c r="D84" s="84"/>
      <c r="E84" s="84"/>
      <c r="F84" s="84"/>
      <c r="G84" s="84"/>
      <c r="H84" s="84"/>
      <c r="I84" s="84"/>
      <c r="J84" s="84"/>
      <c r="K84" s="84"/>
      <c r="L84" s="84"/>
      <c r="M84" s="84"/>
      <c r="N84" s="84"/>
      <c r="O84" s="84"/>
      <c r="P84" s="84"/>
      <c r="Q84" s="84"/>
      <c r="R84" s="84"/>
      <c r="S84" s="84"/>
      <c r="T84" s="84"/>
      <c r="U84" s="84"/>
      <c r="V84" s="84"/>
      <c r="W84" s="84"/>
      <c r="X84" s="84"/>
      <c r="Y84" s="84"/>
      <c r="Z84" s="84"/>
    </row>
    <row r="85" ht="15.75" customHeight="1">
      <c r="A85" s="84"/>
      <c r="B85" s="84"/>
      <c r="C85" s="84"/>
      <c r="D85" s="84"/>
      <c r="E85" s="84"/>
      <c r="F85" s="84"/>
      <c r="G85" s="84"/>
      <c r="H85" s="84"/>
      <c r="I85" s="84"/>
      <c r="J85" s="84"/>
      <c r="K85" s="84"/>
      <c r="L85" s="84"/>
      <c r="M85" s="84"/>
      <c r="N85" s="84"/>
      <c r="O85" s="84"/>
      <c r="P85" s="84"/>
      <c r="Q85" s="84"/>
      <c r="R85" s="84"/>
      <c r="S85" s="84"/>
      <c r="T85" s="84"/>
      <c r="U85" s="84"/>
      <c r="V85" s="84"/>
      <c r="W85" s="84"/>
      <c r="X85" s="84"/>
      <c r="Y85" s="84"/>
      <c r="Z85" s="84"/>
    </row>
    <row r="86" ht="15.75" customHeight="1">
      <c r="A86" s="84"/>
      <c r="B86" s="84"/>
      <c r="C86" s="84"/>
      <c r="D86" s="84"/>
      <c r="E86" s="84"/>
      <c r="F86" s="84"/>
      <c r="G86" s="84"/>
      <c r="H86" s="84"/>
      <c r="I86" s="84"/>
      <c r="J86" s="84"/>
      <c r="K86" s="84"/>
      <c r="L86" s="84"/>
      <c r="M86" s="84"/>
      <c r="N86" s="84"/>
      <c r="O86" s="84"/>
      <c r="P86" s="84"/>
      <c r="Q86" s="84"/>
      <c r="R86" s="84"/>
      <c r="S86" s="84"/>
      <c r="T86" s="84"/>
      <c r="U86" s="84"/>
      <c r="V86" s="84"/>
      <c r="W86" s="84"/>
      <c r="X86" s="84"/>
      <c r="Y86" s="84"/>
      <c r="Z86" s="84"/>
    </row>
    <row r="87" ht="15.75" customHeight="1">
      <c r="A87" s="84"/>
      <c r="B87" s="84"/>
      <c r="C87" s="84"/>
      <c r="D87" s="84"/>
      <c r="E87" s="84"/>
      <c r="F87" s="84"/>
      <c r="G87" s="84"/>
      <c r="H87" s="84"/>
      <c r="I87" s="84"/>
      <c r="J87" s="84"/>
      <c r="K87" s="84"/>
      <c r="L87" s="84"/>
      <c r="M87" s="84"/>
      <c r="N87" s="84"/>
      <c r="O87" s="84"/>
      <c r="P87" s="84"/>
      <c r="Q87" s="84"/>
      <c r="R87" s="84"/>
      <c r="S87" s="84"/>
      <c r="T87" s="84"/>
      <c r="U87" s="84"/>
      <c r="V87" s="84"/>
      <c r="W87" s="84"/>
      <c r="X87" s="84"/>
      <c r="Y87" s="84"/>
      <c r="Z87" s="84"/>
    </row>
    <row r="88" ht="15.75" customHeight="1">
      <c r="A88" s="84"/>
      <c r="B88" s="84"/>
      <c r="C88" s="84"/>
      <c r="D88" s="84"/>
      <c r="E88" s="84"/>
      <c r="F88" s="84"/>
      <c r="G88" s="84"/>
      <c r="H88" s="84"/>
      <c r="I88" s="84"/>
      <c r="J88" s="84"/>
      <c r="K88" s="84"/>
      <c r="L88" s="84"/>
      <c r="M88" s="84"/>
      <c r="N88" s="84"/>
      <c r="O88" s="84"/>
      <c r="P88" s="84"/>
      <c r="Q88" s="84"/>
      <c r="R88" s="84"/>
      <c r="S88" s="84"/>
      <c r="T88" s="84"/>
      <c r="U88" s="84"/>
      <c r="V88" s="84"/>
      <c r="W88" s="84"/>
      <c r="X88" s="84"/>
      <c r="Y88" s="84"/>
      <c r="Z88" s="84"/>
    </row>
    <row r="89" ht="15.75" customHeight="1">
      <c r="A89" s="84"/>
      <c r="B89" s="84"/>
      <c r="C89" s="84"/>
      <c r="D89" s="84"/>
      <c r="E89" s="84"/>
      <c r="F89" s="84"/>
      <c r="G89" s="84"/>
      <c r="H89" s="84"/>
      <c r="I89" s="84"/>
      <c r="J89" s="84"/>
      <c r="K89" s="84"/>
      <c r="L89" s="84"/>
      <c r="M89" s="84"/>
      <c r="N89" s="84"/>
      <c r="O89" s="84"/>
      <c r="P89" s="84"/>
      <c r="Q89" s="84"/>
      <c r="R89" s="84"/>
      <c r="S89" s="84"/>
      <c r="T89" s="84"/>
      <c r="U89" s="84"/>
      <c r="V89" s="84"/>
      <c r="W89" s="84"/>
      <c r="X89" s="84"/>
      <c r="Y89" s="84"/>
      <c r="Z89" s="84"/>
    </row>
    <row r="90" ht="15.75" customHeight="1">
      <c r="A90" s="84"/>
      <c r="B90" s="84"/>
      <c r="C90" s="84"/>
      <c r="D90" s="84"/>
      <c r="E90" s="84"/>
      <c r="F90" s="84"/>
      <c r="G90" s="84"/>
      <c r="H90" s="84"/>
      <c r="I90" s="84"/>
      <c r="J90" s="84"/>
      <c r="K90" s="84"/>
      <c r="L90" s="84"/>
      <c r="M90" s="84"/>
      <c r="N90" s="84"/>
      <c r="O90" s="84"/>
      <c r="P90" s="84"/>
      <c r="Q90" s="84"/>
      <c r="R90" s="84"/>
      <c r="S90" s="84"/>
      <c r="T90" s="84"/>
      <c r="U90" s="84"/>
      <c r="V90" s="84"/>
      <c r="W90" s="84"/>
      <c r="X90" s="84"/>
      <c r="Y90" s="84"/>
      <c r="Z90" s="84"/>
    </row>
    <row r="91" ht="15.75" customHeight="1">
      <c r="A91" s="84"/>
      <c r="B91" s="84"/>
      <c r="C91" s="84"/>
      <c r="D91" s="84"/>
      <c r="E91" s="84"/>
      <c r="F91" s="84"/>
      <c r="G91" s="84"/>
      <c r="H91" s="84"/>
      <c r="I91" s="84"/>
      <c r="J91" s="84"/>
      <c r="K91" s="84"/>
      <c r="L91" s="84"/>
      <c r="M91" s="84"/>
      <c r="N91" s="84"/>
      <c r="O91" s="84"/>
      <c r="P91" s="84"/>
      <c r="Q91" s="84"/>
      <c r="R91" s="84"/>
      <c r="S91" s="84"/>
      <c r="T91" s="84"/>
      <c r="U91" s="84"/>
      <c r="V91" s="84"/>
      <c r="W91" s="84"/>
      <c r="X91" s="84"/>
      <c r="Y91" s="84"/>
      <c r="Z91" s="84"/>
    </row>
    <row r="92" ht="15.75" customHeight="1">
      <c r="A92" s="84"/>
      <c r="B92" s="84"/>
      <c r="C92" s="84"/>
      <c r="D92" s="84"/>
      <c r="E92" s="84"/>
      <c r="F92" s="84"/>
      <c r="G92" s="84"/>
      <c r="H92" s="84"/>
      <c r="I92" s="84"/>
      <c r="J92" s="84"/>
      <c r="K92" s="84"/>
      <c r="L92" s="84"/>
      <c r="M92" s="84"/>
      <c r="N92" s="84"/>
      <c r="O92" s="84"/>
      <c r="P92" s="84"/>
      <c r="Q92" s="84"/>
      <c r="R92" s="84"/>
      <c r="S92" s="84"/>
      <c r="T92" s="84"/>
      <c r="U92" s="84"/>
      <c r="V92" s="84"/>
      <c r="W92" s="84"/>
      <c r="X92" s="84"/>
      <c r="Y92" s="84"/>
      <c r="Z92" s="84"/>
    </row>
    <row r="93" ht="15.75" customHeight="1">
      <c r="A93" s="84"/>
      <c r="B93" s="84"/>
      <c r="C93" s="84"/>
      <c r="D93" s="84"/>
      <c r="E93" s="84"/>
      <c r="F93" s="84"/>
      <c r="G93" s="84"/>
      <c r="H93" s="84"/>
      <c r="I93" s="84"/>
      <c r="J93" s="84"/>
      <c r="K93" s="84"/>
      <c r="L93" s="84"/>
      <c r="M93" s="84"/>
      <c r="N93" s="84"/>
      <c r="O93" s="84"/>
      <c r="P93" s="84"/>
      <c r="Q93" s="84"/>
      <c r="R93" s="84"/>
      <c r="S93" s="84"/>
      <c r="T93" s="84"/>
      <c r="U93" s="84"/>
      <c r="V93" s="84"/>
      <c r="W93" s="84"/>
      <c r="X93" s="84"/>
      <c r="Y93" s="84"/>
      <c r="Z93" s="84"/>
    </row>
    <row r="94" ht="15.75" customHeight="1">
      <c r="A94" s="84"/>
      <c r="B94" s="84"/>
      <c r="C94" s="84"/>
      <c r="D94" s="84"/>
      <c r="E94" s="84"/>
      <c r="F94" s="84"/>
      <c r="G94" s="84"/>
      <c r="H94" s="84"/>
      <c r="I94" s="84"/>
      <c r="J94" s="84"/>
      <c r="K94" s="84"/>
      <c r="L94" s="84"/>
      <c r="M94" s="84"/>
      <c r="N94" s="84"/>
      <c r="O94" s="84"/>
      <c r="P94" s="84"/>
      <c r="Q94" s="84"/>
      <c r="R94" s="84"/>
      <c r="S94" s="84"/>
      <c r="T94" s="84"/>
      <c r="U94" s="84"/>
      <c r="V94" s="84"/>
      <c r="W94" s="84"/>
      <c r="X94" s="84"/>
      <c r="Y94" s="84"/>
      <c r="Z94" s="84"/>
    </row>
    <row r="95" ht="15.75" customHeight="1">
      <c r="A95" s="84"/>
      <c r="B95" s="84"/>
      <c r="C95" s="84"/>
      <c r="D95" s="84"/>
      <c r="E95" s="84"/>
      <c r="F95" s="84"/>
      <c r="G95" s="84"/>
      <c r="H95" s="84"/>
      <c r="I95" s="84"/>
      <c r="J95" s="84"/>
      <c r="K95" s="84"/>
      <c r="L95" s="84"/>
      <c r="M95" s="84"/>
      <c r="N95" s="84"/>
      <c r="O95" s="84"/>
      <c r="P95" s="84"/>
      <c r="Q95" s="84"/>
      <c r="R95" s="84"/>
      <c r="S95" s="84"/>
      <c r="T95" s="84"/>
      <c r="U95" s="84"/>
      <c r="V95" s="84"/>
      <c r="W95" s="84"/>
      <c r="X95" s="84"/>
      <c r="Y95" s="84"/>
      <c r="Z95" s="84"/>
    </row>
    <row r="96" ht="15.75" customHeight="1">
      <c r="A96" s="84"/>
      <c r="B96" s="84"/>
      <c r="C96" s="84"/>
      <c r="D96" s="84"/>
      <c r="E96" s="84"/>
      <c r="F96" s="84"/>
      <c r="G96" s="84"/>
      <c r="H96" s="84"/>
      <c r="I96" s="84"/>
      <c r="J96" s="84"/>
      <c r="K96" s="84"/>
      <c r="L96" s="84"/>
      <c r="M96" s="84"/>
      <c r="N96" s="84"/>
      <c r="O96" s="84"/>
      <c r="P96" s="84"/>
      <c r="Q96" s="84"/>
      <c r="R96" s="84"/>
      <c r="S96" s="84"/>
      <c r="T96" s="84"/>
      <c r="U96" s="84"/>
      <c r="V96" s="84"/>
      <c r="W96" s="84"/>
      <c r="X96" s="84"/>
      <c r="Y96" s="84"/>
      <c r="Z96" s="84"/>
    </row>
    <row r="97" ht="15.75" customHeight="1">
      <c r="A97" s="84"/>
      <c r="B97" s="84"/>
      <c r="C97" s="84"/>
      <c r="D97" s="84"/>
      <c r="E97" s="84"/>
      <c r="F97" s="84"/>
      <c r="G97" s="84"/>
      <c r="H97" s="84"/>
      <c r="I97" s="84"/>
      <c r="J97" s="84"/>
      <c r="K97" s="84"/>
      <c r="L97" s="84"/>
      <c r="M97" s="84"/>
      <c r="N97" s="84"/>
      <c r="O97" s="84"/>
      <c r="P97" s="84"/>
      <c r="Q97" s="84"/>
      <c r="R97" s="84"/>
      <c r="S97" s="84"/>
      <c r="T97" s="84"/>
      <c r="U97" s="84"/>
      <c r="V97" s="84"/>
      <c r="W97" s="84"/>
      <c r="X97" s="84"/>
      <c r="Y97" s="84"/>
      <c r="Z97" s="84"/>
    </row>
    <row r="98" ht="15.75" customHeight="1">
      <c r="A98" s="84"/>
      <c r="B98" s="84"/>
      <c r="C98" s="84"/>
      <c r="D98" s="84"/>
      <c r="E98" s="84"/>
      <c r="F98" s="84"/>
      <c r="G98" s="84"/>
      <c r="H98" s="84"/>
      <c r="I98" s="84"/>
      <c r="J98" s="84"/>
      <c r="K98" s="84"/>
      <c r="L98" s="84"/>
      <c r="M98" s="84"/>
      <c r="N98" s="84"/>
      <c r="O98" s="84"/>
      <c r="P98" s="84"/>
      <c r="Q98" s="84"/>
      <c r="R98" s="84"/>
      <c r="S98" s="84"/>
      <c r="T98" s="84"/>
      <c r="U98" s="84"/>
      <c r="V98" s="84"/>
      <c r="W98" s="84"/>
      <c r="X98" s="84"/>
      <c r="Y98" s="84"/>
      <c r="Z98" s="84"/>
    </row>
    <row r="99" ht="15.75" customHeight="1">
      <c r="A99" s="84"/>
      <c r="B99" s="84"/>
      <c r="C99" s="84"/>
      <c r="D99" s="84"/>
      <c r="E99" s="84"/>
      <c r="F99" s="84"/>
      <c r="G99" s="84"/>
      <c r="H99" s="84"/>
      <c r="I99" s="84"/>
      <c r="J99" s="84"/>
      <c r="K99" s="84"/>
      <c r="L99" s="84"/>
      <c r="M99" s="84"/>
      <c r="N99" s="84"/>
      <c r="O99" s="84"/>
      <c r="P99" s="84"/>
      <c r="Q99" s="84"/>
      <c r="R99" s="84"/>
      <c r="S99" s="84"/>
      <c r="T99" s="84"/>
      <c r="U99" s="84"/>
      <c r="V99" s="84"/>
      <c r="W99" s="84"/>
      <c r="X99" s="84"/>
      <c r="Y99" s="84"/>
      <c r="Z99" s="84"/>
    </row>
    <row r="100" ht="15.75" customHeight="1">
      <c r="A100" s="84"/>
      <c r="B100" s="84"/>
      <c r="C100" s="84"/>
      <c r="D100" s="84"/>
      <c r="E100" s="84"/>
      <c r="F100" s="84"/>
      <c r="G100" s="84"/>
      <c r="H100" s="84"/>
      <c r="I100" s="84"/>
      <c r="J100" s="84"/>
      <c r="K100" s="84"/>
      <c r="L100" s="84"/>
      <c r="M100" s="84"/>
      <c r="N100" s="84"/>
      <c r="O100" s="84"/>
      <c r="P100" s="84"/>
      <c r="Q100" s="84"/>
      <c r="R100" s="84"/>
      <c r="S100" s="84"/>
      <c r="T100" s="84"/>
      <c r="U100" s="84"/>
      <c r="V100" s="84"/>
      <c r="W100" s="84"/>
      <c r="X100" s="84"/>
      <c r="Y100" s="84"/>
      <c r="Z100" s="84"/>
    </row>
    <row r="101" ht="15.75" customHeight="1">
      <c r="A101" s="84"/>
      <c r="B101" s="84"/>
      <c r="C101" s="84"/>
      <c r="D101" s="84"/>
      <c r="E101" s="84"/>
      <c r="F101" s="84"/>
      <c r="G101" s="84"/>
      <c r="H101" s="84"/>
      <c r="I101" s="84"/>
      <c r="J101" s="84"/>
      <c r="K101" s="84"/>
      <c r="L101" s="84"/>
      <c r="M101" s="84"/>
      <c r="N101" s="84"/>
      <c r="O101" s="84"/>
      <c r="P101" s="84"/>
      <c r="Q101" s="84"/>
      <c r="R101" s="84"/>
      <c r="S101" s="84"/>
      <c r="T101" s="84"/>
      <c r="U101" s="84"/>
      <c r="V101" s="84"/>
      <c r="W101" s="84"/>
      <c r="X101" s="84"/>
      <c r="Y101" s="84"/>
      <c r="Z101" s="84"/>
    </row>
    <row r="102" ht="15.75" customHeight="1">
      <c r="A102" s="84"/>
      <c r="B102" s="84"/>
      <c r="C102" s="84"/>
      <c r="D102" s="84"/>
      <c r="E102" s="84"/>
      <c r="F102" s="84"/>
      <c r="G102" s="84"/>
      <c r="H102" s="84"/>
      <c r="I102" s="84"/>
      <c r="J102" s="84"/>
      <c r="K102" s="84"/>
      <c r="L102" s="84"/>
      <c r="M102" s="84"/>
      <c r="N102" s="84"/>
      <c r="O102" s="84"/>
      <c r="P102" s="84"/>
      <c r="Q102" s="84"/>
      <c r="R102" s="84"/>
      <c r="S102" s="84"/>
      <c r="T102" s="84"/>
      <c r="U102" s="84"/>
      <c r="V102" s="84"/>
      <c r="W102" s="84"/>
      <c r="X102" s="84"/>
      <c r="Y102" s="84"/>
      <c r="Z102" s="84"/>
    </row>
    <row r="103" ht="15.75" customHeight="1">
      <c r="A103" s="84"/>
      <c r="B103" s="84"/>
      <c r="C103" s="84"/>
      <c r="D103" s="84"/>
      <c r="E103" s="84"/>
      <c r="F103" s="84"/>
      <c r="G103" s="84"/>
      <c r="H103" s="84"/>
      <c r="I103" s="84"/>
      <c r="J103" s="84"/>
      <c r="K103" s="84"/>
      <c r="L103" s="84"/>
      <c r="M103" s="84"/>
      <c r="N103" s="84"/>
      <c r="O103" s="84"/>
      <c r="P103" s="84"/>
      <c r="Q103" s="84"/>
      <c r="R103" s="84"/>
      <c r="S103" s="84"/>
      <c r="T103" s="84"/>
      <c r="U103" s="84"/>
      <c r="V103" s="84"/>
      <c r="W103" s="84"/>
      <c r="X103" s="84"/>
      <c r="Y103" s="84"/>
      <c r="Z103" s="84"/>
    </row>
    <row r="104" ht="15.75" customHeight="1">
      <c r="A104" s="84"/>
      <c r="B104" s="84"/>
      <c r="C104" s="84"/>
      <c r="D104" s="84"/>
      <c r="E104" s="84"/>
      <c r="F104" s="84"/>
      <c r="G104" s="84"/>
      <c r="H104" s="84"/>
      <c r="I104" s="84"/>
      <c r="J104" s="84"/>
      <c r="K104" s="84"/>
      <c r="L104" s="84"/>
      <c r="M104" s="84"/>
      <c r="N104" s="84"/>
      <c r="O104" s="84"/>
      <c r="P104" s="84"/>
      <c r="Q104" s="84"/>
      <c r="R104" s="84"/>
      <c r="S104" s="84"/>
      <c r="T104" s="84"/>
      <c r="U104" s="84"/>
      <c r="V104" s="84"/>
      <c r="W104" s="84"/>
      <c r="X104" s="84"/>
      <c r="Y104" s="84"/>
      <c r="Z104" s="84"/>
    </row>
    <row r="105" ht="15.75" customHeight="1">
      <c r="A105" s="84"/>
      <c r="B105" s="84"/>
      <c r="C105" s="84"/>
      <c r="D105" s="84"/>
      <c r="E105" s="84"/>
      <c r="F105" s="84"/>
      <c r="G105" s="84"/>
      <c r="H105" s="84"/>
      <c r="I105" s="84"/>
      <c r="J105" s="84"/>
      <c r="K105" s="84"/>
      <c r="L105" s="84"/>
      <c r="M105" s="84"/>
      <c r="N105" s="84"/>
      <c r="O105" s="84"/>
      <c r="P105" s="84"/>
      <c r="Q105" s="84"/>
      <c r="R105" s="84"/>
      <c r="S105" s="84"/>
      <c r="T105" s="84"/>
      <c r="U105" s="84"/>
      <c r="V105" s="84"/>
      <c r="W105" s="84"/>
      <c r="X105" s="84"/>
      <c r="Y105" s="84"/>
      <c r="Z105" s="84"/>
    </row>
    <row r="106" ht="15.75" customHeight="1">
      <c r="A106" s="84"/>
      <c r="B106" s="84"/>
      <c r="C106" s="84"/>
      <c r="D106" s="84"/>
      <c r="E106" s="84"/>
      <c r="F106" s="84"/>
      <c r="G106" s="84"/>
      <c r="H106" s="84"/>
      <c r="I106" s="84"/>
      <c r="J106" s="84"/>
      <c r="K106" s="84"/>
      <c r="L106" s="84"/>
      <c r="M106" s="84"/>
      <c r="N106" s="84"/>
      <c r="O106" s="84"/>
      <c r="P106" s="84"/>
      <c r="Q106" s="84"/>
      <c r="R106" s="84"/>
      <c r="S106" s="84"/>
      <c r="T106" s="84"/>
      <c r="U106" s="84"/>
      <c r="V106" s="84"/>
      <c r="W106" s="84"/>
      <c r="X106" s="84"/>
      <c r="Y106" s="84"/>
      <c r="Z106" s="84"/>
    </row>
    <row r="107" ht="15.75" customHeight="1">
      <c r="A107" s="84"/>
      <c r="B107" s="84"/>
      <c r="C107" s="84"/>
      <c r="D107" s="84"/>
      <c r="E107" s="84"/>
      <c r="F107" s="84"/>
      <c r="G107" s="84"/>
      <c r="H107" s="84"/>
      <c r="I107" s="84"/>
      <c r="J107" s="84"/>
      <c r="K107" s="84"/>
      <c r="L107" s="84"/>
      <c r="M107" s="84"/>
      <c r="N107" s="84"/>
      <c r="O107" s="84"/>
      <c r="P107" s="84"/>
      <c r="Q107" s="84"/>
      <c r="R107" s="84"/>
      <c r="S107" s="84"/>
      <c r="T107" s="84"/>
      <c r="U107" s="84"/>
      <c r="V107" s="84"/>
      <c r="W107" s="84"/>
      <c r="X107" s="84"/>
      <c r="Y107" s="84"/>
      <c r="Z107" s="84"/>
    </row>
    <row r="108" ht="15.75" customHeight="1">
      <c r="A108" s="84"/>
      <c r="B108" s="84"/>
      <c r="C108" s="84"/>
      <c r="D108" s="84"/>
      <c r="E108" s="84"/>
      <c r="F108" s="84"/>
      <c r="G108" s="84"/>
      <c r="H108" s="84"/>
      <c r="I108" s="84"/>
      <c r="J108" s="84"/>
      <c r="K108" s="84"/>
      <c r="L108" s="84"/>
      <c r="M108" s="84"/>
      <c r="N108" s="84"/>
      <c r="O108" s="84"/>
      <c r="P108" s="84"/>
      <c r="Q108" s="84"/>
      <c r="R108" s="84"/>
      <c r="S108" s="84"/>
      <c r="T108" s="84"/>
      <c r="U108" s="84"/>
      <c r="V108" s="84"/>
      <c r="W108" s="84"/>
      <c r="X108" s="84"/>
      <c r="Y108" s="84"/>
      <c r="Z108" s="84"/>
    </row>
    <row r="109" ht="15.75" customHeight="1">
      <c r="A109" s="84"/>
      <c r="B109" s="84"/>
      <c r="C109" s="84"/>
      <c r="D109" s="84"/>
      <c r="E109" s="84"/>
      <c r="F109" s="84"/>
      <c r="G109" s="84"/>
      <c r="H109" s="84"/>
      <c r="I109" s="84"/>
      <c r="J109" s="84"/>
      <c r="K109" s="84"/>
      <c r="L109" s="84"/>
      <c r="M109" s="84"/>
      <c r="N109" s="84"/>
      <c r="O109" s="84"/>
      <c r="P109" s="84"/>
      <c r="Q109" s="84"/>
      <c r="R109" s="84"/>
      <c r="S109" s="84"/>
      <c r="T109" s="84"/>
      <c r="U109" s="84"/>
      <c r="V109" s="84"/>
      <c r="W109" s="84"/>
      <c r="X109" s="84"/>
      <c r="Y109" s="84"/>
      <c r="Z109" s="84"/>
    </row>
    <row r="110" ht="15.75" customHeight="1">
      <c r="A110" s="84"/>
      <c r="B110" s="84"/>
      <c r="C110" s="84"/>
      <c r="D110" s="84"/>
      <c r="E110" s="84"/>
      <c r="F110" s="84"/>
      <c r="G110" s="84"/>
      <c r="H110" s="84"/>
      <c r="I110" s="84"/>
      <c r="J110" s="84"/>
      <c r="K110" s="84"/>
      <c r="L110" s="84"/>
      <c r="M110" s="84"/>
      <c r="N110" s="84"/>
      <c r="O110" s="84"/>
      <c r="P110" s="84"/>
      <c r="Q110" s="84"/>
      <c r="R110" s="84"/>
      <c r="S110" s="84"/>
      <c r="T110" s="84"/>
      <c r="U110" s="84"/>
      <c r="V110" s="84"/>
      <c r="W110" s="84"/>
      <c r="X110" s="84"/>
      <c r="Y110" s="84"/>
      <c r="Z110" s="84"/>
    </row>
    <row r="111" ht="15.75" customHeight="1">
      <c r="A111" s="84"/>
      <c r="B111" s="84"/>
      <c r="C111" s="84"/>
      <c r="D111" s="84"/>
      <c r="E111" s="84"/>
      <c r="F111" s="84"/>
      <c r="G111" s="84"/>
      <c r="H111" s="84"/>
      <c r="I111" s="84"/>
      <c r="J111" s="84"/>
      <c r="K111" s="84"/>
      <c r="L111" s="84"/>
      <c r="M111" s="84"/>
      <c r="N111" s="84"/>
      <c r="O111" s="84"/>
      <c r="P111" s="84"/>
      <c r="Q111" s="84"/>
      <c r="R111" s="84"/>
      <c r="S111" s="84"/>
      <c r="T111" s="84"/>
      <c r="U111" s="84"/>
      <c r="V111" s="84"/>
      <c r="W111" s="84"/>
      <c r="X111" s="84"/>
      <c r="Y111" s="84"/>
      <c r="Z111" s="84"/>
    </row>
    <row r="112" ht="15.75" customHeight="1">
      <c r="A112" s="84"/>
      <c r="B112" s="84"/>
      <c r="C112" s="84"/>
      <c r="D112" s="84"/>
      <c r="E112" s="84"/>
      <c r="F112" s="84"/>
      <c r="G112" s="84"/>
      <c r="H112" s="84"/>
      <c r="I112" s="84"/>
      <c r="J112" s="84"/>
      <c r="K112" s="84"/>
      <c r="L112" s="84"/>
      <c r="M112" s="84"/>
      <c r="N112" s="84"/>
      <c r="O112" s="84"/>
      <c r="P112" s="84"/>
      <c r="Q112" s="84"/>
      <c r="R112" s="84"/>
      <c r="S112" s="84"/>
      <c r="T112" s="84"/>
      <c r="U112" s="84"/>
      <c r="V112" s="84"/>
      <c r="W112" s="84"/>
      <c r="X112" s="84"/>
      <c r="Y112" s="84"/>
      <c r="Z112" s="84"/>
    </row>
    <row r="113" ht="15.75" customHeight="1">
      <c r="A113" s="84"/>
      <c r="B113" s="84"/>
      <c r="C113" s="84"/>
      <c r="D113" s="84"/>
      <c r="E113" s="84"/>
      <c r="F113" s="84"/>
      <c r="G113" s="84"/>
      <c r="H113" s="84"/>
      <c r="I113" s="84"/>
      <c r="J113" s="84"/>
      <c r="K113" s="84"/>
      <c r="L113" s="84"/>
      <c r="M113" s="84"/>
      <c r="N113" s="84"/>
      <c r="O113" s="84"/>
      <c r="P113" s="84"/>
      <c r="Q113" s="84"/>
      <c r="R113" s="84"/>
      <c r="S113" s="84"/>
      <c r="T113" s="84"/>
      <c r="U113" s="84"/>
      <c r="V113" s="84"/>
      <c r="W113" s="84"/>
      <c r="X113" s="84"/>
      <c r="Y113" s="84"/>
      <c r="Z113" s="84"/>
    </row>
    <row r="114" ht="15.75" customHeight="1">
      <c r="A114" s="84"/>
      <c r="B114" s="84"/>
      <c r="C114" s="84"/>
      <c r="D114" s="84"/>
      <c r="E114" s="84"/>
      <c r="F114" s="84"/>
      <c r="G114" s="84"/>
      <c r="H114" s="84"/>
      <c r="I114" s="84"/>
      <c r="J114" s="84"/>
      <c r="K114" s="84"/>
      <c r="L114" s="84"/>
      <c r="M114" s="84"/>
      <c r="N114" s="84"/>
      <c r="O114" s="84"/>
      <c r="P114" s="84"/>
      <c r="Q114" s="84"/>
      <c r="R114" s="84"/>
      <c r="S114" s="84"/>
      <c r="T114" s="84"/>
      <c r="U114" s="84"/>
      <c r="V114" s="84"/>
      <c r="W114" s="84"/>
      <c r="X114" s="84"/>
      <c r="Y114" s="84"/>
      <c r="Z114" s="84"/>
    </row>
    <row r="115" ht="15.75" customHeight="1">
      <c r="A115" s="84"/>
      <c r="B115" s="84"/>
      <c r="C115" s="84"/>
      <c r="D115" s="84"/>
      <c r="E115" s="84"/>
      <c r="F115" s="84"/>
      <c r="G115" s="84"/>
      <c r="H115" s="84"/>
      <c r="I115" s="84"/>
      <c r="J115" s="84"/>
      <c r="K115" s="84"/>
      <c r="L115" s="84"/>
      <c r="M115" s="84"/>
      <c r="N115" s="84"/>
      <c r="O115" s="84"/>
      <c r="P115" s="84"/>
      <c r="Q115" s="84"/>
      <c r="R115" s="84"/>
      <c r="S115" s="84"/>
      <c r="T115" s="84"/>
      <c r="U115" s="84"/>
      <c r="V115" s="84"/>
      <c r="W115" s="84"/>
      <c r="X115" s="84"/>
      <c r="Y115" s="84"/>
      <c r="Z115" s="84"/>
    </row>
    <row r="116" ht="15.75" customHeight="1">
      <c r="A116" s="84"/>
      <c r="B116" s="84"/>
      <c r="C116" s="84"/>
      <c r="D116" s="84"/>
      <c r="E116" s="84"/>
      <c r="F116" s="84"/>
      <c r="G116" s="84"/>
      <c r="H116" s="84"/>
      <c r="I116" s="84"/>
      <c r="J116" s="84"/>
      <c r="K116" s="84"/>
      <c r="L116" s="84"/>
      <c r="M116" s="84"/>
      <c r="N116" s="84"/>
      <c r="O116" s="84"/>
      <c r="P116" s="84"/>
      <c r="Q116" s="84"/>
      <c r="R116" s="84"/>
      <c r="S116" s="84"/>
      <c r="T116" s="84"/>
      <c r="U116" s="84"/>
      <c r="V116" s="84"/>
      <c r="W116" s="84"/>
      <c r="X116" s="84"/>
      <c r="Y116" s="84"/>
      <c r="Z116" s="84"/>
    </row>
    <row r="117" ht="15.75" customHeight="1">
      <c r="A117" s="84"/>
      <c r="B117" s="84"/>
      <c r="C117" s="84"/>
      <c r="D117" s="84"/>
      <c r="E117" s="84"/>
      <c r="F117" s="84"/>
      <c r="G117" s="84"/>
      <c r="H117" s="84"/>
      <c r="I117" s="84"/>
      <c r="J117" s="84"/>
      <c r="K117" s="84"/>
      <c r="L117" s="84"/>
      <c r="M117" s="84"/>
      <c r="N117" s="84"/>
      <c r="O117" s="84"/>
      <c r="P117" s="84"/>
      <c r="Q117" s="84"/>
      <c r="R117" s="84"/>
      <c r="S117" s="84"/>
      <c r="T117" s="84"/>
      <c r="U117" s="84"/>
      <c r="V117" s="84"/>
      <c r="W117" s="84"/>
      <c r="X117" s="84"/>
      <c r="Y117" s="84"/>
      <c r="Z117" s="84"/>
    </row>
    <row r="118" ht="15.75" customHeight="1">
      <c r="A118" s="84"/>
      <c r="B118" s="84"/>
      <c r="C118" s="84"/>
      <c r="D118" s="84"/>
      <c r="E118" s="84"/>
      <c r="F118" s="84"/>
      <c r="G118" s="84"/>
      <c r="H118" s="84"/>
      <c r="I118" s="84"/>
      <c r="J118" s="84"/>
      <c r="K118" s="84"/>
      <c r="L118" s="84"/>
      <c r="M118" s="84"/>
      <c r="N118" s="84"/>
      <c r="O118" s="84"/>
      <c r="P118" s="84"/>
      <c r="Q118" s="84"/>
      <c r="R118" s="84"/>
      <c r="S118" s="84"/>
      <c r="T118" s="84"/>
      <c r="U118" s="84"/>
      <c r="V118" s="84"/>
      <c r="W118" s="84"/>
      <c r="X118" s="84"/>
      <c r="Y118" s="84"/>
      <c r="Z118" s="84"/>
    </row>
    <row r="119" ht="15.75" customHeight="1">
      <c r="A119" s="84"/>
      <c r="B119" s="84"/>
      <c r="C119" s="84"/>
      <c r="D119" s="84"/>
      <c r="E119" s="84"/>
      <c r="F119" s="84"/>
      <c r="G119" s="84"/>
      <c r="H119" s="84"/>
      <c r="I119" s="84"/>
      <c r="J119" s="84"/>
      <c r="K119" s="84"/>
      <c r="L119" s="84"/>
      <c r="M119" s="84"/>
      <c r="N119" s="84"/>
      <c r="O119" s="84"/>
      <c r="P119" s="84"/>
      <c r="Q119" s="84"/>
      <c r="R119" s="84"/>
      <c r="S119" s="84"/>
      <c r="T119" s="84"/>
      <c r="U119" s="84"/>
      <c r="V119" s="84"/>
      <c r="W119" s="84"/>
      <c r="X119" s="84"/>
      <c r="Y119" s="84"/>
      <c r="Z119" s="84"/>
    </row>
    <row r="120" ht="15.75" customHeight="1">
      <c r="A120" s="84"/>
      <c r="B120" s="84"/>
      <c r="C120" s="84"/>
      <c r="D120" s="84"/>
      <c r="E120" s="84"/>
      <c r="F120" s="84"/>
      <c r="G120" s="84"/>
      <c r="H120" s="84"/>
      <c r="I120" s="84"/>
      <c r="J120" s="84"/>
      <c r="K120" s="84"/>
      <c r="L120" s="84"/>
      <c r="M120" s="84"/>
      <c r="N120" s="84"/>
      <c r="O120" s="84"/>
      <c r="P120" s="84"/>
      <c r="Q120" s="84"/>
      <c r="R120" s="84"/>
      <c r="S120" s="84"/>
      <c r="T120" s="84"/>
      <c r="U120" s="84"/>
      <c r="V120" s="84"/>
      <c r="W120" s="84"/>
      <c r="X120" s="84"/>
      <c r="Y120" s="84"/>
      <c r="Z120" s="84"/>
    </row>
    <row r="121" ht="15.75" customHeight="1">
      <c r="A121" s="84"/>
      <c r="B121" s="84"/>
      <c r="C121" s="84"/>
      <c r="D121" s="84"/>
      <c r="E121" s="84"/>
      <c r="F121" s="84"/>
      <c r="G121" s="84"/>
      <c r="H121" s="84"/>
      <c r="I121" s="84"/>
      <c r="J121" s="84"/>
      <c r="K121" s="84"/>
      <c r="L121" s="84"/>
      <c r="M121" s="84"/>
      <c r="N121" s="84"/>
      <c r="O121" s="84"/>
      <c r="P121" s="84"/>
      <c r="Q121" s="84"/>
      <c r="R121" s="84"/>
      <c r="S121" s="84"/>
      <c r="T121" s="84"/>
      <c r="U121" s="84"/>
      <c r="V121" s="84"/>
      <c r="W121" s="84"/>
      <c r="X121" s="84"/>
      <c r="Y121" s="84"/>
      <c r="Z121" s="84"/>
    </row>
    <row r="122" ht="15.75" customHeight="1">
      <c r="A122" s="84"/>
      <c r="B122" s="84"/>
      <c r="C122" s="84"/>
      <c r="D122" s="84"/>
      <c r="E122" s="84"/>
      <c r="F122" s="84"/>
      <c r="G122" s="84"/>
      <c r="H122" s="84"/>
      <c r="I122" s="84"/>
      <c r="J122" s="84"/>
      <c r="K122" s="84"/>
      <c r="L122" s="84"/>
      <c r="M122" s="84"/>
      <c r="N122" s="84"/>
      <c r="O122" s="84"/>
      <c r="P122" s="84"/>
      <c r="Q122" s="84"/>
      <c r="R122" s="84"/>
      <c r="S122" s="84"/>
      <c r="T122" s="84"/>
      <c r="U122" s="84"/>
      <c r="V122" s="84"/>
      <c r="W122" s="84"/>
      <c r="X122" s="84"/>
      <c r="Y122" s="84"/>
      <c r="Z122" s="84"/>
    </row>
    <row r="123" ht="15.75" customHeight="1">
      <c r="A123" s="84"/>
      <c r="B123" s="84"/>
      <c r="C123" s="84"/>
      <c r="D123" s="84"/>
      <c r="E123" s="84"/>
      <c r="F123" s="84"/>
      <c r="G123" s="84"/>
      <c r="H123" s="84"/>
      <c r="I123" s="84"/>
      <c r="J123" s="84"/>
      <c r="K123" s="84"/>
      <c r="L123" s="84"/>
      <c r="M123" s="84"/>
      <c r="N123" s="84"/>
      <c r="O123" s="84"/>
      <c r="P123" s="84"/>
      <c r="Q123" s="84"/>
      <c r="R123" s="84"/>
      <c r="S123" s="84"/>
      <c r="T123" s="84"/>
      <c r="U123" s="84"/>
      <c r="V123" s="84"/>
      <c r="W123" s="84"/>
      <c r="X123" s="84"/>
      <c r="Y123" s="84"/>
      <c r="Z123" s="84"/>
    </row>
    <row r="124" ht="15.75" customHeight="1">
      <c r="A124" s="84"/>
      <c r="B124" s="84"/>
      <c r="C124" s="84"/>
      <c r="D124" s="84"/>
      <c r="E124" s="84"/>
      <c r="F124" s="84"/>
      <c r="G124" s="84"/>
      <c r="H124" s="84"/>
      <c r="I124" s="84"/>
      <c r="J124" s="84"/>
      <c r="K124" s="84"/>
      <c r="L124" s="84"/>
      <c r="M124" s="84"/>
      <c r="N124" s="84"/>
      <c r="O124" s="84"/>
      <c r="P124" s="84"/>
      <c r="Q124" s="84"/>
      <c r="R124" s="84"/>
      <c r="S124" s="84"/>
      <c r="T124" s="84"/>
      <c r="U124" s="84"/>
      <c r="V124" s="84"/>
      <c r="W124" s="84"/>
      <c r="X124" s="84"/>
      <c r="Y124" s="84"/>
      <c r="Z124" s="84"/>
    </row>
    <row r="125" ht="15.75" customHeight="1">
      <c r="A125" s="84"/>
      <c r="B125" s="84"/>
      <c r="C125" s="84"/>
      <c r="D125" s="84"/>
      <c r="E125" s="84"/>
      <c r="F125" s="84"/>
      <c r="G125" s="84"/>
      <c r="H125" s="84"/>
      <c r="I125" s="84"/>
      <c r="J125" s="84"/>
      <c r="K125" s="84"/>
      <c r="L125" s="84"/>
      <c r="M125" s="84"/>
      <c r="N125" s="84"/>
      <c r="O125" s="84"/>
      <c r="P125" s="84"/>
      <c r="Q125" s="84"/>
      <c r="R125" s="84"/>
      <c r="S125" s="84"/>
      <c r="T125" s="84"/>
      <c r="U125" s="84"/>
      <c r="V125" s="84"/>
      <c r="W125" s="84"/>
      <c r="X125" s="84"/>
      <c r="Y125" s="84"/>
      <c r="Z125" s="84"/>
    </row>
    <row r="126" ht="15.75" customHeight="1">
      <c r="A126" s="84"/>
      <c r="B126" s="84"/>
      <c r="C126" s="84"/>
      <c r="D126" s="84"/>
      <c r="E126" s="84"/>
      <c r="F126" s="84"/>
      <c r="G126" s="84"/>
      <c r="H126" s="84"/>
      <c r="I126" s="84"/>
      <c r="J126" s="84"/>
      <c r="K126" s="84"/>
      <c r="L126" s="84"/>
      <c r="M126" s="84"/>
      <c r="N126" s="84"/>
      <c r="O126" s="84"/>
      <c r="P126" s="84"/>
      <c r="Q126" s="84"/>
      <c r="R126" s="84"/>
      <c r="S126" s="84"/>
      <c r="T126" s="84"/>
      <c r="U126" s="84"/>
      <c r="V126" s="84"/>
      <c r="W126" s="84"/>
      <c r="X126" s="84"/>
      <c r="Y126" s="84"/>
      <c r="Z126" s="84"/>
    </row>
    <row r="127" ht="15.75" customHeight="1">
      <c r="A127" s="84"/>
      <c r="B127" s="84"/>
      <c r="C127" s="84"/>
      <c r="D127" s="84"/>
      <c r="E127" s="84"/>
      <c r="F127" s="84"/>
      <c r="G127" s="84"/>
      <c r="H127" s="84"/>
      <c r="I127" s="84"/>
      <c r="J127" s="84"/>
      <c r="K127" s="84"/>
      <c r="L127" s="84"/>
      <c r="M127" s="84"/>
      <c r="N127" s="84"/>
      <c r="O127" s="84"/>
      <c r="P127" s="84"/>
      <c r="Q127" s="84"/>
      <c r="R127" s="84"/>
      <c r="S127" s="84"/>
      <c r="T127" s="84"/>
      <c r="U127" s="84"/>
      <c r="V127" s="84"/>
      <c r="W127" s="84"/>
      <c r="X127" s="84"/>
      <c r="Y127" s="84"/>
      <c r="Z127" s="84"/>
    </row>
    <row r="128" ht="15.75" customHeight="1">
      <c r="A128" s="84"/>
      <c r="B128" s="84"/>
      <c r="C128" s="84"/>
      <c r="D128" s="84"/>
      <c r="E128" s="84"/>
      <c r="F128" s="84"/>
      <c r="G128" s="84"/>
      <c r="H128" s="84"/>
      <c r="I128" s="84"/>
      <c r="J128" s="84"/>
      <c r="K128" s="84"/>
      <c r="L128" s="84"/>
      <c r="M128" s="84"/>
      <c r="N128" s="84"/>
      <c r="O128" s="84"/>
      <c r="P128" s="84"/>
      <c r="Q128" s="84"/>
      <c r="R128" s="84"/>
      <c r="S128" s="84"/>
      <c r="T128" s="84"/>
      <c r="U128" s="84"/>
      <c r="V128" s="84"/>
      <c r="W128" s="84"/>
      <c r="X128" s="84"/>
      <c r="Y128" s="84"/>
      <c r="Z128" s="84"/>
    </row>
    <row r="129" ht="15.75" customHeight="1">
      <c r="A129" s="84"/>
      <c r="B129" s="84"/>
      <c r="C129" s="84"/>
      <c r="D129" s="84"/>
      <c r="E129" s="84"/>
      <c r="F129" s="84"/>
      <c r="G129" s="84"/>
      <c r="H129" s="84"/>
      <c r="I129" s="84"/>
      <c r="J129" s="84"/>
      <c r="K129" s="84"/>
      <c r="L129" s="84"/>
      <c r="M129" s="84"/>
      <c r="N129" s="84"/>
      <c r="O129" s="84"/>
      <c r="P129" s="84"/>
      <c r="Q129" s="84"/>
      <c r="R129" s="84"/>
      <c r="S129" s="84"/>
      <c r="T129" s="84"/>
      <c r="U129" s="84"/>
      <c r="V129" s="84"/>
      <c r="W129" s="84"/>
      <c r="X129" s="84"/>
      <c r="Y129" s="84"/>
      <c r="Z129" s="84"/>
    </row>
    <row r="130" ht="15.75" customHeight="1">
      <c r="A130" s="84"/>
      <c r="B130" s="84"/>
      <c r="C130" s="84"/>
      <c r="D130" s="84"/>
      <c r="E130" s="84"/>
      <c r="F130" s="84"/>
      <c r="G130" s="84"/>
      <c r="H130" s="84"/>
      <c r="I130" s="84"/>
      <c r="J130" s="84"/>
      <c r="K130" s="84"/>
      <c r="L130" s="84"/>
      <c r="M130" s="84"/>
      <c r="N130" s="84"/>
      <c r="O130" s="84"/>
      <c r="P130" s="84"/>
      <c r="Q130" s="84"/>
      <c r="R130" s="84"/>
      <c r="S130" s="84"/>
      <c r="T130" s="84"/>
      <c r="U130" s="84"/>
      <c r="V130" s="84"/>
      <c r="W130" s="84"/>
      <c r="X130" s="84"/>
      <c r="Y130" s="84"/>
      <c r="Z130" s="84"/>
    </row>
    <row r="131" ht="15.75" customHeight="1">
      <c r="A131" s="84"/>
      <c r="B131" s="84"/>
      <c r="C131" s="84"/>
      <c r="D131" s="84"/>
      <c r="E131" s="84"/>
      <c r="F131" s="84"/>
      <c r="G131" s="84"/>
      <c r="H131" s="84"/>
      <c r="I131" s="84"/>
      <c r="J131" s="84"/>
      <c r="K131" s="84"/>
      <c r="L131" s="84"/>
      <c r="M131" s="84"/>
      <c r="N131" s="84"/>
      <c r="O131" s="84"/>
      <c r="P131" s="84"/>
      <c r="Q131" s="84"/>
      <c r="R131" s="84"/>
      <c r="S131" s="84"/>
      <c r="T131" s="84"/>
      <c r="U131" s="84"/>
      <c r="V131" s="84"/>
      <c r="W131" s="84"/>
      <c r="X131" s="84"/>
      <c r="Y131" s="84"/>
      <c r="Z131" s="84"/>
    </row>
    <row r="132" ht="15.75" customHeight="1">
      <c r="A132" s="84"/>
      <c r="B132" s="84"/>
      <c r="C132" s="84"/>
      <c r="D132" s="84"/>
      <c r="E132" s="84"/>
      <c r="F132" s="84"/>
      <c r="G132" s="84"/>
      <c r="H132" s="84"/>
      <c r="I132" s="84"/>
      <c r="J132" s="84"/>
      <c r="K132" s="84"/>
      <c r="L132" s="84"/>
      <c r="M132" s="84"/>
      <c r="N132" s="84"/>
      <c r="O132" s="84"/>
      <c r="P132" s="84"/>
      <c r="Q132" s="84"/>
      <c r="R132" s="84"/>
      <c r="S132" s="84"/>
      <c r="T132" s="84"/>
      <c r="U132" s="84"/>
      <c r="V132" s="84"/>
      <c r="W132" s="84"/>
      <c r="X132" s="84"/>
      <c r="Y132" s="84"/>
      <c r="Z132" s="84"/>
    </row>
    <row r="133" ht="15.75" customHeight="1">
      <c r="A133" s="84"/>
      <c r="B133" s="84"/>
      <c r="C133" s="84"/>
      <c r="D133" s="84"/>
      <c r="E133" s="84"/>
      <c r="F133" s="84"/>
      <c r="G133" s="84"/>
      <c r="H133" s="84"/>
      <c r="I133" s="84"/>
      <c r="J133" s="84"/>
      <c r="K133" s="84"/>
      <c r="L133" s="84"/>
      <c r="M133" s="84"/>
      <c r="N133" s="84"/>
      <c r="O133" s="84"/>
      <c r="P133" s="84"/>
      <c r="Q133" s="84"/>
      <c r="R133" s="84"/>
      <c r="S133" s="84"/>
      <c r="T133" s="84"/>
      <c r="U133" s="84"/>
      <c r="V133" s="84"/>
      <c r="W133" s="84"/>
      <c r="X133" s="84"/>
      <c r="Y133" s="84"/>
      <c r="Z133" s="84"/>
    </row>
    <row r="134" ht="15.75" customHeight="1">
      <c r="A134" s="84"/>
      <c r="B134" s="84"/>
      <c r="C134" s="84"/>
      <c r="D134" s="84"/>
      <c r="E134" s="84"/>
      <c r="F134" s="84"/>
      <c r="G134" s="84"/>
      <c r="H134" s="84"/>
      <c r="I134" s="84"/>
      <c r="J134" s="84"/>
      <c r="K134" s="84"/>
      <c r="L134" s="84"/>
      <c r="M134" s="84"/>
      <c r="N134" s="84"/>
      <c r="O134" s="84"/>
      <c r="P134" s="84"/>
      <c r="Q134" s="84"/>
      <c r="R134" s="84"/>
      <c r="S134" s="84"/>
      <c r="T134" s="84"/>
      <c r="U134" s="84"/>
      <c r="V134" s="84"/>
      <c r="W134" s="84"/>
      <c r="X134" s="84"/>
      <c r="Y134" s="84"/>
      <c r="Z134" s="84"/>
    </row>
    <row r="135" ht="15.75" customHeight="1">
      <c r="A135" s="84"/>
      <c r="B135" s="84"/>
      <c r="C135" s="84"/>
      <c r="D135" s="84"/>
      <c r="E135" s="84"/>
      <c r="F135" s="84"/>
      <c r="G135" s="84"/>
      <c r="H135" s="84"/>
      <c r="I135" s="84"/>
      <c r="J135" s="84"/>
      <c r="K135" s="84"/>
      <c r="L135" s="84"/>
      <c r="M135" s="84"/>
      <c r="N135" s="84"/>
      <c r="O135" s="84"/>
      <c r="P135" s="84"/>
      <c r="Q135" s="84"/>
      <c r="R135" s="84"/>
      <c r="S135" s="84"/>
      <c r="T135" s="84"/>
      <c r="U135" s="84"/>
      <c r="V135" s="84"/>
      <c r="W135" s="84"/>
      <c r="X135" s="84"/>
      <c r="Y135" s="84"/>
      <c r="Z135" s="84"/>
    </row>
    <row r="136" ht="15.75" customHeight="1">
      <c r="A136" s="84"/>
      <c r="B136" s="84"/>
      <c r="C136" s="84"/>
      <c r="D136" s="84"/>
      <c r="E136" s="84"/>
      <c r="F136" s="84"/>
      <c r="G136" s="84"/>
      <c r="H136" s="84"/>
      <c r="I136" s="84"/>
      <c r="J136" s="84"/>
      <c r="K136" s="84"/>
      <c r="L136" s="84"/>
      <c r="M136" s="84"/>
      <c r="N136" s="84"/>
      <c r="O136" s="84"/>
      <c r="P136" s="84"/>
      <c r="Q136" s="84"/>
      <c r="R136" s="84"/>
      <c r="S136" s="84"/>
      <c r="T136" s="84"/>
      <c r="U136" s="84"/>
      <c r="V136" s="84"/>
      <c r="W136" s="84"/>
      <c r="X136" s="84"/>
      <c r="Y136" s="84"/>
      <c r="Z136" s="84"/>
    </row>
    <row r="137" ht="15.75" customHeight="1">
      <c r="A137" s="84"/>
      <c r="B137" s="84"/>
      <c r="C137" s="84"/>
      <c r="D137" s="84"/>
      <c r="E137" s="84"/>
      <c r="F137" s="84"/>
      <c r="G137" s="84"/>
      <c r="H137" s="84"/>
      <c r="I137" s="84"/>
      <c r="J137" s="84"/>
      <c r="K137" s="84"/>
      <c r="L137" s="84"/>
      <c r="M137" s="84"/>
      <c r="N137" s="84"/>
      <c r="O137" s="84"/>
      <c r="P137" s="84"/>
      <c r="Q137" s="84"/>
      <c r="R137" s="84"/>
      <c r="S137" s="84"/>
      <c r="T137" s="84"/>
      <c r="U137" s="84"/>
      <c r="V137" s="84"/>
      <c r="W137" s="84"/>
      <c r="X137" s="84"/>
      <c r="Y137" s="84"/>
      <c r="Z137" s="84"/>
    </row>
    <row r="138" ht="15.75" customHeight="1">
      <c r="A138" s="84"/>
      <c r="B138" s="84"/>
      <c r="C138" s="84"/>
      <c r="D138" s="84"/>
      <c r="E138" s="84"/>
      <c r="F138" s="84"/>
      <c r="G138" s="84"/>
      <c r="H138" s="84"/>
      <c r="I138" s="84"/>
      <c r="J138" s="84"/>
      <c r="K138" s="84"/>
      <c r="L138" s="84"/>
      <c r="M138" s="84"/>
      <c r="N138" s="84"/>
      <c r="O138" s="84"/>
      <c r="P138" s="84"/>
      <c r="Q138" s="84"/>
      <c r="R138" s="84"/>
      <c r="S138" s="84"/>
      <c r="T138" s="84"/>
      <c r="U138" s="84"/>
      <c r="V138" s="84"/>
      <c r="W138" s="84"/>
      <c r="X138" s="84"/>
      <c r="Y138" s="84"/>
      <c r="Z138" s="84"/>
    </row>
    <row r="139" ht="15.75" customHeight="1">
      <c r="A139" s="84"/>
      <c r="B139" s="84"/>
      <c r="C139" s="84"/>
      <c r="D139" s="84"/>
      <c r="E139" s="84"/>
      <c r="F139" s="84"/>
      <c r="G139" s="84"/>
      <c r="H139" s="84"/>
      <c r="I139" s="84"/>
      <c r="J139" s="84"/>
      <c r="K139" s="84"/>
      <c r="L139" s="84"/>
      <c r="M139" s="84"/>
      <c r="N139" s="84"/>
      <c r="O139" s="84"/>
      <c r="P139" s="84"/>
      <c r="Q139" s="84"/>
      <c r="R139" s="84"/>
      <c r="S139" s="84"/>
      <c r="T139" s="84"/>
      <c r="U139" s="84"/>
      <c r="V139" s="84"/>
      <c r="W139" s="84"/>
      <c r="X139" s="84"/>
      <c r="Y139" s="84"/>
      <c r="Z139" s="84"/>
    </row>
    <row r="140" ht="15.75" customHeight="1">
      <c r="A140" s="84"/>
      <c r="B140" s="84"/>
      <c r="C140" s="84"/>
      <c r="D140" s="84"/>
      <c r="E140" s="84"/>
      <c r="F140" s="84"/>
      <c r="G140" s="84"/>
      <c r="H140" s="84"/>
      <c r="I140" s="84"/>
      <c r="J140" s="84"/>
      <c r="K140" s="84"/>
      <c r="L140" s="84"/>
      <c r="M140" s="84"/>
      <c r="N140" s="84"/>
      <c r="O140" s="84"/>
      <c r="P140" s="84"/>
      <c r="Q140" s="84"/>
      <c r="R140" s="84"/>
      <c r="S140" s="84"/>
      <c r="T140" s="84"/>
      <c r="U140" s="84"/>
      <c r="V140" s="84"/>
      <c r="W140" s="84"/>
      <c r="X140" s="84"/>
      <c r="Y140" s="84"/>
      <c r="Z140" s="84"/>
    </row>
    <row r="141" ht="15.75" customHeight="1">
      <c r="A141" s="84"/>
      <c r="B141" s="84"/>
      <c r="C141" s="84"/>
      <c r="D141" s="84"/>
      <c r="E141" s="84"/>
      <c r="F141" s="84"/>
      <c r="G141" s="84"/>
      <c r="H141" s="84"/>
      <c r="I141" s="84"/>
      <c r="J141" s="84"/>
      <c r="K141" s="84"/>
      <c r="L141" s="84"/>
      <c r="M141" s="84"/>
      <c r="N141" s="84"/>
      <c r="O141" s="84"/>
      <c r="P141" s="84"/>
      <c r="Q141" s="84"/>
      <c r="R141" s="84"/>
      <c r="S141" s="84"/>
      <c r="T141" s="84"/>
      <c r="U141" s="84"/>
      <c r="V141" s="84"/>
      <c r="W141" s="84"/>
      <c r="X141" s="84"/>
      <c r="Y141" s="84"/>
      <c r="Z141" s="84"/>
    </row>
    <row r="142" ht="15.75" customHeight="1">
      <c r="A142" s="84"/>
      <c r="B142" s="84"/>
      <c r="C142" s="84"/>
      <c r="D142" s="84"/>
      <c r="E142" s="84"/>
      <c r="F142" s="84"/>
      <c r="G142" s="84"/>
      <c r="H142" s="84"/>
      <c r="I142" s="84"/>
      <c r="J142" s="84"/>
      <c r="K142" s="84"/>
      <c r="L142" s="84"/>
      <c r="M142" s="84"/>
      <c r="N142" s="84"/>
      <c r="O142" s="84"/>
      <c r="P142" s="84"/>
      <c r="Q142" s="84"/>
      <c r="R142" s="84"/>
      <c r="S142" s="84"/>
      <c r="T142" s="84"/>
      <c r="U142" s="84"/>
      <c r="V142" s="84"/>
      <c r="W142" s="84"/>
      <c r="X142" s="84"/>
      <c r="Y142" s="84"/>
      <c r="Z142" s="84"/>
    </row>
    <row r="143" ht="15.75" customHeight="1">
      <c r="A143" s="84"/>
      <c r="B143" s="84"/>
      <c r="C143" s="84"/>
      <c r="D143" s="84"/>
      <c r="E143" s="84"/>
      <c r="F143" s="84"/>
      <c r="G143" s="84"/>
      <c r="H143" s="84"/>
      <c r="I143" s="84"/>
      <c r="J143" s="84"/>
      <c r="K143" s="84"/>
      <c r="L143" s="84"/>
      <c r="M143" s="84"/>
      <c r="N143" s="84"/>
      <c r="O143" s="84"/>
      <c r="P143" s="84"/>
      <c r="Q143" s="84"/>
      <c r="R143" s="84"/>
      <c r="S143" s="84"/>
      <c r="T143" s="84"/>
      <c r="U143" s="84"/>
      <c r="V143" s="84"/>
      <c r="W143" s="84"/>
      <c r="X143" s="84"/>
      <c r="Y143" s="84"/>
      <c r="Z143" s="84"/>
    </row>
    <row r="144" ht="15.75" customHeight="1">
      <c r="A144" s="84"/>
      <c r="B144" s="84"/>
      <c r="C144" s="84"/>
      <c r="D144" s="84"/>
      <c r="E144" s="84"/>
      <c r="F144" s="84"/>
      <c r="G144" s="84"/>
      <c r="H144" s="84"/>
      <c r="I144" s="84"/>
      <c r="J144" s="84"/>
      <c r="K144" s="84"/>
      <c r="L144" s="84"/>
      <c r="M144" s="84"/>
      <c r="N144" s="84"/>
      <c r="O144" s="84"/>
      <c r="P144" s="84"/>
      <c r="Q144" s="84"/>
      <c r="R144" s="84"/>
      <c r="S144" s="84"/>
      <c r="T144" s="84"/>
      <c r="U144" s="84"/>
      <c r="V144" s="84"/>
      <c r="W144" s="84"/>
      <c r="X144" s="84"/>
      <c r="Y144" s="84"/>
      <c r="Z144" s="84"/>
    </row>
    <row r="145" ht="15.75" customHeight="1">
      <c r="A145" s="84"/>
      <c r="B145" s="84"/>
      <c r="C145" s="84"/>
      <c r="D145" s="84"/>
      <c r="E145" s="84"/>
      <c r="F145" s="84"/>
      <c r="G145" s="84"/>
      <c r="H145" s="84"/>
      <c r="I145" s="84"/>
      <c r="J145" s="84"/>
      <c r="K145" s="84"/>
      <c r="L145" s="84"/>
      <c r="M145" s="84"/>
      <c r="N145" s="84"/>
      <c r="O145" s="84"/>
      <c r="P145" s="84"/>
      <c r="Q145" s="84"/>
      <c r="R145" s="84"/>
      <c r="S145" s="84"/>
      <c r="T145" s="84"/>
      <c r="U145" s="84"/>
      <c r="V145" s="84"/>
      <c r="W145" s="84"/>
      <c r="X145" s="84"/>
      <c r="Y145" s="84"/>
      <c r="Z145" s="84"/>
    </row>
    <row r="146" ht="15.75" customHeight="1">
      <c r="A146" s="84"/>
      <c r="B146" s="84"/>
      <c r="C146" s="84"/>
      <c r="D146" s="84"/>
      <c r="E146" s="84"/>
      <c r="F146" s="84"/>
      <c r="G146" s="84"/>
      <c r="H146" s="84"/>
      <c r="I146" s="84"/>
      <c r="J146" s="84"/>
      <c r="K146" s="84"/>
      <c r="L146" s="84"/>
      <c r="M146" s="84"/>
      <c r="N146" s="84"/>
      <c r="O146" s="84"/>
      <c r="P146" s="84"/>
      <c r="Q146" s="84"/>
      <c r="R146" s="84"/>
      <c r="S146" s="84"/>
      <c r="T146" s="84"/>
      <c r="U146" s="84"/>
      <c r="V146" s="84"/>
      <c r="W146" s="84"/>
      <c r="X146" s="84"/>
      <c r="Y146" s="84"/>
      <c r="Z146" s="84"/>
    </row>
    <row r="147" ht="15.75" customHeight="1">
      <c r="A147" s="84"/>
      <c r="B147" s="84"/>
      <c r="C147" s="84"/>
      <c r="D147" s="84"/>
      <c r="E147" s="84"/>
      <c r="F147" s="84"/>
      <c r="G147" s="84"/>
      <c r="H147" s="84"/>
      <c r="I147" s="84"/>
      <c r="J147" s="84"/>
      <c r="K147" s="84"/>
      <c r="L147" s="84"/>
      <c r="M147" s="84"/>
      <c r="N147" s="84"/>
      <c r="O147" s="84"/>
      <c r="P147" s="84"/>
      <c r="Q147" s="84"/>
      <c r="R147" s="84"/>
      <c r="S147" s="84"/>
      <c r="T147" s="84"/>
      <c r="U147" s="84"/>
      <c r="V147" s="84"/>
      <c r="W147" s="84"/>
      <c r="X147" s="84"/>
      <c r="Y147" s="84"/>
      <c r="Z147" s="84"/>
    </row>
    <row r="148" ht="15.75" customHeight="1">
      <c r="A148" s="84"/>
      <c r="B148" s="84"/>
      <c r="C148" s="84"/>
      <c r="D148" s="84"/>
      <c r="E148" s="84"/>
      <c r="F148" s="84"/>
      <c r="G148" s="84"/>
      <c r="H148" s="84"/>
      <c r="I148" s="84"/>
      <c r="J148" s="84"/>
      <c r="K148" s="84"/>
      <c r="L148" s="84"/>
      <c r="M148" s="84"/>
      <c r="N148" s="84"/>
      <c r="O148" s="84"/>
      <c r="P148" s="84"/>
      <c r="Q148" s="84"/>
      <c r="R148" s="84"/>
      <c r="S148" s="84"/>
      <c r="T148" s="84"/>
      <c r="U148" s="84"/>
      <c r="V148" s="84"/>
      <c r="W148" s="84"/>
      <c r="X148" s="84"/>
      <c r="Y148" s="84"/>
      <c r="Z148" s="84"/>
    </row>
    <row r="149" ht="15.75" customHeight="1">
      <c r="A149" s="84"/>
      <c r="B149" s="84"/>
      <c r="C149" s="84"/>
      <c r="D149" s="84"/>
      <c r="E149" s="84"/>
      <c r="F149" s="84"/>
      <c r="G149" s="84"/>
      <c r="H149" s="84"/>
      <c r="I149" s="84"/>
      <c r="J149" s="84"/>
      <c r="K149" s="84"/>
      <c r="L149" s="84"/>
      <c r="M149" s="84"/>
      <c r="N149" s="84"/>
      <c r="O149" s="84"/>
      <c r="P149" s="84"/>
      <c r="Q149" s="84"/>
      <c r="R149" s="84"/>
      <c r="S149" s="84"/>
      <c r="T149" s="84"/>
      <c r="U149" s="84"/>
      <c r="V149" s="84"/>
      <c r="W149" s="84"/>
      <c r="X149" s="84"/>
      <c r="Y149" s="84"/>
      <c r="Z149" s="84"/>
    </row>
    <row r="150" ht="15.75" customHeight="1">
      <c r="A150" s="84"/>
      <c r="B150" s="84"/>
      <c r="C150" s="84"/>
      <c r="D150" s="84"/>
      <c r="E150" s="84"/>
      <c r="F150" s="84"/>
      <c r="G150" s="84"/>
      <c r="H150" s="84"/>
      <c r="I150" s="84"/>
      <c r="J150" s="84"/>
      <c r="K150" s="84"/>
      <c r="L150" s="84"/>
      <c r="M150" s="84"/>
      <c r="N150" s="84"/>
      <c r="O150" s="84"/>
      <c r="P150" s="84"/>
      <c r="Q150" s="84"/>
      <c r="R150" s="84"/>
      <c r="S150" s="84"/>
      <c r="T150" s="84"/>
      <c r="U150" s="84"/>
      <c r="V150" s="84"/>
      <c r="W150" s="84"/>
      <c r="X150" s="84"/>
      <c r="Y150" s="84"/>
      <c r="Z150" s="84"/>
    </row>
    <row r="151" ht="15.75" customHeight="1">
      <c r="A151" s="84"/>
      <c r="B151" s="84"/>
      <c r="C151" s="84"/>
      <c r="D151" s="84"/>
      <c r="E151" s="84"/>
      <c r="F151" s="84"/>
      <c r="G151" s="84"/>
      <c r="H151" s="84"/>
      <c r="I151" s="84"/>
      <c r="J151" s="84"/>
      <c r="K151" s="84"/>
      <c r="L151" s="84"/>
      <c r="M151" s="84"/>
      <c r="N151" s="84"/>
      <c r="O151" s="84"/>
      <c r="P151" s="84"/>
      <c r="Q151" s="84"/>
      <c r="R151" s="84"/>
      <c r="S151" s="84"/>
      <c r="T151" s="84"/>
      <c r="U151" s="84"/>
      <c r="V151" s="84"/>
      <c r="W151" s="84"/>
      <c r="X151" s="84"/>
      <c r="Y151" s="84"/>
      <c r="Z151" s="84"/>
    </row>
    <row r="152" ht="15.75" customHeight="1">
      <c r="A152" s="84"/>
      <c r="B152" s="84"/>
      <c r="C152" s="84"/>
      <c r="D152" s="84"/>
      <c r="E152" s="84"/>
      <c r="F152" s="84"/>
      <c r="G152" s="84"/>
      <c r="H152" s="84"/>
      <c r="I152" s="84"/>
      <c r="J152" s="84"/>
      <c r="K152" s="84"/>
      <c r="L152" s="84"/>
      <c r="M152" s="84"/>
      <c r="N152" s="84"/>
      <c r="O152" s="84"/>
      <c r="P152" s="84"/>
      <c r="Q152" s="84"/>
      <c r="R152" s="84"/>
      <c r="S152" s="84"/>
      <c r="T152" s="84"/>
      <c r="U152" s="84"/>
      <c r="V152" s="84"/>
      <c r="W152" s="84"/>
      <c r="X152" s="84"/>
      <c r="Y152" s="84"/>
      <c r="Z152" s="84"/>
    </row>
    <row r="153" ht="15.75" customHeight="1">
      <c r="A153" s="84"/>
      <c r="B153" s="84"/>
      <c r="C153" s="84"/>
      <c r="D153" s="84"/>
      <c r="E153" s="84"/>
      <c r="F153" s="84"/>
      <c r="G153" s="84"/>
      <c r="H153" s="84"/>
      <c r="I153" s="84"/>
      <c r="J153" s="84"/>
      <c r="K153" s="84"/>
      <c r="L153" s="84"/>
      <c r="M153" s="84"/>
      <c r="N153" s="84"/>
      <c r="O153" s="84"/>
      <c r="P153" s="84"/>
      <c r="Q153" s="84"/>
      <c r="R153" s="84"/>
      <c r="S153" s="84"/>
      <c r="T153" s="84"/>
      <c r="U153" s="84"/>
      <c r="V153" s="84"/>
      <c r="W153" s="84"/>
      <c r="X153" s="84"/>
      <c r="Y153" s="84"/>
      <c r="Z153" s="84"/>
    </row>
    <row r="154" ht="15.75" customHeight="1">
      <c r="A154" s="84"/>
      <c r="B154" s="84"/>
      <c r="C154" s="84"/>
      <c r="D154" s="84"/>
      <c r="E154" s="84"/>
      <c r="F154" s="84"/>
      <c r="G154" s="84"/>
      <c r="H154" s="84"/>
      <c r="I154" s="84"/>
      <c r="J154" s="84"/>
      <c r="K154" s="84"/>
      <c r="L154" s="84"/>
      <c r="M154" s="84"/>
      <c r="N154" s="84"/>
      <c r="O154" s="84"/>
      <c r="P154" s="84"/>
      <c r="Q154" s="84"/>
      <c r="R154" s="84"/>
      <c r="S154" s="84"/>
      <c r="T154" s="84"/>
      <c r="U154" s="84"/>
      <c r="V154" s="84"/>
      <c r="W154" s="84"/>
      <c r="X154" s="84"/>
      <c r="Y154" s="84"/>
      <c r="Z154" s="84"/>
    </row>
    <row r="155" ht="15.75" customHeight="1">
      <c r="A155" s="84"/>
      <c r="B155" s="84"/>
      <c r="C155" s="84"/>
      <c r="D155" s="84"/>
      <c r="E155" s="84"/>
      <c r="F155" s="84"/>
      <c r="G155" s="84"/>
      <c r="H155" s="84"/>
      <c r="I155" s="84"/>
      <c r="J155" s="84"/>
      <c r="K155" s="84"/>
      <c r="L155" s="84"/>
      <c r="M155" s="84"/>
      <c r="N155" s="84"/>
      <c r="O155" s="84"/>
      <c r="P155" s="84"/>
      <c r="Q155" s="84"/>
      <c r="R155" s="84"/>
      <c r="S155" s="84"/>
      <c r="T155" s="84"/>
      <c r="U155" s="84"/>
      <c r="V155" s="84"/>
      <c r="W155" s="84"/>
      <c r="X155" s="84"/>
      <c r="Y155" s="84"/>
      <c r="Z155" s="84"/>
    </row>
    <row r="156" ht="15.75" customHeight="1">
      <c r="A156" s="84"/>
      <c r="B156" s="84"/>
      <c r="C156" s="84"/>
      <c r="D156" s="84"/>
      <c r="E156" s="84"/>
      <c r="F156" s="84"/>
      <c r="G156" s="84"/>
      <c r="H156" s="84"/>
      <c r="I156" s="84"/>
      <c r="J156" s="84"/>
      <c r="K156" s="84"/>
      <c r="L156" s="84"/>
      <c r="M156" s="84"/>
      <c r="N156" s="84"/>
      <c r="O156" s="84"/>
      <c r="P156" s="84"/>
      <c r="Q156" s="84"/>
      <c r="R156" s="84"/>
      <c r="S156" s="84"/>
      <c r="T156" s="84"/>
      <c r="U156" s="84"/>
      <c r="V156" s="84"/>
      <c r="W156" s="84"/>
      <c r="X156" s="84"/>
      <c r="Y156" s="84"/>
      <c r="Z156" s="84"/>
    </row>
    <row r="157" ht="15.75" customHeight="1">
      <c r="A157" s="84"/>
      <c r="B157" s="84"/>
      <c r="C157" s="84"/>
      <c r="D157" s="84"/>
      <c r="E157" s="84"/>
      <c r="F157" s="84"/>
      <c r="G157" s="84"/>
      <c r="H157" s="84"/>
      <c r="I157" s="84"/>
      <c r="J157" s="84"/>
      <c r="K157" s="84"/>
      <c r="L157" s="84"/>
      <c r="M157" s="84"/>
      <c r="N157" s="84"/>
      <c r="O157" s="84"/>
      <c r="P157" s="84"/>
      <c r="Q157" s="84"/>
      <c r="R157" s="84"/>
      <c r="S157" s="84"/>
      <c r="T157" s="84"/>
      <c r="U157" s="84"/>
      <c r="V157" s="84"/>
      <c r="W157" s="84"/>
      <c r="X157" s="84"/>
      <c r="Y157" s="84"/>
      <c r="Z157" s="84"/>
    </row>
    <row r="158" ht="15.75" customHeight="1">
      <c r="A158" s="84"/>
      <c r="B158" s="84"/>
      <c r="C158" s="84"/>
      <c r="D158" s="84"/>
      <c r="E158" s="84"/>
      <c r="F158" s="84"/>
      <c r="G158" s="84"/>
      <c r="H158" s="84"/>
      <c r="I158" s="84"/>
      <c r="J158" s="84"/>
      <c r="K158" s="84"/>
      <c r="L158" s="84"/>
      <c r="M158" s="84"/>
      <c r="N158" s="84"/>
      <c r="O158" s="84"/>
      <c r="P158" s="84"/>
      <c r="Q158" s="84"/>
      <c r="R158" s="84"/>
      <c r="S158" s="84"/>
      <c r="T158" s="84"/>
      <c r="U158" s="84"/>
      <c r="V158" s="84"/>
      <c r="W158" s="84"/>
      <c r="X158" s="84"/>
      <c r="Y158" s="84"/>
      <c r="Z158" s="84"/>
    </row>
    <row r="159" ht="15.75" customHeight="1">
      <c r="A159" s="84"/>
      <c r="B159" s="84"/>
      <c r="C159" s="84"/>
      <c r="D159" s="84"/>
      <c r="E159" s="84"/>
      <c r="F159" s="84"/>
      <c r="G159" s="84"/>
      <c r="H159" s="84"/>
      <c r="I159" s="84"/>
      <c r="J159" s="84"/>
      <c r="K159" s="84"/>
      <c r="L159" s="84"/>
      <c r="M159" s="84"/>
      <c r="N159" s="84"/>
      <c r="O159" s="84"/>
      <c r="P159" s="84"/>
      <c r="Q159" s="84"/>
      <c r="R159" s="84"/>
      <c r="S159" s="84"/>
      <c r="T159" s="84"/>
      <c r="U159" s="84"/>
      <c r="V159" s="84"/>
      <c r="W159" s="84"/>
      <c r="X159" s="84"/>
      <c r="Y159" s="84"/>
      <c r="Z159" s="84"/>
    </row>
    <row r="160" ht="15.75" customHeight="1">
      <c r="A160" s="84"/>
      <c r="B160" s="84"/>
      <c r="C160" s="84"/>
      <c r="D160" s="84"/>
      <c r="E160" s="84"/>
      <c r="F160" s="84"/>
      <c r="G160" s="84"/>
      <c r="H160" s="84"/>
      <c r="I160" s="84"/>
      <c r="J160" s="84"/>
      <c r="K160" s="84"/>
      <c r="L160" s="84"/>
      <c r="M160" s="84"/>
      <c r="N160" s="84"/>
      <c r="O160" s="84"/>
      <c r="P160" s="84"/>
      <c r="Q160" s="84"/>
      <c r="R160" s="84"/>
      <c r="S160" s="84"/>
      <c r="T160" s="84"/>
      <c r="U160" s="84"/>
      <c r="V160" s="84"/>
      <c r="W160" s="84"/>
      <c r="X160" s="84"/>
      <c r="Y160" s="84"/>
      <c r="Z160" s="84"/>
    </row>
    <row r="161" ht="15.75" customHeight="1">
      <c r="A161" s="84"/>
      <c r="B161" s="84"/>
      <c r="C161" s="84"/>
      <c r="D161" s="84"/>
      <c r="E161" s="84"/>
      <c r="F161" s="84"/>
      <c r="G161" s="84"/>
      <c r="H161" s="84"/>
      <c r="I161" s="84"/>
      <c r="J161" s="84"/>
      <c r="K161" s="84"/>
      <c r="L161" s="84"/>
      <c r="M161" s="84"/>
      <c r="N161" s="84"/>
      <c r="O161" s="84"/>
      <c r="P161" s="84"/>
      <c r="Q161" s="84"/>
      <c r="R161" s="84"/>
      <c r="S161" s="84"/>
      <c r="T161" s="84"/>
      <c r="U161" s="84"/>
      <c r="V161" s="84"/>
      <c r="W161" s="84"/>
      <c r="X161" s="84"/>
      <c r="Y161" s="84"/>
      <c r="Z161" s="84"/>
    </row>
    <row r="162" ht="15.75" customHeight="1">
      <c r="A162" s="84"/>
      <c r="B162" s="84"/>
      <c r="C162" s="84"/>
      <c r="D162" s="84"/>
      <c r="E162" s="84"/>
      <c r="F162" s="84"/>
      <c r="G162" s="84"/>
      <c r="H162" s="84"/>
      <c r="I162" s="84"/>
      <c r="J162" s="84"/>
      <c r="K162" s="84"/>
      <c r="L162" s="84"/>
      <c r="M162" s="84"/>
      <c r="N162" s="84"/>
      <c r="O162" s="84"/>
      <c r="P162" s="84"/>
      <c r="Q162" s="84"/>
      <c r="R162" s="84"/>
      <c r="S162" s="84"/>
      <c r="T162" s="84"/>
      <c r="U162" s="84"/>
      <c r="V162" s="84"/>
      <c r="W162" s="84"/>
      <c r="X162" s="84"/>
      <c r="Y162" s="84"/>
      <c r="Z162" s="84"/>
    </row>
    <row r="163" ht="15.75" customHeight="1">
      <c r="A163" s="84"/>
      <c r="B163" s="84"/>
      <c r="C163" s="84"/>
      <c r="D163" s="84"/>
      <c r="E163" s="84"/>
      <c r="F163" s="84"/>
      <c r="G163" s="84"/>
      <c r="H163" s="84"/>
      <c r="I163" s="84"/>
      <c r="J163" s="84"/>
      <c r="K163" s="84"/>
      <c r="L163" s="84"/>
      <c r="M163" s="84"/>
      <c r="N163" s="84"/>
      <c r="O163" s="84"/>
      <c r="P163" s="84"/>
      <c r="Q163" s="84"/>
      <c r="R163" s="84"/>
      <c r="S163" s="84"/>
      <c r="T163" s="84"/>
      <c r="U163" s="84"/>
      <c r="V163" s="84"/>
      <c r="W163" s="84"/>
      <c r="X163" s="84"/>
      <c r="Y163" s="84"/>
      <c r="Z163" s="84"/>
    </row>
    <row r="164" ht="15.75" customHeight="1">
      <c r="A164" s="84"/>
      <c r="B164" s="84"/>
      <c r="C164" s="84"/>
      <c r="D164" s="84"/>
      <c r="E164" s="84"/>
      <c r="F164" s="84"/>
      <c r="G164" s="84"/>
      <c r="H164" s="84"/>
      <c r="I164" s="84"/>
      <c r="J164" s="84"/>
      <c r="K164" s="84"/>
      <c r="L164" s="84"/>
      <c r="M164" s="84"/>
      <c r="N164" s="84"/>
      <c r="O164" s="84"/>
      <c r="P164" s="84"/>
      <c r="Q164" s="84"/>
      <c r="R164" s="84"/>
      <c r="S164" s="84"/>
      <c r="T164" s="84"/>
      <c r="U164" s="84"/>
      <c r="V164" s="84"/>
      <c r="W164" s="84"/>
      <c r="X164" s="84"/>
      <c r="Y164" s="84"/>
      <c r="Z164" s="84"/>
    </row>
    <row r="165" ht="15.75" customHeight="1">
      <c r="A165" s="84"/>
      <c r="B165" s="84"/>
      <c r="C165" s="84"/>
      <c r="D165" s="84"/>
      <c r="E165" s="84"/>
      <c r="F165" s="84"/>
      <c r="G165" s="84"/>
      <c r="H165" s="84"/>
      <c r="I165" s="84"/>
      <c r="J165" s="84"/>
      <c r="K165" s="84"/>
      <c r="L165" s="84"/>
      <c r="M165" s="84"/>
      <c r="N165" s="84"/>
      <c r="O165" s="84"/>
      <c r="P165" s="84"/>
      <c r="Q165" s="84"/>
      <c r="R165" s="84"/>
      <c r="S165" s="84"/>
      <c r="T165" s="84"/>
      <c r="U165" s="84"/>
      <c r="V165" s="84"/>
      <c r="W165" s="84"/>
      <c r="X165" s="84"/>
      <c r="Y165" s="84"/>
      <c r="Z165" s="84"/>
    </row>
    <row r="166" ht="15.75" customHeight="1">
      <c r="A166" s="84"/>
      <c r="B166" s="84"/>
      <c r="C166" s="84"/>
      <c r="D166" s="84"/>
      <c r="E166" s="84"/>
      <c r="F166" s="84"/>
      <c r="G166" s="84"/>
      <c r="H166" s="84"/>
      <c r="I166" s="84"/>
      <c r="J166" s="84"/>
      <c r="K166" s="84"/>
      <c r="L166" s="84"/>
      <c r="M166" s="84"/>
      <c r="N166" s="84"/>
      <c r="O166" s="84"/>
      <c r="P166" s="84"/>
      <c r="Q166" s="84"/>
      <c r="R166" s="84"/>
      <c r="S166" s="84"/>
      <c r="T166" s="84"/>
      <c r="U166" s="84"/>
      <c r="V166" s="84"/>
      <c r="W166" s="84"/>
      <c r="X166" s="84"/>
      <c r="Y166" s="84"/>
      <c r="Z166" s="84"/>
    </row>
    <row r="167" ht="15.75" customHeight="1">
      <c r="A167" s="84"/>
      <c r="B167" s="84"/>
      <c r="C167" s="84"/>
      <c r="D167" s="84"/>
      <c r="E167" s="84"/>
      <c r="F167" s="84"/>
      <c r="G167" s="84"/>
      <c r="H167" s="84"/>
      <c r="I167" s="84"/>
      <c r="J167" s="84"/>
      <c r="K167" s="84"/>
      <c r="L167" s="84"/>
      <c r="M167" s="84"/>
      <c r="N167" s="84"/>
      <c r="O167" s="84"/>
      <c r="P167" s="84"/>
      <c r="Q167" s="84"/>
      <c r="R167" s="84"/>
      <c r="S167" s="84"/>
      <c r="T167" s="84"/>
      <c r="U167" s="84"/>
      <c r="V167" s="84"/>
      <c r="W167" s="84"/>
      <c r="X167" s="84"/>
      <c r="Y167" s="84"/>
      <c r="Z167" s="84"/>
    </row>
    <row r="168" ht="15.75" customHeight="1">
      <c r="A168" s="84"/>
      <c r="B168" s="84"/>
      <c r="C168" s="84"/>
      <c r="D168" s="84"/>
      <c r="E168" s="84"/>
      <c r="F168" s="84"/>
      <c r="G168" s="84"/>
      <c r="H168" s="84"/>
      <c r="I168" s="84"/>
      <c r="J168" s="84"/>
      <c r="K168" s="84"/>
      <c r="L168" s="84"/>
      <c r="M168" s="84"/>
      <c r="N168" s="84"/>
      <c r="O168" s="84"/>
      <c r="P168" s="84"/>
      <c r="Q168" s="84"/>
      <c r="R168" s="84"/>
      <c r="S168" s="84"/>
      <c r="T168" s="84"/>
      <c r="U168" s="84"/>
      <c r="V168" s="84"/>
      <c r="W168" s="84"/>
      <c r="X168" s="84"/>
      <c r="Y168" s="84"/>
      <c r="Z168" s="84"/>
    </row>
    <row r="169" ht="15.75" customHeight="1">
      <c r="A169" s="84"/>
      <c r="B169" s="84"/>
      <c r="C169" s="84"/>
      <c r="D169" s="84"/>
      <c r="E169" s="84"/>
      <c r="F169" s="84"/>
      <c r="G169" s="84"/>
      <c r="H169" s="84"/>
      <c r="I169" s="84"/>
      <c r="J169" s="84"/>
      <c r="K169" s="84"/>
      <c r="L169" s="84"/>
      <c r="M169" s="84"/>
      <c r="N169" s="84"/>
      <c r="O169" s="84"/>
      <c r="P169" s="84"/>
      <c r="Q169" s="84"/>
      <c r="R169" s="84"/>
      <c r="S169" s="84"/>
      <c r="T169" s="84"/>
      <c r="U169" s="84"/>
      <c r="V169" s="84"/>
      <c r="W169" s="84"/>
      <c r="X169" s="84"/>
      <c r="Y169" s="84"/>
      <c r="Z169" s="84"/>
    </row>
    <row r="170" ht="15.75" customHeight="1">
      <c r="A170" s="84"/>
      <c r="B170" s="84"/>
      <c r="C170" s="84"/>
      <c r="D170" s="84"/>
      <c r="E170" s="84"/>
      <c r="F170" s="84"/>
      <c r="G170" s="84"/>
      <c r="H170" s="84"/>
      <c r="I170" s="84"/>
      <c r="J170" s="84"/>
      <c r="K170" s="84"/>
      <c r="L170" s="84"/>
      <c r="M170" s="84"/>
      <c r="N170" s="84"/>
      <c r="O170" s="84"/>
      <c r="P170" s="84"/>
      <c r="Q170" s="84"/>
      <c r="R170" s="84"/>
      <c r="S170" s="84"/>
      <c r="T170" s="84"/>
      <c r="U170" s="84"/>
      <c r="V170" s="84"/>
      <c r="W170" s="84"/>
      <c r="X170" s="84"/>
      <c r="Y170" s="84"/>
      <c r="Z170" s="84"/>
    </row>
    <row r="171" ht="15.75" customHeight="1">
      <c r="A171" s="84"/>
      <c r="B171" s="84"/>
      <c r="C171" s="84"/>
      <c r="D171" s="84"/>
      <c r="E171" s="84"/>
      <c r="F171" s="84"/>
      <c r="G171" s="84"/>
      <c r="H171" s="84"/>
      <c r="I171" s="84"/>
      <c r="J171" s="84"/>
      <c r="K171" s="84"/>
      <c r="L171" s="84"/>
      <c r="M171" s="84"/>
      <c r="N171" s="84"/>
      <c r="O171" s="84"/>
      <c r="P171" s="84"/>
      <c r="Q171" s="84"/>
      <c r="R171" s="84"/>
      <c r="S171" s="84"/>
      <c r="T171" s="84"/>
      <c r="U171" s="84"/>
      <c r="V171" s="84"/>
      <c r="W171" s="84"/>
      <c r="X171" s="84"/>
      <c r="Y171" s="84"/>
      <c r="Z171" s="84"/>
    </row>
    <row r="172" ht="15.75" customHeight="1">
      <c r="A172" s="84"/>
      <c r="B172" s="84"/>
      <c r="C172" s="84"/>
      <c r="D172" s="84"/>
      <c r="E172" s="84"/>
      <c r="F172" s="84"/>
      <c r="G172" s="84"/>
      <c r="H172" s="84"/>
      <c r="I172" s="84"/>
      <c r="J172" s="84"/>
      <c r="K172" s="84"/>
      <c r="L172" s="84"/>
      <c r="M172" s="84"/>
      <c r="N172" s="84"/>
      <c r="O172" s="84"/>
      <c r="P172" s="84"/>
      <c r="Q172" s="84"/>
      <c r="R172" s="84"/>
      <c r="S172" s="84"/>
      <c r="T172" s="84"/>
      <c r="U172" s="84"/>
      <c r="V172" s="84"/>
      <c r="W172" s="84"/>
      <c r="X172" s="84"/>
      <c r="Y172" s="84"/>
      <c r="Z172" s="84"/>
    </row>
    <row r="173" ht="15.75" customHeight="1">
      <c r="A173" s="84"/>
      <c r="B173" s="84"/>
      <c r="C173" s="84"/>
      <c r="D173" s="84"/>
      <c r="E173" s="84"/>
      <c r="F173" s="84"/>
      <c r="G173" s="84"/>
      <c r="H173" s="84"/>
      <c r="I173" s="84"/>
      <c r="J173" s="84"/>
      <c r="K173" s="84"/>
      <c r="L173" s="84"/>
      <c r="M173" s="84"/>
      <c r="N173" s="84"/>
      <c r="O173" s="84"/>
      <c r="P173" s="84"/>
      <c r="Q173" s="84"/>
      <c r="R173" s="84"/>
      <c r="S173" s="84"/>
      <c r="T173" s="84"/>
      <c r="U173" s="84"/>
      <c r="V173" s="84"/>
      <c r="W173" s="84"/>
      <c r="X173" s="84"/>
      <c r="Y173" s="84"/>
      <c r="Z173" s="84"/>
    </row>
    <row r="174" ht="15.75" customHeight="1">
      <c r="A174" s="84"/>
      <c r="B174" s="84"/>
      <c r="C174" s="84"/>
      <c r="D174" s="84"/>
      <c r="E174" s="84"/>
      <c r="F174" s="84"/>
      <c r="G174" s="84"/>
      <c r="H174" s="84"/>
      <c r="I174" s="84"/>
      <c r="J174" s="84"/>
      <c r="K174" s="84"/>
      <c r="L174" s="84"/>
      <c r="M174" s="84"/>
      <c r="N174" s="84"/>
      <c r="O174" s="84"/>
      <c r="P174" s="84"/>
      <c r="Q174" s="84"/>
      <c r="R174" s="84"/>
      <c r="S174" s="84"/>
      <c r="T174" s="84"/>
      <c r="U174" s="84"/>
      <c r="V174" s="84"/>
      <c r="W174" s="84"/>
      <c r="X174" s="84"/>
      <c r="Y174" s="84"/>
      <c r="Z174" s="84"/>
    </row>
    <row r="175" ht="15.75" customHeight="1">
      <c r="A175" s="84"/>
      <c r="B175" s="84"/>
      <c r="C175" s="84"/>
      <c r="D175" s="84"/>
      <c r="E175" s="84"/>
      <c r="F175" s="84"/>
      <c r="G175" s="84"/>
      <c r="H175" s="84"/>
      <c r="I175" s="84"/>
      <c r="J175" s="84"/>
      <c r="K175" s="84"/>
      <c r="L175" s="84"/>
      <c r="M175" s="84"/>
      <c r="N175" s="84"/>
      <c r="O175" s="84"/>
      <c r="P175" s="84"/>
      <c r="Q175" s="84"/>
      <c r="R175" s="84"/>
      <c r="S175" s="84"/>
      <c r="T175" s="84"/>
      <c r="U175" s="84"/>
      <c r="V175" s="84"/>
      <c r="W175" s="84"/>
      <c r="X175" s="84"/>
      <c r="Y175" s="84"/>
      <c r="Z175" s="84"/>
    </row>
    <row r="176" ht="15.75" customHeight="1">
      <c r="A176" s="84"/>
      <c r="B176" s="84"/>
      <c r="C176" s="84"/>
      <c r="D176" s="84"/>
      <c r="E176" s="84"/>
      <c r="F176" s="84"/>
      <c r="G176" s="84"/>
      <c r="H176" s="84"/>
      <c r="I176" s="84"/>
      <c r="J176" s="84"/>
      <c r="K176" s="84"/>
      <c r="L176" s="84"/>
      <c r="M176" s="84"/>
      <c r="N176" s="84"/>
      <c r="O176" s="84"/>
      <c r="P176" s="84"/>
      <c r="Q176" s="84"/>
      <c r="R176" s="84"/>
      <c r="S176" s="84"/>
      <c r="T176" s="84"/>
      <c r="U176" s="84"/>
      <c r="V176" s="84"/>
      <c r="W176" s="84"/>
      <c r="X176" s="84"/>
      <c r="Y176" s="84"/>
      <c r="Z176" s="84"/>
    </row>
    <row r="177" ht="15.75" customHeight="1">
      <c r="A177" s="84"/>
      <c r="B177" s="84"/>
      <c r="C177" s="84"/>
      <c r="D177" s="84"/>
      <c r="E177" s="84"/>
      <c r="F177" s="84"/>
      <c r="G177" s="84"/>
      <c r="H177" s="84"/>
      <c r="I177" s="84"/>
      <c r="J177" s="84"/>
      <c r="K177" s="84"/>
      <c r="L177" s="84"/>
      <c r="M177" s="84"/>
      <c r="N177" s="84"/>
      <c r="O177" s="84"/>
      <c r="P177" s="84"/>
      <c r="Q177" s="84"/>
      <c r="R177" s="84"/>
      <c r="S177" s="84"/>
      <c r="T177" s="84"/>
      <c r="U177" s="84"/>
      <c r="V177" s="84"/>
      <c r="W177" s="84"/>
      <c r="X177" s="84"/>
      <c r="Y177" s="84"/>
      <c r="Z177" s="84"/>
    </row>
    <row r="178" ht="15.75" customHeight="1">
      <c r="A178" s="84"/>
      <c r="B178" s="84"/>
      <c r="C178" s="84"/>
      <c r="D178" s="84"/>
      <c r="E178" s="84"/>
      <c r="F178" s="84"/>
      <c r="G178" s="84"/>
      <c r="H178" s="84"/>
      <c r="I178" s="84"/>
      <c r="J178" s="84"/>
      <c r="K178" s="84"/>
      <c r="L178" s="84"/>
      <c r="M178" s="84"/>
      <c r="N178" s="84"/>
      <c r="O178" s="84"/>
      <c r="P178" s="84"/>
      <c r="Q178" s="84"/>
      <c r="R178" s="84"/>
      <c r="S178" s="84"/>
      <c r="T178" s="84"/>
      <c r="U178" s="84"/>
      <c r="V178" s="84"/>
      <c r="W178" s="84"/>
      <c r="X178" s="84"/>
      <c r="Y178" s="84"/>
      <c r="Z178" s="84"/>
    </row>
    <row r="179" ht="15.75" customHeight="1">
      <c r="A179" s="84"/>
      <c r="B179" s="84"/>
      <c r="C179" s="84"/>
      <c r="D179" s="84"/>
      <c r="E179" s="84"/>
      <c r="F179" s="84"/>
      <c r="G179" s="84"/>
      <c r="H179" s="84"/>
      <c r="I179" s="84"/>
      <c r="J179" s="84"/>
      <c r="K179" s="84"/>
      <c r="L179" s="84"/>
      <c r="M179" s="84"/>
      <c r="N179" s="84"/>
      <c r="O179" s="84"/>
      <c r="P179" s="84"/>
      <c r="Q179" s="84"/>
      <c r="R179" s="84"/>
      <c r="S179" s="84"/>
      <c r="T179" s="84"/>
      <c r="U179" s="84"/>
      <c r="V179" s="84"/>
      <c r="W179" s="84"/>
      <c r="X179" s="84"/>
      <c r="Y179" s="84"/>
      <c r="Z179" s="84"/>
    </row>
    <row r="180" ht="15.75" customHeight="1">
      <c r="A180" s="84"/>
      <c r="B180" s="84"/>
      <c r="C180" s="84"/>
      <c r="D180" s="84"/>
      <c r="E180" s="84"/>
      <c r="F180" s="84"/>
      <c r="G180" s="84"/>
      <c r="H180" s="84"/>
      <c r="I180" s="84"/>
      <c r="J180" s="84"/>
      <c r="K180" s="84"/>
      <c r="L180" s="84"/>
      <c r="M180" s="84"/>
      <c r="N180" s="84"/>
      <c r="O180" s="84"/>
      <c r="P180" s="84"/>
      <c r="Q180" s="84"/>
      <c r="R180" s="84"/>
      <c r="S180" s="84"/>
      <c r="T180" s="84"/>
      <c r="U180" s="84"/>
      <c r="V180" s="84"/>
      <c r="W180" s="84"/>
      <c r="X180" s="84"/>
      <c r="Y180" s="84"/>
      <c r="Z180" s="84"/>
    </row>
    <row r="181" ht="15.75" customHeight="1">
      <c r="A181" s="84"/>
      <c r="B181" s="84"/>
      <c r="C181" s="84"/>
      <c r="D181" s="84"/>
      <c r="E181" s="84"/>
      <c r="F181" s="84"/>
      <c r="G181" s="84"/>
      <c r="H181" s="84"/>
      <c r="I181" s="84"/>
      <c r="J181" s="84"/>
      <c r="K181" s="84"/>
      <c r="L181" s="84"/>
      <c r="M181" s="84"/>
      <c r="N181" s="84"/>
      <c r="O181" s="84"/>
      <c r="P181" s="84"/>
      <c r="Q181" s="84"/>
      <c r="R181" s="84"/>
      <c r="S181" s="84"/>
      <c r="T181" s="84"/>
      <c r="U181" s="84"/>
      <c r="V181" s="84"/>
      <c r="W181" s="84"/>
      <c r="X181" s="84"/>
      <c r="Y181" s="84"/>
      <c r="Z181" s="84"/>
    </row>
    <row r="182" ht="15.75" customHeight="1">
      <c r="A182" s="84"/>
      <c r="B182" s="84"/>
      <c r="C182" s="84"/>
      <c r="D182" s="84"/>
      <c r="E182" s="84"/>
      <c r="F182" s="84"/>
      <c r="G182" s="84"/>
      <c r="H182" s="84"/>
      <c r="I182" s="84"/>
      <c r="J182" s="84"/>
      <c r="K182" s="84"/>
      <c r="L182" s="84"/>
      <c r="M182" s="84"/>
      <c r="N182" s="84"/>
      <c r="O182" s="84"/>
      <c r="P182" s="84"/>
      <c r="Q182" s="84"/>
      <c r="R182" s="84"/>
      <c r="S182" s="84"/>
      <c r="T182" s="84"/>
      <c r="U182" s="84"/>
      <c r="V182" s="84"/>
      <c r="W182" s="84"/>
      <c r="X182" s="84"/>
      <c r="Y182" s="84"/>
      <c r="Z182" s="84"/>
    </row>
    <row r="183" ht="15.75" customHeight="1">
      <c r="A183" s="84"/>
      <c r="B183" s="84"/>
      <c r="C183" s="84"/>
      <c r="D183" s="84"/>
      <c r="E183" s="84"/>
      <c r="F183" s="84"/>
      <c r="G183" s="84"/>
      <c r="H183" s="84"/>
      <c r="I183" s="84"/>
      <c r="J183" s="84"/>
      <c r="K183" s="84"/>
      <c r="L183" s="84"/>
      <c r="M183" s="84"/>
      <c r="N183" s="84"/>
      <c r="O183" s="84"/>
      <c r="P183" s="84"/>
      <c r="Q183" s="84"/>
      <c r="R183" s="84"/>
      <c r="S183" s="84"/>
      <c r="T183" s="84"/>
      <c r="U183" s="84"/>
      <c r="V183" s="84"/>
      <c r="W183" s="84"/>
      <c r="X183" s="84"/>
      <c r="Y183" s="84"/>
      <c r="Z183" s="84"/>
    </row>
    <row r="184" ht="15.75" customHeight="1">
      <c r="A184" s="84"/>
      <c r="B184" s="84"/>
      <c r="C184" s="84"/>
      <c r="D184" s="84"/>
      <c r="E184" s="84"/>
      <c r="F184" s="84"/>
      <c r="G184" s="84"/>
      <c r="H184" s="84"/>
      <c r="I184" s="84"/>
      <c r="J184" s="84"/>
      <c r="K184" s="84"/>
      <c r="L184" s="84"/>
      <c r="M184" s="84"/>
      <c r="N184" s="84"/>
      <c r="O184" s="84"/>
      <c r="P184" s="84"/>
      <c r="Q184" s="84"/>
      <c r="R184" s="84"/>
      <c r="S184" s="84"/>
      <c r="T184" s="84"/>
      <c r="U184" s="84"/>
      <c r="V184" s="84"/>
      <c r="W184" s="84"/>
      <c r="X184" s="84"/>
      <c r="Y184" s="84"/>
      <c r="Z184" s="84"/>
    </row>
    <row r="185" ht="15.75" customHeight="1">
      <c r="A185" s="84"/>
      <c r="B185" s="84"/>
      <c r="C185" s="84"/>
      <c r="D185" s="84"/>
      <c r="E185" s="84"/>
      <c r="F185" s="84"/>
      <c r="G185" s="84"/>
      <c r="H185" s="84"/>
      <c r="I185" s="84"/>
      <c r="J185" s="84"/>
      <c r="K185" s="84"/>
      <c r="L185" s="84"/>
      <c r="M185" s="84"/>
      <c r="N185" s="84"/>
      <c r="O185" s="84"/>
      <c r="P185" s="84"/>
      <c r="Q185" s="84"/>
      <c r="R185" s="84"/>
      <c r="S185" s="84"/>
      <c r="T185" s="84"/>
      <c r="U185" s="84"/>
      <c r="V185" s="84"/>
      <c r="W185" s="84"/>
      <c r="X185" s="84"/>
      <c r="Y185" s="84"/>
      <c r="Z185" s="84"/>
    </row>
    <row r="186" ht="15.75" customHeight="1">
      <c r="A186" s="84"/>
      <c r="B186" s="84"/>
      <c r="C186" s="84"/>
      <c r="D186" s="84"/>
      <c r="E186" s="84"/>
      <c r="F186" s="84"/>
      <c r="G186" s="84"/>
      <c r="H186" s="84"/>
      <c r="I186" s="84"/>
      <c r="J186" s="84"/>
      <c r="K186" s="84"/>
      <c r="L186" s="84"/>
      <c r="M186" s="84"/>
      <c r="N186" s="84"/>
      <c r="O186" s="84"/>
      <c r="P186" s="84"/>
      <c r="Q186" s="84"/>
      <c r="R186" s="84"/>
      <c r="S186" s="84"/>
      <c r="T186" s="84"/>
      <c r="U186" s="84"/>
      <c r="V186" s="84"/>
      <c r="W186" s="84"/>
      <c r="X186" s="84"/>
      <c r="Y186" s="84"/>
      <c r="Z186" s="84"/>
    </row>
    <row r="187" ht="15.75" customHeight="1">
      <c r="A187" s="84"/>
      <c r="B187" s="84"/>
      <c r="C187" s="84"/>
      <c r="D187" s="84"/>
      <c r="E187" s="84"/>
      <c r="F187" s="84"/>
      <c r="G187" s="84"/>
      <c r="H187" s="84"/>
      <c r="I187" s="84"/>
      <c r="J187" s="84"/>
      <c r="K187" s="84"/>
      <c r="L187" s="84"/>
      <c r="M187" s="84"/>
      <c r="N187" s="84"/>
      <c r="O187" s="84"/>
      <c r="P187" s="84"/>
      <c r="Q187" s="84"/>
      <c r="R187" s="84"/>
      <c r="S187" s="84"/>
      <c r="T187" s="84"/>
      <c r="U187" s="84"/>
      <c r="V187" s="84"/>
      <c r="W187" s="84"/>
      <c r="X187" s="84"/>
      <c r="Y187" s="84"/>
      <c r="Z187" s="84"/>
    </row>
    <row r="188" ht="15.75" customHeight="1">
      <c r="A188" s="84"/>
      <c r="B188" s="84"/>
      <c r="C188" s="84"/>
      <c r="D188" s="84"/>
      <c r="E188" s="84"/>
      <c r="F188" s="84"/>
      <c r="G188" s="84"/>
      <c r="H188" s="84"/>
      <c r="I188" s="84"/>
      <c r="J188" s="84"/>
      <c r="K188" s="84"/>
      <c r="L188" s="84"/>
      <c r="M188" s="84"/>
      <c r="N188" s="84"/>
      <c r="O188" s="84"/>
      <c r="P188" s="84"/>
      <c r="Q188" s="84"/>
      <c r="R188" s="84"/>
      <c r="S188" s="84"/>
      <c r="T188" s="84"/>
      <c r="U188" s="84"/>
      <c r="V188" s="84"/>
      <c r="W188" s="84"/>
      <c r="X188" s="84"/>
      <c r="Y188" s="84"/>
      <c r="Z188" s="84"/>
    </row>
    <row r="189" ht="15.75" customHeight="1">
      <c r="A189" s="84"/>
      <c r="B189" s="84"/>
      <c r="C189" s="84"/>
      <c r="D189" s="84"/>
      <c r="E189" s="84"/>
      <c r="F189" s="84"/>
      <c r="G189" s="84"/>
      <c r="H189" s="84"/>
      <c r="I189" s="84"/>
      <c r="J189" s="84"/>
      <c r="K189" s="84"/>
      <c r="L189" s="84"/>
      <c r="M189" s="84"/>
      <c r="N189" s="84"/>
      <c r="O189" s="84"/>
      <c r="P189" s="84"/>
      <c r="Q189" s="84"/>
      <c r="R189" s="84"/>
      <c r="S189" s="84"/>
      <c r="T189" s="84"/>
      <c r="U189" s="84"/>
      <c r="V189" s="84"/>
      <c r="W189" s="84"/>
      <c r="X189" s="84"/>
      <c r="Y189" s="84"/>
      <c r="Z189" s="84"/>
    </row>
    <row r="190" ht="15.75" customHeight="1">
      <c r="A190" s="84"/>
      <c r="B190" s="84"/>
      <c r="C190" s="84"/>
      <c r="D190" s="84"/>
      <c r="E190" s="84"/>
      <c r="F190" s="84"/>
      <c r="G190" s="84"/>
      <c r="H190" s="84"/>
      <c r="I190" s="84"/>
      <c r="J190" s="84"/>
      <c r="K190" s="84"/>
      <c r="L190" s="84"/>
      <c r="M190" s="84"/>
      <c r="N190" s="84"/>
      <c r="O190" s="84"/>
      <c r="P190" s="84"/>
      <c r="Q190" s="84"/>
      <c r="R190" s="84"/>
      <c r="S190" s="84"/>
      <c r="T190" s="84"/>
      <c r="U190" s="84"/>
      <c r="V190" s="84"/>
      <c r="W190" s="84"/>
      <c r="X190" s="84"/>
      <c r="Y190" s="84"/>
      <c r="Z190" s="84"/>
    </row>
    <row r="191" ht="15.75" customHeight="1">
      <c r="A191" s="84"/>
      <c r="B191" s="84"/>
      <c r="C191" s="84"/>
      <c r="D191" s="84"/>
      <c r="E191" s="84"/>
      <c r="F191" s="84"/>
      <c r="G191" s="84"/>
      <c r="H191" s="84"/>
      <c r="I191" s="84"/>
      <c r="J191" s="84"/>
      <c r="K191" s="84"/>
      <c r="L191" s="84"/>
      <c r="M191" s="84"/>
      <c r="N191" s="84"/>
      <c r="O191" s="84"/>
      <c r="P191" s="84"/>
      <c r="Q191" s="84"/>
      <c r="R191" s="84"/>
      <c r="S191" s="84"/>
      <c r="T191" s="84"/>
      <c r="U191" s="84"/>
      <c r="V191" s="84"/>
      <c r="W191" s="84"/>
      <c r="X191" s="84"/>
      <c r="Y191" s="84"/>
      <c r="Z191" s="84"/>
    </row>
    <row r="192" ht="15.75" customHeight="1">
      <c r="A192" s="84"/>
      <c r="B192" s="84"/>
      <c r="C192" s="84"/>
      <c r="D192" s="84"/>
      <c r="E192" s="84"/>
      <c r="F192" s="84"/>
      <c r="G192" s="84"/>
      <c r="H192" s="84"/>
      <c r="I192" s="84"/>
      <c r="J192" s="84"/>
      <c r="K192" s="84"/>
      <c r="L192" s="84"/>
      <c r="M192" s="84"/>
      <c r="N192" s="84"/>
      <c r="O192" s="84"/>
      <c r="P192" s="84"/>
      <c r="Q192" s="84"/>
      <c r="R192" s="84"/>
      <c r="S192" s="84"/>
      <c r="T192" s="84"/>
      <c r="U192" s="84"/>
      <c r="V192" s="84"/>
      <c r="W192" s="84"/>
      <c r="X192" s="84"/>
      <c r="Y192" s="84"/>
      <c r="Z192" s="84"/>
    </row>
    <row r="193" ht="15.75" customHeight="1">
      <c r="A193" s="84"/>
      <c r="B193" s="84"/>
      <c r="C193" s="84"/>
      <c r="D193" s="84"/>
      <c r="E193" s="84"/>
      <c r="F193" s="84"/>
      <c r="G193" s="84"/>
      <c r="H193" s="84"/>
      <c r="I193" s="84"/>
      <c r="J193" s="84"/>
      <c r="K193" s="84"/>
      <c r="L193" s="84"/>
      <c r="M193" s="84"/>
      <c r="N193" s="84"/>
      <c r="O193" s="84"/>
      <c r="P193" s="84"/>
      <c r="Q193" s="84"/>
      <c r="R193" s="84"/>
      <c r="S193" s="84"/>
      <c r="T193" s="84"/>
      <c r="U193" s="84"/>
      <c r="V193" s="84"/>
      <c r="W193" s="84"/>
      <c r="X193" s="84"/>
      <c r="Y193" s="84"/>
      <c r="Z193" s="84"/>
    </row>
    <row r="194" ht="15.75" customHeight="1">
      <c r="A194" s="84"/>
      <c r="B194" s="84"/>
      <c r="C194" s="84"/>
      <c r="D194" s="84"/>
      <c r="E194" s="84"/>
      <c r="F194" s="84"/>
      <c r="G194" s="84"/>
      <c r="H194" s="84"/>
      <c r="I194" s="84"/>
      <c r="J194" s="84"/>
      <c r="K194" s="84"/>
      <c r="L194" s="84"/>
      <c r="M194" s="84"/>
      <c r="N194" s="84"/>
      <c r="O194" s="84"/>
      <c r="P194" s="84"/>
      <c r="Q194" s="84"/>
      <c r="R194" s="84"/>
      <c r="S194" s="84"/>
      <c r="T194" s="84"/>
      <c r="U194" s="84"/>
      <c r="V194" s="84"/>
      <c r="W194" s="84"/>
      <c r="X194" s="84"/>
      <c r="Y194" s="84"/>
      <c r="Z194" s="84"/>
    </row>
    <row r="195" ht="15.75" customHeight="1">
      <c r="A195" s="84"/>
      <c r="B195" s="84"/>
      <c r="C195" s="84"/>
      <c r="D195" s="84"/>
      <c r="E195" s="84"/>
      <c r="F195" s="84"/>
      <c r="G195" s="84"/>
      <c r="H195" s="84"/>
      <c r="I195" s="84"/>
      <c r="J195" s="84"/>
      <c r="K195" s="84"/>
      <c r="L195" s="84"/>
      <c r="M195" s="84"/>
      <c r="N195" s="84"/>
      <c r="O195" s="84"/>
      <c r="P195" s="84"/>
      <c r="Q195" s="84"/>
      <c r="R195" s="84"/>
      <c r="S195" s="84"/>
      <c r="T195" s="84"/>
      <c r="U195" s="84"/>
      <c r="V195" s="84"/>
      <c r="W195" s="84"/>
      <c r="X195" s="84"/>
      <c r="Y195" s="84"/>
      <c r="Z195" s="84"/>
    </row>
    <row r="196" ht="15.75" customHeight="1">
      <c r="A196" s="84"/>
      <c r="B196" s="84"/>
      <c r="C196" s="84"/>
      <c r="D196" s="84"/>
      <c r="E196" s="84"/>
      <c r="F196" s="84"/>
      <c r="G196" s="84"/>
      <c r="H196" s="84"/>
      <c r="I196" s="84"/>
      <c r="J196" s="84"/>
      <c r="K196" s="84"/>
      <c r="L196" s="84"/>
      <c r="M196" s="84"/>
      <c r="N196" s="84"/>
      <c r="O196" s="84"/>
      <c r="P196" s="84"/>
      <c r="Q196" s="84"/>
      <c r="R196" s="84"/>
      <c r="S196" s="84"/>
      <c r="T196" s="84"/>
      <c r="U196" s="84"/>
      <c r="V196" s="84"/>
      <c r="W196" s="84"/>
      <c r="X196" s="84"/>
      <c r="Y196" s="84"/>
      <c r="Z196" s="84"/>
    </row>
    <row r="197" ht="15.75" customHeight="1">
      <c r="A197" s="84"/>
      <c r="B197" s="84"/>
      <c r="C197" s="84"/>
      <c r="D197" s="84"/>
      <c r="E197" s="84"/>
      <c r="F197" s="84"/>
      <c r="G197" s="84"/>
      <c r="H197" s="84"/>
      <c r="I197" s="84"/>
      <c r="J197" s="84"/>
      <c r="K197" s="84"/>
      <c r="L197" s="84"/>
      <c r="M197" s="84"/>
      <c r="N197" s="84"/>
      <c r="O197" s="84"/>
      <c r="P197" s="84"/>
      <c r="Q197" s="84"/>
      <c r="R197" s="84"/>
      <c r="S197" s="84"/>
      <c r="T197" s="84"/>
      <c r="U197" s="84"/>
      <c r="V197" s="84"/>
      <c r="W197" s="84"/>
      <c r="X197" s="84"/>
      <c r="Y197" s="84"/>
      <c r="Z197" s="84"/>
    </row>
    <row r="198" ht="15.75" customHeight="1">
      <c r="A198" s="84"/>
      <c r="B198" s="84"/>
      <c r="C198" s="84"/>
      <c r="D198" s="84"/>
      <c r="E198" s="84"/>
      <c r="F198" s="84"/>
      <c r="G198" s="84"/>
      <c r="H198" s="84"/>
      <c r="I198" s="84"/>
      <c r="J198" s="84"/>
      <c r="K198" s="84"/>
      <c r="L198" s="84"/>
      <c r="M198" s="84"/>
      <c r="N198" s="84"/>
      <c r="O198" s="84"/>
      <c r="P198" s="84"/>
      <c r="Q198" s="84"/>
      <c r="R198" s="84"/>
      <c r="S198" s="84"/>
      <c r="T198" s="84"/>
      <c r="U198" s="84"/>
      <c r="V198" s="84"/>
      <c r="W198" s="84"/>
      <c r="X198" s="84"/>
      <c r="Y198" s="84"/>
      <c r="Z198" s="84"/>
    </row>
    <row r="199" ht="15.75" customHeight="1">
      <c r="A199" s="84"/>
      <c r="B199" s="84"/>
      <c r="C199" s="84"/>
      <c r="D199" s="84"/>
      <c r="E199" s="84"/>
      <c r="F199" s="84"/>
      <c r="G199" s="84"/>
      <c r="H199" s="84"/>
      <c r="I199" s="84"/>
      <c r="J199" s="84"/>
      <c r="K199" s="84"/>
      <c r="L199" s="84"/>
      <c r="M199" s="84"/>
      <c r="N199" s="84"/>
      <c r="O199" s="84"/>
      <c r="P199" s="84"/>
      <c r="Q199" s="84"/>
      <c r="R199" s="84"/>
      <c r="S199" s="84"/>
      <c r="T199" s="84"/>
      <c r="U199" s="84"/>
      <c r="V199" s="84"/>
      <c r="W199" s="84"/>
      <c r="X199" s="84"/>
      <c r="Y199" s="84"/>
      <c r="Z199" s="84"/>
    </row>
    <row r="200" ht="15.75" customHeight="1">
      <c r="A200" s="84"/>
      <c r="B200" s="84"/>
      <c r="C200" s="84"/>
      <c r="D200" s="84"/>
      <c r="E200" s="84"/>
      <c r="F200" s="84"/>
      <c r="G200" s="84"/>
      <c r="H200" s="84"/>
      <c r="I200" s="84"/>
      <c r="J200" s="84"/>
      <c r="K200" s="84"/>
      <c r="L200" s="84"/>
      <c r="M200" s="84"/>
      <c r="N200" s="84"/>
      <c r="O200" s="84"/>
      <c r="P200" s="84"/>
      <c r="Q200" s="84"/>
      <c r="R200" s="84"/>
      <c r="S200" s="84"/>
      <c r="T200" s="84"/>
      <c r="U200" s="84"/>
      <c r="V200" s="84"/>
      <c r="W200" s="84"/>
      <c r="X200" s="84"/>
      <c r="Y200" s="84"/>
      <c r="Z200" s="84"/>
    </row>
    <row r="201" ht="15.75" customHeight="1">
      <c r="A201" s="84"/>
      <c r="B201" s="84"/>
      <c r="C201" s="84"/>
      <c r="D201" s="84"/>
      <c r="E201" s="84"/>
      <c r="F201" s="84"/>
      <c r="G201" s="84"/>
      <c r="H201" s="84"/>
      <c r="I201" s="84"/>
      <c r="J201" s="84"/>
      <c r="K201" s="84"/>
      <c r="L201" s="84"/>
      <c r="M201" s="84"/>
      <c r="N201" s="84"/>
      <c r="O201" s="84"/>
      <c r="P201" s="84"/>
      <c r="Q201" s="84"/>
      <c r="R201" s="84"/>
      <c r="S201" s="84"/>
      <c r="T201" s="84"/>
      <c r="U201" s="84"/>
      <c r="V201" s="84"/>
      <c r="W201" s="84"/>
      <c r="X201" s="84"/>
      <c r="Y201" s="84"/>
      <c r="Z201" s="84"/>
    </row>
    <row r="202" ht="15.75" customHeight="1">
      <c r="A202" s="84"/>
      <c r="B202" s="84"/>
      <c r="C202" s="84"/>
      <c r="D202" s="84"/>
      <c r="E202" s="84"/>
      <c r="F202" s="84"/>
      <c r="G202" s="84"/>
      <c r="H202" s="84"/>
      <c r="I202" s="84"/>
      <c r="J202" s="84"/>
      <c r="K202" s="84"/>
      <c r="L202" s="84"/>
      <c r="M202" s="84"/>
      <c r="N202" s="84"/>
      <c r="O202" s="84"/>
      <c r="P202" s="84"/>
      <c r="Q202" s="84"/>
      <c r="R202" s="84"/>
      <c r="S202" s="84"/>
      <c r="T202" s="84"/>
      <c r="U202" s="84"/>
      <c r="V202" s="84"/>
      <c r="W202" s="84"/>
      <c r="X202" s="84"/>
      <c r="Y202" s="84"/>
      <c r="Z202" s="84"/>
    </row>
    <row r="203" ht="15.75" customHeight="1">
      <c r="A203" s="84"/>
      <c r="B203" s="84"/>
      <c r="C203" s="84"/>
      <c r="D203" s="84"/>
      <c r="E203" s="84"/>
      <c r="F203" s="84"/>
      <c r="G203" s="84"/>
      <c r="H203" s="84"/>
      <c r="I203" s="84"/>
      <c r="J203" s="84"/>
      <c r="K203" s="84"/>
      <c r="L203" s="84"/>
      <c r="M203" s="84"/>
      <c r="N203" s="84"/>
      <c r="O203" s="84"/>
      <c r="P203" s="84"/>
      <c r="Q203" s="84"/>
      <c r="R203" s="84"/>
      <c r="S203" s="84"/>
      <c r="T203" s="84"/>
      <c r="U203" s="84"/>
      <c r="V203" s="84"/>
      <c r="W203" s="84"/>
      <c r="X203" s="84"/>
      <c r="Y203" s="84"/>
      <c r="Z203" s="84"/>
    </row>
    <row r="204" ht="15.75" customHeight="1">
      <c r="A204" s="84"/>
      <c r="B204" s="84"/>
      <c r="C204" s="84"/>
      <c r="D204" s="84"/>
      <c r="E204" s="84"/>
      <c r="F204" s="84"/>
      <c r="G204" s="84"/>
      <c r="H204" s="84"/>
      <c r="I204" s="84"/>
      <c r="J204" s="84"/>
      <c r="K204" s="84"/>
      <c r="L204" s="84"/>
      <c r="M204" s="84"/>
      <c r="N204" s="84"/>
      <c r="O204" s="84"/>
      <c r="P204" s="84"/>
      <c r="Q204" s="84"/>
      <c r="R204" s="84"/>
      <c r="S204" s="84"/>
      <c r="T204" s="84"/>
      <c r="U204" s="84"/>
      <c r="V204" s="84"/>
      <c r="W204" s="84"/>
      <c r="X204" s="84"/>
      <c r="Y204" s="84"/>
      <c r="Z204" s="84"/>
    </row>
    <row r="205" ht="15.75" customHeight="1">
      <c r="A205" s="84"/>
      <c r="B205" s="84"/>
      <c r="C205" s="84"/>
      <c r="D205" s="84"/>
      <c r="E205" s="84"/>
      <c r="F205" s="84"/>
      <c r="G205" s="84"/>
      <c r="H205" s="84"/>
      <c r="I205" s="84"/>
      <c r="J205" s="84"/>
      <c r="K205" s="84"/>
      <c r="L205" s="84"/>
      <c r="M205" s="84"/>
      <c r="N205" s="84"/>
      <c r="O205" s="84"/>
      <c r="P205" s="84"/>
      <c r="Q205" s="84"/>
      <c r="R205" s="84"/>
      <c r="S205" s="84"/>
      <c r="T205" s="84"/>
      <c r="U205" s="84"/>
      <c r="V205" s="84"/>
      <c r="W205" s="84"/>
      <c r="X205" s="84"/>
      <c r="Y205" s="84"/>
      <c r="Z205" s="84"/>
    </row>
    <row r="206" ht="15.75" customHeight="1">
      <c r="A206" s="84"/>
      <c r="B206" s="84"/>
      <c r="C206" s="84"/>
      <c r="D206" s="84"/>
      <c r="E206" s="84"/>
      <c r="F206" s="84"/>
      <c r="G206" s="84"/>
      <c r="H206" s="84"/>
      <c r="I206" s="84"/>
      <c r="J206" s="84"/>
      <c r="K206" s="84"/>
      <c r="L206" s="84"/>
      <c r="M206" s="84"/>
      <c r="N206" s="84"/>
      <c r="O206" s="84"/>
      <c r="P206" s="84"/>
      <c r="Q206" s="84"/>
      <c r="R206" s="84"/>
      <c r="S206" s="84"/>
      <c r="T206" s="84"/>
      <c r="U206" s="84"/>
      <c r="V206" s="84"/>
      <c r="W206" s="84"/>
      <c r="X206" s="84"/>
      <c r="Y206" s="84"/>
      <c r="Z206" s="84"/>
    </row>
    <row r="207" ht="15.75" customHeight="1">
      <c r="A207" s="84"/>
      <c r="B207" s="84"/>
      <c r="C207" s="84"/>
      <c r="D207" s="84"/>
      <c r="E207" s="84"/>
      <c r="F207" s="84"/>
      <c r="G207" s="84"/>
      <c r="H207" s="84"/>
      <c r="I207" s="84"/>
      <c r="J207" s="84"/>
      <c r="K207" s="84"/>
      <c r="L207" s="84"/>
      <c r="M207" s="84"/>
      <c r="N207" s="84"/>
      <c r="O207" s="84"/>
      <c r="P207" s="84"/>
      <c r="Q207" s="84"/>
      <c r="R207" s="84"/>
      <c r="S207" s="84"/>
      <c r="T207" s="84"/>
      <c r="U207" s="84"/>
      <c r="V207" s="84"/>
      <c r="W207" s="84"/>
      <c r="X207" s="84"/>
      <c r="Y207" s="84"/>
      <c r="Z207" s="84"/>
    </row>
    <row r="208" ht="15.75" customHeight="1">
      <c r="A208" s="84"/>
      <c r="B208" s="84"/>
      <c r="C208" s="84"/>
      <c r="D208" s="84"/>
      <c r="E208" s="84"/>
      <c r="F208" s="84"/>
      <c r="G208" s="84"/>
      <c r="H208" s="84"/>
      <c r="I208" s="84"/>
      <c r="J208" s="84"/>
      <c r="K208" s="84"/>
      <c r="L208" s="84"/>
      <c r="M208" s="84"/>
      <c r="N208" s="84"/>
      <c r="O208" s="84"/>
      <c r="P208" s="84"/>
      <c r="Q208" s="84"/>
      <c r="R208" s="84"/>
      <c r="S208" s="84"/>
      <c r="T208" s="84"/>
      <c r="U208" s="84"/>
      <c r="V208" s="84"/>
      <c r="W208" s="84"/>
      <c r="X208" s="84"/>
      <c r="Y208" s="84"/>
      <c r="Z208" s="84"/>
    </row>
    <row r="209" ht="15.75" customHeight="1">
      <c r="A209" s="84"/>
      <c r="B209" s="84"/>
      <c r="C209" s="84"/>
      <c r="D209" s="84"/>
      <c r="E209" s="84"/>
      <c r="F209" s="84"/>
      <c r="G209" s="84"/>
      <c r="H209" s="84"/>
      <c r="I209" s="84"/>
      <c r="J209" s="84"/>
      <c r="K209" s="84"/>
      <c r="L209" s="84"/>
      <c r="M209" s="84"/>
      <c r="N209" s="84"/>
      <c r="O209" s="84"/>
      <c r="P209" s="84"/>
      <c r="Q209" s="84"/>
      <c r="R209" s="84"/>
      <c r="S209" s="84"/>
      <c r="T209" s="84"/>
      <c r="U209" s="84"/>
      <c r="V209" s="84"/>
      <c r="W209" s="84"/>
      <c r="X209" s="84"/>
      <c r="Y209" s="84"/>
      <c r="Z209" s="84"/>
    </row>
    <row r="210" ht="15.75" customHeight="1">
      <c r="A210" s="84"/>
      <c r="B210" s="84"/>
      <c r="C210" s="84"/>
      <c r="D210" s="84"/>
      <c r="E210" s="84"/>
      <c r="F210" s="84"/>
      <c r="G210" s="84"/>
      <c r="H210" s="84"/>
      <c r="I210" s="84"/>
      <c r="J210" s="84"/>
      <c r="K210" s="84"/>
      <c r="L210" s="84"/>
      <c r="M210" s="84"/>
      <c r="N210" s="84"/>
      <c r="O210" s="84"/>
      <c r="P210" s="84"/>
      <c r="Q210" s="84"/>
      <c r="R210" s="84"/>
      <c r="S210" s="84"/>
      <c r="T210" s="84"/>
      <c r="U210" s="84"/>
      <c r="V210" s="84"/>
      <c r="W210" s="84"/>
      <c r="X210" s="84"/>
      <c r="Y210" s="84"/>
      <c r="Z210" s="84"/>
    </row>
    <row r="211" ht="15.75" customHeight="1">
      <c r="A211" s="84"/>
      <c r="B211" s="84"/>
      <c r="C211" s="84"/>
      <c r="D211" s="84"/>
      <c r="E211" s="84"/>
      <c r="F211" s="84"/>
      <c r="G211" s="84"/>
      <c r="H211" s="84"/>
      <c r="I211" s="84"/>
      <c r="J211" s="84"/>
      <c r="K211" s="84"/>
      <c r="L211" s="84"/>
      <c r="M211" s="84"/>
      <c r="N211" s="84"/>
      <c r="O211" s="84"/>
      <c r="P211" s="84"/>
      <c r="Q211" s="84"/>
      <c r="R211" s="84"/>
      <c r="S211" s="84"/>
      <c r="T211" s="84"/>
      <c r="U211" s="84"/>
      <c r="V211" s="84"/>
      <c r="W211" s="84"/>
      <c r="X211" s="84"/>
      <c r="Y211" s="84"/>
      <c r="Z211" s="84"/>
    </row>
    <row r="212" ht="15.75" customHeight="1">
      <c r="A212" s="84"/>
      <c r="B212" s="84"/>
      <c r="C212" s="84"/>
      <c r="D212" s="84"/>
      <c r="E212" s="84"/>
      <c r="F212" s="84"/>
      <c r="G212" s="84"/>
      <c r="H212" s="84"/>
      <c r="I212" s="84"/>
      <c r="J212" s="84"/>
      <c r="K212" s="84"/>
      <c r="L212" s="84"/>
      <c r="M212" s="84"/>
      <c r="N212" s="84"/>
      <c r="O212" s="84"/>
      <c r="P212" s="84"/>
      <c r="Q212" s="84"/>
      <c r="R212" s="84"/>
      <c r="S212" s="84"/>
      <c r="T212" s="84"/>
      <c r="U212" s="84"/>
      <c r="V212" s="84"/>
      <c r="W212" s="84"/>
      <c r="X212" s="84"/>
      <c r="Y212" s="84"/>
      <c r="Z212" s="84"/>
    </row>
    <row r="213" ht="15.75" customHeight="1">
      <c r="A213" s="84"/>
      <c r="B213" s="84"/>
      <c r="C213" s="84"/>
      <c r="D213" s="84"/>
      <c r="E213" s="84"/>
      <c r="F213" s="84"/>
      <c r="G213" s="84"/>
      <c r="H213" s="84"/>
      <c r="I213" s="84"/>
      <c r="J213" s="84"/>
      <c r="K213" s="84"/>
      <c r="L213" s="84"/>
      <c r="M213" s="84"/>
      <c r="N213" s="84"/>
      <c r="O213" s="84"/>
      <c r="P213" s="84"/>
      <c r="Q213" s="84"/>
      <c r="R213" s="84"/>
      <c r="S213" s="84"/>
      <c r="T213" s="84"/>
      <c r="U213" s="84"/>
      <c r="V213" s="84"/>
      <c r="W213" s="84"/>
      <c r="X213" s="84"/>
      <c r="Y213" s="84"/>
      <c r="Z213" s="84"/>
    </row>
    <row r="214" ht="15.75" customHeight="1">
      <c r="A214" s="84"/>
      <c r="B214" s="84"/>
      <c r="C214" s="84"/>
      <c r="D214" s="84"/>
      <c r="E214" s="84"/>
      <c r="F214" s="84"/>
      <c r="G214" s="84"/>
      <c r="H214" s="84"/>
      <c r="I214" s="84"/>
      <c r="J214" s="84"/>
      <c r="K214" s="84"/>
      <c r="L214" s="84"/>
      <c r="M214" s="84"/>
      <c r="N214" s="84"/>
      <c r="O214" s="84"/>
      <c r="P214" s="84"/>
      <c r="Q214" s="84"/>
      <c r="R214" s="84"/>
      <c r="S214" s="84"/>
      <c r="T214" s="84"/>
      <c r="U214" s="84"/>
      <c r="V214" s="84"/>
      <c r="W214" s="84"/>
      <c r="X214" s="84"/>
      <c r="Y214" s="84"/>
      <c r="Z214" s="84"/>
    </row>
    <row r="215" ht="15.75" customHeight="1">
      <c r="A215" s="84"/>
      <c r="B215" s="84"/>
      <c r="C215" s="84"/>
      <c r="D215" s="84"/>
      <c r="E215" s="84"/>
      <c r="F215" s="84"/>
      <c r="G215" s="84"/>
      <c r="H215" s="84"/>
      <c r="I215" s="84"/>
      <c r="J215" s="84"/>
      <c r="K215" s="84"/>
      <c r="L215" s="84"/>
      <c r="M215" s="84"/>
      <c r="N215" s="84"/>
      <c r="O215" s="84"/>
      <c r="P215" s="84"/>
      <c r="Q215" s="84"/>
      <c r="R215" s="84"/>
      <c r="S215" s="84"/>
      <c r="T215" s="84"/>
      <c r="U215" s="84"/>
      <c r="V215" s="84"/>
      <c r="W215" s="84"/>
      <c r="X215" s="84"/>
      <c r="Y215" s="84"/>
      <c r="Z215" s="84"/>
    </row>
    <row r="216" ht="15.75" customHeight="1">
      <c r="A216" s="84"/>
      <c r="B216" s="84"/>
      <c r="C216" s="84"/>
      <c r="D216" s="84"/>
      <c r="E216" s="84"/>
      <c r="F216" s="84"/>
      <c r="G216" s="84"/>
      <c r="H216" s="84"/>
      <c r="I216" s="84"/>
      <c r="J216" s="84"/>
      <c r="K216" s="84"/>
      <c r="L216" s="84"/>
      <c r="M216" s="84"/>
      <c r="N216" s="84"/>
      <c r="O216" s="84"/>
      <c r="P216" s="84"/>
      <c r="Q216" s="84"/>
      <c r="R216" s="84"/>
      <c r="S216" s="84"/>
      <c r="T216" s="84"/>
      <c r="U216" s="84"/>
      <c r="V216" s="84"/>
      <c r="W216" s="84"/>
      <c r="X216" s="84"/>
      <c r="Y216" s="84"/>
      <c r="Z216" s="84"/>
    </row>
    <row r="217" ht="15.75" customHeight="1">
      <c r="A217" s="84"/>
      <c r="B217" s="84"/>
      <c r="C217" s="84"/>
      <c r="D217" s="84"/>
      <c r="E217" s="84"/>
      <c r="F217" s="84"/>
      <c r="G217" s="84"/>
      <c r="H217" s="84"/>
      <c r="I217" s="84"/>
      <c r="J217" s="84"/>
      <c r="K217" s="84"/>
      <c r="L217" s="84"/>
      <c r="M217" s="84"/>
      <c r="N217" s="84"/>
      <c r="O217" s="84"/>
      <c r="P217" s="84"/>
      <c r="Q217" s="84"/>
      <c r="R217" s="84"/>
      <c r="S217" s="84"/>
      <c r="T217" s="84"/>
      <c r="U217" s="84"/>
      <c r="V217" s="84"/>
      <c r="W217" s="84"/>
      <c r="X217" s="84"/>
      <c r="Y217" s="84"/>
      <c r="Z217" s="84"/>
    </row>
    <row r="218" ht="15.75" customHeight="1">
      <c r="A218" s="84"/>
      <c r="B218" s="84"/>
      <c r="C218" s="84"/>
      <c r="D218" s="84"/>
      <c r="E218" s="84"/>
      <c r="F218" s="84"/>
      <c r="G218" s="84"/>
      <c r="H218" s="84"/>
      <c r="I218" s="84"/>
      <c r="J218" s="84"/>
      <c r="K218" s="84"/>
      <c r="L218" s="84"/>
      <c r="M218" s="84"/>
      <c r="N218" s="84"/>
      <c r="O218" s="84"/>
      <c r="P218" s="84"/>
      <c r="Q218" s="84"/>
      <c r="R218" s="84"/>
      <c r="S218" s="84"/>
      <c r="T218" s="84"/>
      <c r="U218" s="84"/>
      <c r="V218" s="84"/>
      <c r="W218" s="84"/>
      <c r="X218" s="84"/>
      <c r="Y218" s="84"/>
      <c r="Z218" s="84"/>
    </row>
    <row r="219" ht="15.75" customHeight="1">
      <c r="A219" s="84"/>
      <c r="B219" s="84"/>
      <c r="C219" s="84"/>
      <c r="D219" s="84"/>
      <c r="E219" s="84"/>
      <c r="F219" s="84"/>
      <c r="G219" s="84"/>
      <c r="H219" s="84"/>
      <c r="I219" s="84"/>
      <c r="J219" s="84"/>
      <c r="K219" s="84"/>
      <c r="L219" s="84"/>
      <c r="M219" s="84"/>
      <c r="N219" s="84"/>
      <c r="O219" s="84"/>
      <c r="P219" s="84"/>
      <c r="Q219" s="84"/>
      <c r="R219" s="84"/>
      <c r="S219" s="84"/>
      <c r="T219" s="84"/>
      <c r="U219" s="84"/>
      <c r="V219" s="84"/>
      <c r="W219" s="84"/>
      <c r="X219" s="84"/>
      <c r="Y219" s="84"/>
      <c r="Z219" s="84"/>
    </row>
    <row r="220" ht="15.75" customHeight="1">
      <c r="A220" s="84"/>
      <c r="B220" s="84"/>
      <c r="C220" s="84"/>
      <c r="D220" s="84"/>
      <c r="E220" s="84"/>
      <c r="F220" s="84"/>
      <c r="G220" s="84"/>
      <c r="H220" s="84"/>
      <c r="I220" s="84"/>
      <c r="J220" s="84"/>
      <c r="K220" s="84"/>
      <c r="L220" s="84"/>
      <c r="M220" s="84"/>
      <c r="N220" s="84"/>
      <c r="O220" s="84"/>
      <c r="P220" s="84"/>
      <c r="Q220" s="84"/>
      <c r="R220" s="84"/>
      <c r="S220" s="84"/>
      <c r="T220" s="84"/>
      <c r="U220" s="84"/>
      <c r="V220" s="84"/>
      <c r="W220" s="84"/>
      <c r="X220" s="84"/>
      <c r="Y220" s="84"/>
      <c r="Z220" s="84"/>
    </row>
    <row r="221" ht="15.75" customHeight="1">
      <c r="A221" s="84"/>
      <c r="B221" s="84"/>
      <c r="C221" s="84"/>
      <c r="D221" s="84"/>
      <c r="E221" s="84"/>
      <c r="F221" s="84"/>
      <c r="G221" s="84"/>
      <c r="H221" s="84"/>
      <c r="I221" s="84"/>
      <c r="J221" s="84"/>
      <c r="K221" s="84"/>
      <c r="L221" s="84"/>
      <c r="M221" s="84"/>
      <c r="N221" s="84"/>
      <c r="O221" s="84"/>
      <c r="P221" s="84"/>
      <c r="Q221" s="84"/>
      <c r="R221" s="84"/>
      <c r="S221" s="84"/>
      <c r="T221" s="84"/>
      <c r="U221" s="84"/>
      <c r="V221" s="84"/>
      <c r="W221" s="84"/>
      <c r="X221" s="84"/>
      <c r="Y221" s="84"/>
      <c r="Z221" s="84"/>
    </row>
    <row r="222" ht="15.75" customHeight="1">
      <c r="A222" s="84"/>
      <c r="B222" s="84"/>
      <c r="C222" s="84"/>
      <c r="D222" s="84"/>
      <c r="E222" s="84"/>
      <c r="F222" s="84"/>
      <c r="G222" s="84"/>
      <c r="H222" s="84"/>
      <c r="I222" s="84"/>
      <c r="J222" s="84"/>
      <c r="K222" s="84"/>
      <c r="L222" s="84"/>
      <c r="M222" s="84"/>
      <c r="N222" s="84"/>
      <c r="O222" s="84"/>
      <c r="P222" s="84"/>
      <c r="Q222" s="84"/>
      <c r="R222" s="84"/>
      <c r="S222" s="84"/>
      <c r="T222" s="84"/>
      <c r="U222" s="84"/>
      <c r="V222" s="84"/>
      <c r="W222" s="84"/>
      <c r="X222" s="84"/>
      <c r="Y222" s="84"/>
      <c r="Z222" s="84"/>
    </row>
    <row r="223" ht="15.75" customHeight="1">
      <c r="A223" s="84"/>
      <c r="B223" s="84"/>
      <c r="C223" s="84"/>
      <c r="D223" s="84"/>
      <c r="E223" s="84"/>
      <c r="F223" s="84"/>
      <c r="G223" s="84"/>
      <c r="H223" s="84"/>
      <c r="I223" s="84"/>
      <c r="J223" s="84"/>
      <c r="K223" s="84"/>
      <c r="L223" s="84"/>
      <c r="M223" s="84"/>
      <c r="N223" s="84"/>
      <c r="O223" s="84"/>
      <c r="P223" s="84"/>
      <c r="Q223" s="84"/>
      <c r="R223" s="84"/>
      <c r="S223" s="84"/>
      <c r="T223" s="84"/>
      <c r="U223" s="84"/>
      <c r="V223" s="84"/>
      <c r="W223" s="84"/>
      <c r="X223" s="84"/>
      <c r="Y223" s="84"/>
      <c r="Z223" s="84"/>
    </row>
    <row r="224" ht="15.75" customHeight="1">
      <c r="A224" s="84"/>
      <c r="B224" s="84"/>
      <c r="C224" s="84"/>
      <c r="D224" s="84"/>
      <c r="E224" s="84"/>
      <c r="F224" s="84"/>
      <c r="G224" s="84"/>
      <c r="H224" s="84"/>
      <c r="I224" s="84"/>
      <c r="J224" s="84"/>
      <c r="K224" s="84"/>
      <c r="L224" s="84"/>
      <c r="M224" s="84"/>
      <c r="N224" s="84"/>
      <c r="O224" s="84"/>
      <c r="P224" s="84"/>
      <c r="Q224" s="84"/>
      <c r="R224" s="84"/>
      <c r="S224" s="84"/>
      <c r="T224" s="84"/>
      <c r="U224" s="84"/>
      <c r="V224" s="84"/>
      <c r="W224" s="84"/>
      <c r="X224" s="84"/>
      <c r="Y224" s="84"/>
      <c r="Z224" s="84"/>
    </row>
    <row r="225" ht="15.75" customHeight="1">
      <c r="A225" s="84"/>
      <c r="B225" s="84"/>
      <c r="C225" s="84"/>
      <c r="D225" s="84"/>
      <c r="E225" s="84"/>
      <c r="F225" s="84"/>
      <c r="G225" s="84"/>
      <c r="H225" s="84"/>
      <c r="I225" s="84"/>
      <c r="J225" s="84"/>
      <c r="K225" s="84"/>
      <c r="L225" s="84"/>
      <c r="M225" s="84"/>
      <c r="N225" s="84"/>
      <c r="O225" s="84"/>
      <c r="P225" s="84"/>
      <c r="Q225" s="84"/>
      <c r="R225" s="84"/>
      <c r="S225" s="84"/>
      <c r="T225" s="84"/>
      <c r="U225" s="84"/>
      <c r="V225" s="84"/>
      <c r="W225" s="84"/>
      <c r="X225" s="84"/>
      <c r="Y225" s="84"/>
      <c r="Z225" s="84"/>
    </row>
    <row r="226" ht="15.75" customHeight="1">
      <c r="A226" s="84"/>
      <c r="B226" s="84"/>
      <c r="C226" s="84"/>
      <c r="D226" s="84"/>
      <c r="E226" s="84"/>
      <c r="F226" s="84"/>
      <c r="G226" s="84"/>
      <c r="H226" s="84"/>
      <c r="I226" s="84"/>
      <c r="J226" s="84"/>
      <c r="K226" s="84"/>
      <c r="L226" s="84"/>
      <c r="M226" s="84"/>
      <c r="N226" s="84"/>
      <c r="O226" s="84"/>
      <c r="P226" s="84"/>
      <c r="Q226" s="84"/>
      <c r="R226" s="84"/>
      <c r="S226" s="84"/>
      <c r="T226" s="84"/>
      <c r="U226" s="84"/>
      <c r="V226" s="84"/>
      <c r="W226" s="84"/>
      <c r="X226" s="84"/>
      <c r="Y226" s="84"/>
      <c r="Z226" s="84"/>
    </row>
    <row r="227" ht="15.75" customHeight="1">
      <c r="A227" s="84"/>
      <c r="B227" s="84"/>
      <c r="C227" s="84"/>
      <c r="D227" s="84"/>
      <c r="E227" s="84"/>
      <c r="F227" s="84"/>
      <c r="G227" s="84"/>
      <c r="H227" s="84"/>
      <c r="I227" s="84"/>
      <c r="J227" s="84"/>
      <c r="K227" s="84"/>
      <c r="L227" s="84"/>
      <c r="M227" s="84"/>
      <c r="N227" s="84"/>
      <c r="O227" s="84"/>
      <c r="P227" s="84"/>
      <c r="Q227" s="84"/>
      <c r="R227" s="84"/>
      <c r="S227" s="84"/>
      <c r="T227" s="84"/>
      <c r="U227" s="84"/>
      <c r="V227" s="84"/>
      <c r="W227" s="84"/>
      <c r="X227" s="84"/>
      <c r="Y227" s="84"/>
      <c r="Z227" s="84"/>
    </row>
    <row r="228" ht="15.75" customHeight="1">
      <c r="A228" s="84"/>
      <c r="B228" s="84"/>
      <c r="C228" s="84"/>
      <c r="D228" s="84"/>
      <c r="E228" s="84"/>
      <c r="F228" s="84"/>
      <c r="G228" s="84"/>
      <c r="H228" s="84"/>
      <c r="I228" s="84"/>
      <c r="J228" s="84"/>
      <c r="K228" s="84"/>
      <c r="L228" s="84"/>
      <c r="M228" s="84"/>
      <c r="N228" s="84"/>
      <c r="O228" s="84"/>
      <c r="P228" s="84"/>
      <c r="Q228" s="84"/>
      <c r="R228" s="84"/>
      <c r="S228" s="84"/>
      <c r="T228" s="84"/>
      <c r="U228" s="84"/>
      <c r="V228" s="84"/>
      <c r="W228" s="84"/>
      <c r="X228" s="84"/>
      <c r="Y228" s="84"/>
      <c r="Z228" s="84"/>
    </row>
    <row r="229" ht="15.75" customHeight="1">
      <c r="A229" s="84"/>
      <c r="B229" s="84"/>
      <c r="C229" s="84"/>
      <c r="D229" s="84"/>
      <c r="E229" s="84"/>
      <c r="F229" s="84"/>
      <c r="G229" s="84"/>
      <c r="H229" s="84"/>
      <c r="I229" s="84"/>
      <c r="J229" s="84"/>
      <c r="K229" s="84"/>
      <c r="L229" s="84"/>
      <c r="M229" s="84"/>
      <c r="N229" s="84"/>
      <c r="O229" s="84"/>
      <c r="P229" s="84"/>
      <c r="Q229" s="84"/>
      <c r="R229" s="84"/>
      <c r="S229" s="84"/>
      <c r="T229" s="84"/>
      <c r="U229" s="84"/>
      <c r="V229" s="84"/>
      <c r="W229" s="84"/>
      <c r="X229" s="84"/>
      <c r="Y229" s="84"/>
      <c r="Z229" s="84"/>
    </row>
    <row r="230" ht="15.75" customHeight="1">
      <c r="A230" s="84"/>
      <c r="B230" s="84"/>
      <c r="C230" s="84"/>
      <c r="D230" s="84"/>
      <c r="E230" s="84"/>
      <c r="F230" s="84"/>
      <c r="G230" s="84"/>
      <c r="H230" s="84"/>
      <c r="I230" s="84"/>
      <c r="J230" s="84"/>
      <c r="K230" s="84"/>
      <c r="L230" s="84"/>
      <c r="M230" s="84"/>
      <c r="N230" s="84"/>
      <c r="O230" s="84"/>
      <c r="P230" s="84"/>
      <c r="Q230" s="84"/>
      <c r="R230" s="84"/>
      <c r="S230" s="84"/>
      <c r="T230" s="84"/>
      <c r="U230" s="84"/>
      <c r="V230" s="84"/>
      <c r="W230" s="84"/>
      <c r="X230" s="84"/>
      <c r="Y230" s="84"/>
      <c r="Z230" s="84"/>
    </row>
    <row r="231" ht="15.75" customHeight="1">
      <c r="A231" s="84"/>
      <c r="B231" s="84"/>
      <c r="C231" s="84"/>
      <c r="D231" s="84"/>
      <c r="E231" s="84"/>
      <c r="F231" s="84"/>
      <c r="G231" s="84"/>
      <c r="H231" s="84"/>
      <c r="I231" s="84"/>
      <c r="J231" s="84"/>
      <c r="K231" s="84"/>
      <c r="L231" s="84"/>
      <c r="M231" s="84"/>
      <c r="N231" s="84"/>
      <c r="O231" s="84"/>
      <c r="P231" s="84"/>
      <c r="Q231" s="84"/>
      <c r="R231" s="84"/>
      <c r="S231" s="84"/>
      <c r="T231" s="84"/>
      <c r="U231" s="84"/>
      <c r="V231" s="84"/>
      <c r="W231" s="84"/>
      <c r="X231" s="84"/>
      <c r="Y231" s="84"/>
      <c r="Z231" s="84"/>
    </row>
    <row r="232" ht="15.75" customHeight="1">
      <c r="A232" s="84"/>
      <c r="B232" s="84"/>
      <c r="C232" s="84"/>
      <c r="D232" s="84"/>
      <c r="E232" s="84"/>
      <c r="F232" s="84"/>
      <c r="G232" s="84"/>
      <c r="H232" s="84"/>
      <c r="I232" s="84"/>
      <c r="J232" s="84"/>
      <c r="K232" s="84"/>
      <c r="L232" s="84"/>
      <c r="M232" s="84"/>
      <c r="N232" s="84"/>
      <c r="O232" s="84"/>
      <c r="P232" s="84"/>
      <c r="Q232" s="84"/>
      <c r="R232" s="84"/>
      <c r="S232" s="84"/>
      <c r="T232" s="84"/>
      <c r="U232" s="84"/>
      <c r="V232" s="84"/>
      <c r="W232" s="84"/>
      <c r="X232" s="84"/>
      <c r="Y232" s="84"/>
      <c r="Z232" s="84"/>
    </row>
    <row r="233" ht="15.75" customHeight="1">
      <c r="A233" s="84"/>
      <c r="B233" s="84"/>
      <c r="C233" s="84"/>
      <c r="D233" s="84"/>
      <c r="E233" s="84"/>
      <c r="F233" s="84"/>
      <c r="G233" s="84"/>
      <c r="H233" s="84"/>
      <c r="I233" s="84"/>
      <c r="J233" s="84"/>
      <c r="K233" s="84"/>
      <c r="L233" s="84"/>
      <c r="M233" s="84"/>
      <c r="N233" s="84"/>
      <c r="O233" s="84"/>
      <c r="P233" s="84"/>
      <c r="Q233" s="84"/>
      <c r="R233" s="84"/>
      <c r="S233" s="84"/>
      <c r="T233" s="84"/>
      <c r="U233" s="84"/>
      <c r="V233" s="84"/>
      <c r="W233" s="84"/>
      <c r="X233" s="84"/>
      <c r="Y233" s="84"/>
      <c r="Z233" s="84"/>
    </row>
    <row r="234" ht="15.75" customHeight="1">
      <c r="A234" s="84"/>
      <c r="B234" s="84"/>
      <c r="C234" s="84"/>
      <c r="D234" s="84"/>
      <c r="E234" s="84"/>
      <c r="F234" s="84"/>
      <c r="G234" s="84"/>
      <c r="H234" s="84"/>
      <c r="I234" s="84"/>
      <c r="J234" s="84"/>
      <c r="K234" s="84"/>
      <c r="L234" s="84"/>
      <c r="M234" s="84"/>
      <c r="N234" s="84"/>
      <c r="O234" s="84"/>
      <c r="P234" s="84"/>
      <c r="Q234" s="84"/>
      <c r="R234" s="84"/>
      <c r="S234" s="84"/>
      <c r="T234" s="84"/>
      <c r="U234" s="84"/>
      <c r="V234" s="84"/>
      <c r="W234" s="84"/>
      <c r="X234" s="84"/>
      <c r="Y234" s="84"/>
      <c r="Z234" s="84"/>
    </row>
    <row r="235" ht="15.75" customHeight="1">
      <c r="A235" s="84"/>
      <c r="B235" s="84"/>
      <c r="C235" s="84"/>
      <c r="D235" s="84"/>
      <c r="E235" s="84"/>
      <c r="F235" s="84"/>
      <c r="G235" s="84"/>
      <c r="H235" s="84"/>
      <c r="I235" s="84"/>
      <c r="J235" s="84"/>
      <c r="K235" s="84"/>
      <c r="L235" s="84"/>
      <c r="M235" s="84"/>
      <c r="N235" s="84"/>
      <c r="O235" s="84"/>
      <c r="P235" s="84"/>
      <c r="Q235" s="84"/>
      <c r="R235" s="84"/>
      <c r="S235" s="84"/>
      <c r="T235" s="84"/>
      <c r="U235" s="84"/>
      <c r="V235" s="84"/>
      <c r="W235" s="84"/>
      <c r="X235" s="84"/>
      <c r="Y235" s="84"/>
      <c r="Z235" s="84"/>
    </row>
    <row r="236" ht="15.75" customHeight="1">
      <c r="A236" s="84"/>
      <c r="B236" s="84"/>
      <c r="C236" s="84"/>
      <c r="D236" s="84"/>
      <c r="E236" s="84"/>
      <c r="F236" s="84"/>
      <c r="G236" s="84"/>
      <c r="H236" s="84"/>
      <c r="I236" s="84"/>
      <c r="J236" s="84"/>
    </row>
    <row r="237" ht="15.75" customHeight="1">
      <c r="A237" s="84"/>
      <c r="B237" s="84"/>
      <c r="C237" s="84"/>
      <c r="D237" s="84"/>
      <c r="E237" s="84"/>
      <c r="F237" s="84"/>
      <c r="G237" s="84"/>
      <c r="H237" s="84"/>
      <c r="I237" s="84"/>
      <c r="J237" s="84"/>
    </row>
    <row r="238" ht="15.75" customHeight="1">
      <c r="A238" s="84"/>
      <c r="B238" s="84"/>
      <c r="C238" s="84"/>
      <c r="D238" s="84"/>
      <c r="E238" s="84"/>
      <c r="F238" s="84"/>
      <c r="G238" s="84"/>
      <c r="H238" s="84"/>
      <c r="I238" s="84"/>
      <c r="J238" s="84"/>
    </row>
    <row r="239" ht="15.75" customHeight="1">
      <c r="A239" s="84"/>
      <c r="B239" s="84"/>
      <c r="C239" s="84"/>
      <c r="D239" s="84"/>
      <c r="E239" s="84"/>
      <c r="F239" s="84"/>
      <c r="G239" s="84"/>
      <c r="H239" s="84"/>
      <c r="I239" s="84"/>
      <c r="J239" s="84"/>
    </row>
    <row r="240" ht="15.75" customHeight="1">
      <c r="A240" s="84"/>
      <c r="B240" s="84"/>
      <c r="C240" s="84"/>
      <c r="D240" s="84"/>
      <c r="E240" s="84"/>
      <c r="F240" s="84"/>
      <c r="G240" s="84"/>
      <c r="H240" s="84"/>
      <c r="I240" s="84"/>
      <c r="J240" s="84"/>
    </row>
    <row r="241" ht="15.75" customHeight="1">
      <c r="A241" s="84"/>
      <c r="B241" s="84"/>
      <c r="C241" s="84"/>
      <c r="D241" s="84"/>
      <c r="E241" s="84"/>
      <c r="F241" s="84"/>
      <c r="G241" s="84"/>
      <c r="H241" s="84"/>
      <c r="I241" s="84"/>
      <c r="J241" s="84"/>
    </row>
    <row r="242" ht="15.75" customHeight="1">
      <c r="A242" s="84"/>
      <c r="B242" s="84"/>
      <c r="C242" s="84"/>
      <c r="D242" s="84"/>
      <c r="E242" s="84"/>
      <c r="F242" s="84"/>
      <c r="G242" s="84"/>
      <c r="H242" s="84"/>
      <c r="I242" s="84"/>
      <c r="J242" s="84"/>
    </row>
    <row r="243" ht="15.75" customHeight="1">
      <c r="A243" s="84"/>
      <c r="B243" s="84"/>
      <c r="C243" s="84"/>
      <c r="D243" s="84"/>
      <c r="E243" s="84"/>
      <c r="F243" s="84"/>
      <c r="G243" s="84"/>
      <c r="H243" s="84"/>
      <c r="I243" s="84"/>
      <c r="J243" s="84"/>
    </row>
    <row r="244" ht="15.75" customHeight="1">
      <c r="A244" s="84"/>
      <c r="B244" s="84"/>
      <c r="C244" s="84"/>
      <c r="D244" s="84"/>
      <c r="E244" s="84"/>
      <c r="F244" s="84"/>
      <c r="G244" s="84"/>
      <c r="H244" s="84"/>
      <c r="I244" s="84"/>
      <c r="J244" s="84"/>
    </row>
    <row r="245" ht="15.75" customHeight="1">
      <c r="A245" s="84"/>
      <c r="B245" s="84"/>
      <c r="C245" s="84"/>
      <c r="D245" s="84"/>
      <c r="E245" s="84"/>
      <c r="F245" s="84"/>
      <c r="G245" s="84"/>
      <c r="H245" s="84"/>
      <c r="I245" s="84"/>
      <c r="J245" s="84"/>
    </row>
    <row r="246" ht="15.75" customHeight="1">
      <c r="A246" s="84"/>
      <c r="B246" s="84"/>
      <c r="C246" s="84"/>
      <c r="D246" s="84"/>
      <c r="E246" s="84"/>
      <c r="F246" s="84"/>
      <c r="G246" s="84"/>
      <c r="H246" s="84"/>
      <c r="I246" s="84"/>
      <c r="J246" s="84"/>
    </row>
    <row r="247" ht="15.75" customHeight="1">
      <c r="A247" s="84"/>
      <c r="B247" s="84"/>
      <c r="C247" s="84"/>
      <c r="D247" s="84"/>
      <c r="E247" s="84"/>
      <c r="F247" s="84"/>
      <c r="G247" s="84"/>
      <c r="H247" s="84"/>
      <c r="I247" s="84"/>
      <c r="J247" s="84"/>
    </row>
    <row r="248" ht="15.75" customHeight="1">
      <c r="A248" s="84"/>
      <c r="B248" s="84"/>
      <c r="C248" s="84"/>
      <c r="D248" s="84"/>
      <c r="E248" s="84"/>
      <c r="F248" s="84"/>
      <c r="G248" s="84"/>
      <c r="H248" s="84"/>
      <c r="I248" s="84"/>
      <c r="J248" s="84"/>
    </row>
    <row r="249" ht="15.75" customHeight="1">
      <c r="A249" s="84"/>
      <c r="B249" s="84"/>
      <c r="C249" s="84"/>
      <c r="D249" s="84"/>
      <c r="E249" s="84"/>
      <c r="F249" s="84"/>
      <c r="G249" s="84"/>
      <c r="H249" s="84"/>
      <c r="I249" s="84"/>
      <c r="J249" s="84"/>
    </row>
    <row r="250" ht="15.75" customHeight="1">
      <c r="A250" s="84"/>
      <c r="B250" s="84"/>
      <c r="C250" s="84"/>
      <c r="D250" s="84"/>
      <c r="E250" s="84"/>
      <c r="F250" s="84"/>
      <c r="G250" s="84"/>
      <c r="H250" s="84"/>
      <c r="I250" s="84"/>
      <c r="J250" s="84"/>
    </row>
    <row r="251" ht="15.75" customHeight="1">
      <c r="A251" s="84"/>
      <c r="B251" s="84"/>
      <c r="C251" s="84"/>
      <c r="D251" s="84"/>
      <c r="E251" s="84"/>
      <c r="F251" s="84"/>
      <c r="G251" s="84"/>
      <c r="H251" s="84"/>
      <c r="I251" s="84"/>
      <c r="J251" s="84"/>
    </row>
    <row r="252" ht="15.75" customHeight="1">
      <c r="A252" s="84"/>
      <c r="B252" s="84"/>
      <c r="C252" s="84"/>
      <c r="D252" s="84"/>
      <c r="E252" s="84"/>
      <c r="F252" s="84"/>
      <c r="G252" s="84"/>
      <c r="H252" s="84"/>
      <c r="I252" s="84"/>
      <c r="J252" s="84"/>
    </row>
    <row r="253" ht="15.75" customHeight="1">
      <c r="A253" s="84"/>
      <c r="B253" s="84"/>
      <c r="C253" s="84"/>
      <c r="D253" s="84"/>
      <c r="E253" s="84"/>
      <c r="F253" s="84"/>
      <c r="G253" s="84"/>
      <c r="H253" s="84"/>
      <c r="I253" s="84"/>
      <c r="J253" s="84"/>
    </row>
    <row r="254" ht="15.75" customHeight="1">
      <c r="A254" s="84"/>
      <c r="B254" s="84"/>
      <c r="C254" s="84"/>
      <c r="D254" s="84"/>
      <c r="E254" s="84"/>
      <c r="F254" s="84"/>
      <c r="G254" s="84"/>
      <c r="H254" s="84"/>
      <c r="I254" s="84"/>
      <c r="J254" s="84"/>
    </row>
    <row r="255" ht="15.75" customHeight="1">
      <c r="A255" s="84"/>
      <c r="B255" s="84"/>
      <c r="C255" s="84"/>
      <c r="D255" s="84"/>
      <c r="E255" s="84"/>
      <c r="F255" s="84"/>
      <c r="G255" s="84"/>
      <c r="H255" s="84"/>
      <c r="I255" s="84"/>
      <c r="J255" s="84"/>
    </row>
    <row r="256" ht="15.75" customHeight="1">
      <c r="A256" s="84"/>
      <c r="B256" s="84"/>
      <c r="C256" s="84"/>
      <c r="D256" s="84"/>
      <c r="E256" s="84"/>
      <c r="F256" s="84"/>
      <c r="G256" s="84"/>
      <c r="H256" s="84"/>
      <c r="I256" s="84"/>
      <c r="J256" s="84"/>
    </row>
    <row r="257" ht="15.75" customHeight="1">
      <c r="A257" s="84"/>
      <c r="B257" s="84"/>
      <c r="C257" s="84"/>
      <c r="D257" s="84"/>
      <c r="E257" s="84"/>
      <c r="F257" s="84"/>
      <c r="G257" s="84"/>
      <c r="H257" s="84"/>
      <c r="I257" s="84"/>
      <c r="J257" s="84"/>
    </row>
    <row r="258" ht="15.75" customHeight="1">
      <c r="A258" s="84"/>
      <c r="B258" s="84"/>
      <c r="C258" s="84"/>
      <c r="D258" s="84"/>
      <c r="E258" s="84"/>
      <c r="F258" s="84"/>
      <c r="G258" s="84"/>
      <c r="H258" s="84"/>
      <c r="I258" s="84"/>
      <c r="J258" s="84"/>
    </row>
    <row r="259" ht="15.75" customHeight="1">
      <c r="A259" s="84"/>
      <c r="B259" s="84"/>
      <c r="C259" s="84"/>
      <c r="D259" s="84"/>
      <c r="E259" s="84"/>
      <c r="F259" s="84"/>
      <c r="G259" s="84"/>
      <c r="H259" s="84"/>
      <c r="I259" s="84"/>
      <c r="J259" s="84"/>
    </row>
    <row r="260" ht="15.75" customHeight="1">
      <c r="A260" s="84"/>
      <c r="B260" s="84"/>
      <c r="C260" s="84"/>
      <c r="D260" s="84"/>
      <c r="E260" s="84"/>
      <c r="F260" s="84"/>
      <c r="G260" s="84"/>
      <c r="H260" s="84"/>
      <c r="I260" s="84"/>
      <c r="J260" s="84"/>
    </row>
    <row r="261" ht="15.75" customHeight="1">
      <c r="A261" s="84"/>
      <c r="B261" s="84"/>
      <c r="C261" s="84"/>
      <c r="D261" s="84"/>
      <c r="E261" s="84"/>
      <c r="F261" s="84"/>
      <c r="G261" s="84"/>
      <c r="H261" s="84"/>
      <c r="I261" s="84"/>
      <c r="J261" s="84"/>
    </row>
    <row r="262" ht="15.75" customHeight="1">
      <c r="A262" s="84"/>
      <c r="B262" s="84"/>
      <c r="C262" s="84"/>
      <c r="D262" s="84"/>
      <c r="E262" s="84"/>
      <c r="F262" s="84"/>
      <c r="G262" s="84"/>
      <c r="H262" s="84"/>
      <c r="I262" s="84"/>
      <c r="J262" s="84"/>
    </row>
    <row r="263" ht="15.75" customHeight="1">
      <c r="A263" s="84"/>
      <c r="B263" s="84"/>
      <c r="C263" s="84"/>
      <c r="D263" s="84"/>
      <c r="E263" s="84"/>
      <c r="F263" s="84"/>
      <c r="G263" s="84"/>
      <c r="H263" s="84"/>
      <c r="I263" s="84"/>
      <c r="J263" s="84"/>
    </row>
    <row r="264" ht="15.75" customHeight="1">
      <c r="A264" s="84"/>
      <c r="B264" s="84"/>
      <c r="C264" s="84"/>
      <c r="D264" s="84"/>
      <c r="E264" s="84"/>
      <c r="F264" s="84"/>
      <c r="G264" s="84"/>
      <c r="H264" s="84"/>
      <c r="I264" s="84"/>
      <c r="J264" s="84"/>
    </row>
    <row r="265" ht="15.75" customHeight="1">
      <c r="A265" s="84"/>
      <c r="B265" s="84"/>
      <c r="C265" s="84"/>
      <c r="D265" s="84"/>
      <c r="E265" s="84"/>
      <c r="F265" s="84"/>
      <c r="G265" s="84"/>
      <c r="H265" s="84"/>
      <c r="I265" s="84"/>
      <c r="J265" s="84"/>
    </row>
    <row r="266" ht="15.75" customHeight="1">
      <c r="A266" s="84"/>
      <c r="B266" s="84"/>
      <c r="C266" s="84"/>
      <c r="D266" s="84"/>
      <c r="E266" s="84"/>
      <c r="F266" s="84"/>
      <c r="G266" s="84"/>
      <c r="H266" s="84"/>
      <c r="I266" s="84"/>
      <c r="J266" s="84"/>
    </row>
    <row r="267" ht="15.75" customHeight="1">
      <c r="A267" s="84"/>
      <c r="B267" s="84"/>
      <c r="C267" s="84"/>
      <c r="D267" s="84"/>
      <c r="E267" s="84"/>
      <c r="F267" s="84"/>
      <c r="G267" s="84"/>
      <c r="H267" s="84"/>
      <c r="I267" s="84"/>
      <c r="J267" s="84"/>
    </row>
    <row r="268" ht="15.75" customHeight="1">
      <c r="A268" s="84"/>
      <c r="B268" s="84"/>
      <c r="C268" s="84"/>
      <c r="D268" s="84"/>
      <c r="E268" s="84"/>
      <c r="F268" s="84"/>
      <c r="G268" s="84"/>
      <c r="H268" s="84"/>
      <c r="I268" s="84"/>
      <c r="J268" s="84"/>
    </row>
    <row r="269" ht="15.75" customHeight="1">
      <c r="A269" s="84"/>
      <c r="B269" s="84"/>
      <c r="C269" s="84"/>
      <c r="D269" s="84"/>
      <c r="E269" s="84"/>
      <c r="F269" s="84"/>
      <c r="G269" s="84"/>
      <c r="H269" s="84"/>
      <c r="I269" s="84"/>
      <c r="J269" s="84"/>
    </row>
    <row r="270" ht="15.75" customHeight="1">
      <c r="A270" s="84"/>
      <c r="B270" s="84"/>
      <c r="C270" s="84"/>
      <c r="D270" s="84"/>
      <c r="E270" s="84"/>
      <c r="F270" s="84"/>
      <c r="G270" s="84"/>
      <c r="H270" s="84"/>
      <c r="I270" s="84"/>
      <c r="J270" s="84"/>
    </row>
    <row r="271" ht="15.75" customHeight="1">
      <c r="A271" s="84"/>
      <c r="B271" s="84"/>
      <c r="C271" s="84"/>
      <c r="D271" s="84"/>
      <c r="E271" s="84"/>
      <c r="F271" s="84"/>
      <c r="G271" s="84"/>
      <c r="H271" s="84"/>
      <c r="I271" s="84"/>
      <c r="J271" s="84"/>
    </row>
    <row r="272" ht="15.75" customHeight="1">
      <c r="A272" s="84"/>
      <c r="B272" s="84"/>
      <c r="C272" s="84"/>
      <c r="D272" s="84"/>
      <c r="E272" s="84"/>
      <c r="F272" s="84"/>
      <c r="G272" s="84"/>
      <c r="H272" s="84"/>
      <c r="I272" s="84"/>
      <c r="J272" s="84"/>
    </row>
    <row r="273" ht="15.75" customHeight="1">
      <c r="A273" s="84"/>
      <c r="B273" s="84"/>
      <c r="C273" s="84"/>
      <c r="D273" s="84"/>
      <c r="E273" s="84"/>
      <c r="F273" s="84"/>
      <c r="G273" s="84"/>
      <c r="H273" s="84"/>
      <c r="I273" s="84"/>
      <c r="J273" s="84"/>
    </row>
    <row r="274" ht="15.75" customHeight="1">
      <c r="A274" s="84"/>
      <c r="B274" s="84"/>
      <c r="C274" s="84"/>
      <c r="D274" s="84"/>
      <c r="E274" s="84"/>
      <c r="F274" s="84"/>
      <c r="G274" s="84"/>
      <c r="H274" s="84"/>
      <c r="I274" s="84"/>
      <c r="J274" s="84"/>
    </row>
    <row r="275" ht="15.75" customHeight="1">
      <c r="A275" s="84"/>
      <c r="B275" s="84"/>
      <c r="C275" s="84"/>
      <c r="D275" s="84"/>
      <c r="E275" s="84"/>
      <c r="F275" s="84"/>
      <c r="G275" s="84"/>
      <c r="H275" s="84"/>
      <c r="I275" s="84"/>
      <c r="J275" s="84"/>
    </row>
    <row r="276" ht="15.75" customHeight="1">
      <c r="A276" s="84"/>
      <c r="B276" s="84"/>
      <c r="C276" s="84"/>
      <c r="D276" s="84"/>
      <c r="E276" s="84"/>
      <c r="F276" s="84"/>
      <c r="G276" s="84"/>
      <c r="H276" s="84"/>
      <c r="I276" s="84"/>
      <c r="J276" s="84"/>
    </row>
    <row r="277" ht="15.75" customHeight="1">
      <c r="A277" s="84"/>
      <c r="B277" s="84"/>
      <c r="C277" s="84"/>
      <c r="D277" s="84"/>
      <c r="E277" s="84"/>
      <c r="F277" s="84"/>
      <c r="G277" s="84"/>
      <c r="H277" s="84"/>
      <c r="I277" s="84"/>
      <c r="J277" s="84"/>
    </row>
    <row r="278" ht="15.75" customHeight="1">
      <c r="A278" s="84"/>
      <c r="B278" s="84"/>
      <c r="C278" s="84"/>
      <c r="D278" s="84"/>
      <c r="E278" s="84"/>
      <c r="F278" s="84"/>
      <c r="G278" s="84"/>
      <c r="H278" s="84"/>
      <c r="I278" s="84"/>
      <c r="J278" s="84"/>
    </row>
    <row r="279" ht="15.75" customHeight="1">
      <c r="A279" s="84"/>
      <c r="B279" s="84"/>
      <c r="C279" s="84"/>
      <c r="D279" s="84"/>
      <c r="E279" s="84"/>
      <c r="F279" s="84"/>
      <c r="G279" s="84"/>
      <c r="H279" s="84"/>
      <c r="I279" s="84"/>
      <c r="J279" s="84"/>
    </row>
    <row r="280" ht="15.75" customHeight="1">
      <c r="A280" s="84"/>
      <c r="B280" s="84"/>
      <c r="C280" s="84"/>
      <c r="D280" s="84"/>
      <c r="E280" s="84"/>
      <c r="F280" s="84"/>
      <c r="G280" s="84"/>
      <c r="H280" s="84"/>
      <c r="I280" s="84"/>
      <c r="J280" s="84"/>
    </row>
    <row r="281" ht="15.75" customHeight="1">
      <c r="A281" s="84"/>
      <c r="B281" s="84"/>
      <c r="C281" s="84"/>
      <c r="D281" s="84"/>
      <c r="E281" s="84"/>
      <c r="F281" s="84"/>
      <c r="G281" s="84"/>
      <c r="H281" s="84"/>
      <c r="I281" s="84"/>
      <c r="J281" s="84"/>
    </row>
    <row r="282" ht="15.75" customHeight="1">
      <c r="A282" s="84"/>
      <c r="B282" s="84"/>
      <c r="C282" s="84"/>
      <c r="D282" s="84"/>
      <c r="E282" s="84"/>
      <c r="F282" s="84"/>
      <c r="G282" s="84"/>
      <c r="H282" s="84"/>
      <c r="I282" s="84"/>
      <c r="J282" s="84"/>
    </row>
    <row r="283" ht="15.75" customHeight="1">
      <c r="A283" s="84"/>
      <c r="B283" s="84"/>
      <c r="C283" s="84"/>
      <c r="D283" s="84"/>
      <c r="E283" s="84"/>
      <c r="F283" s="84"/>
      <c r="G283" s="84"/>
      <c r="H283" s="84"/>
      <c r="I283" s="84"/>
      <c r="J283" s="84"/>
    </row>
    <row r="284" ht="15.75" customHeight="1">
      <c r="A284" s="84"/>
      <c r="B284" s="84"/>
      <c r="C284" s="84"/>
      <c r="D284" s="84"/>
      <c r="E284" s="84"/>
      <c r="F284" s="84"/>
      <c r="G284" s="84"/>
      <c r="H284" s="84"/>
      <c r="I284" s="84"/>
      <c r="J284" s="84"/>
    </row>
    <row r="285" ht="15.75" customHeight="1">
      <c r="A285" s="84"/>
      <c r="B285" s="84"/>
      <c r="C285" s="84"/>
      <c r="D285" s="84"/>
      <c r="E285" s="84"/>
      <c r="F285" s="84"/>
      <c r="G285" s="84"/>
      <c r="H285" s="84"/>
      <c r="I285" s="84"/>
      <c r="J285" s="84"/>
    </row>
    <row r="286" ht="15.75" customHeight="1">
      <c r="A286" s="84"/>
      <c r="B286" s="84"/>
      <c r="C286" s="84"/>
      <c r="D286" s="84"/>
      <c r="E286" s="84"/>
      <c r="F286" s="84"/>
      <c r="G286" s="84"/>
      <c r="H286" s="84"/>
      <c r="I286" s="84"/>
      <c r="J286" s="84"/>
    </row>
    <row r="287" ht="15.75" customHeight="1">
      <c r="A287" s="84"/>
      <c r="B287" s="84"/>
      <c r="C287" s="84"/>
      <c r="D287" s="84"/>
      <c r="E287" s="84"/>
      <c r="F287" s="84"/>
      <c r="G287" s="84"/>
      <c r="H287" s="84"/>
      <c r="I287" s="84"/>
      <c r="J287" s="84"/>
    </row>
    <row r="288" ht="15.75" customHeight="1">
      <c r="A288" s="84"/>
      <c r="B288" s="84"/>
      <c r="C288" s="84"/>
      <c r="D288" s="84"/>
      <c r="E288" s="84"/>
      <c r="F288" s="84"/>
      <c r="G288" s="84"/>
      <c r="H288" s="84"/>
      <c r="I288" s="84"/>
      <c r="J288" s="84"/>
    </row>
    <row r="289" ht="15.75" customHeight="1">
      <c r="A289" s="84"/>
      <c r="B289" s="84"/>
      <c r="C289" s="84"/>
      <c r="D289" s="84"/>
      <c r="E289" s="84"/>
      <c r="F289" s="84"/>
      <c r="G289" s="84"/>
      <c r="H289" s="84"/>
      <c r="I289" s="84"/>
      <c r="J289" s="84"/>
    </row>
    <row r="290" ht="15.75" customHeight="1">
      <c r="A290" s="84"/>
      <c r="B290" s="84"/>
      <c r="C290" s="84"/>
      <c r="D290" s="84"/>
      <c r="E290" s="84"/>
      <c r="F290" s="84"/>
      <c r="G290" s="84"/>
      <c r="H290" s="84"/>
      <c r="I290" s="84"/>
      <c r="J290" s="84"/>
    </row>
    <row r="291" ht="15.75" customHeight="1">
      <c r="A291" s="84"/>
      <c r="B291" s="84"/>
      <c r="C291" s="84"/>
      <c r="D291" s="84"/>
      <c r="E291" s="84"/>
      <c r="F291" s="84"/>
      <c r="G291" s="84"/>
      <c r="H291" s="84"/>
      <c r="I291" s="84"/>
      <c r="J291" s="84"/>
    </row>
    <row r="292" ht="15.75" customHeight="1">
      <c r="A292" s="84"/>
      <c r="B292" s="84"/>
      <c r="C292" s="84"/>
      <c r="D292" s="84"/>
      <c r="E292" s="84"/>
      <c r="F292" s="84"/>
      <c r="G292" s="84"/>
      <c r="H292" s="84"/>
      <c r="I292" s="84"/>
      <c r="J292" s="84"/>
    </row>
    <row r="293" ht="15.75" customHeight="1">
      <c r="A293" s="84"/>
      <c r="B293" s="84"/>
      <c r="C293" s="84"/>
      <c r="D293" s="84"/>
      <c r="E293" s="84"/>
      <c r="F293" s="84"/>
      <c r="G293" s="84"/>
      <c r="H293" s="84"/>
      <c r="I293" s="84"/>
      <c r="J293" s="84"/>
    </row>
    <row r="294" ht="15.75" customHeight="1">
      <c r="A294" s="84"/>
      <c r="B294" s="84"/>
      <c r="C294" s="84"/>
      <c r="D294" s="84"/>
      <c r="E294" s="84"/>
      <c r="F294" s="84"/>
      <c r="G294" s="84"/>
      <c r="H294" s="84"/>
      <c r="I294" s="84"/>
      <c r="J294" s="84"/>
    </row>
    <row r="295" ht="15.75" customHeight="1">
      <c r="A295" s="84"/>
      <c r="B295" s="84"/>
      <c r="C295" s="84"/>
      <c r="D295" s="84"/>
      <c r="E295" s="84"/>
      <c r="F295" s="84"/>
      <c r="G295" s="84"/>
      <c r="H295" s="84"/>
      <c r="I295" s="84"/>
      <c r="J295" s="84"/>
    </row>
    <row r="296" ht="15.75" customHeight="1">
      <c r="A296" s="84"/>
      <c r="B296" s="84"/>
      <c r="C296" s="84"/>
      <c r="D296" s="84"/>
      <c r="E296" s="84"/>
      <c r="F296" s="84"/>
      <c r="G296" s="84"/>
      <c r="H296" s="84"/>
      <c r="I296" s="84"/>
      <c r="J296" s="84"/>
    </row>
    <row r="297" ht="15.75" customHeight="1">
      <c r="A297" s="84"/>
      <c r="B297" s="84"/>
      <c r="C297" s="84"/>
      <c r="D297" s="84"/>
      <c r="E297" s="84"/>
      <c r="F297" s="84"/>
      <c r="G297" s="84"/>
      <c r="H297" s="84"/>
      <c r="I297" s="84"/>
      <c r="J297" s="84"/>
    </row>
    <row r="298" ht="15.75" customHeight="1">
      <c r="A298" s="84"/>
      <c r="B298" s="84"/>
      <c r="C298" s="84"/>
      <c r="D298" s="84"/>
      <c r="E298" s="84"/>
      <c r="F298" s="84"/>
      <c r="G298" s="84"/>
      <c r="H298" s="84"/>
      <c r="I298" s="84"/>
      <c r="J298" s="84"/>
    </row>
    <row r="299" ht="15.75" customHeight="1">
      <c r="A299" s="84"/>
      <c r="B299" s="84"/>
      <c r="C299" s="84"/>
      <c r="D299" s="84"/>
      <c r="E299" s="84"/>
      <c r="F299" s="84"/>
      <c r="G299" s="84"/>
      <c r="H299" s="84"/>
      <c r="I299" s="84"/>
      <c r="J299" s="84"/>
    </row>
    <row r="300" ht="15.75" customHeight="1">
      <c r="A300" s="84"/>
      <c r="B300" s="84"/>
      <c r="C300" s="84"/>
      <c r="D300" s="84"/>
      <c r="E300" s="84"/>
      <c r="F300" s="84"/>
      <c r="G300" s="84"/>
      <c r="H300" s="84"/>
      <c r="I300" s="84"/>
      <c r="J300" s="84"/>
    </row>
    <row r="301" ht="15.75" customHeight="1">
      <c r="A301" s="84"/>
      <c r="B301" s="84"/>
      <c r="C301" s="84"/>
      <c r="D301" s="84"/>
      <c r="E301" s="84"/>
      <c r="F301" s="84"/>
      <c r="G301" s="84"/>
      <c r="H301" s="84"/>
      <c r="I301" s="84"/>
      <c r="J301" s="84"/>
    </row>
    <row r="302" ht="15.75" customHeight="1">
      <c r="A302" s="84"/>
      <c r="B302" s="84"/>
      <c r="C302" s="84"/>
      <c r="D302" s="84"/>
      <c r="E302" s="84"/>
      <c r="F302" s="84"/>
      <c r="G302" s="84"/>
      <c r="H302" s="84"/>
      <c r="I302" s="84"/>
      <c r="J302" s="84"/>
    </row>
    <row r="303" ht="15.75" customHeight="1">
      <c r="A303" s="84"/>
      <c r="B303" s="84"/>
      <c r="C303" s="84"/>
      <c r="D303" s="84"/>
      <c r="E303" s="84"/>
      <c r="F303" s="84"/>
      <c r="G303" s="84"/>
      <c r="H303" s="84"/>
      <c r="I303" s="84"/>
      <c r="J303" s="84"/>
    </row>
    <row r="304" ht="15.75" customHeight="1">
      <c r="A304" s="84"/>
      <c r="B304" s="84"/>
      <c r="C304" s="84"/>
      <c r="D304" s="84"/>
      <c r="E304" s="84"/>
      <c r="F304" s="84"/>
      <c r="G304" s="84"/>
      <c r="H304" s="84"/>
      <c r="I304" s="84"/>
      <c r="J304" s="84"/>
    </row>
    <row r="305" ht="15.75" customHeight="1">
      <c r="A305" s="84"/>
      <c r="B305" s="84"/>
      <c r="C305" s="84"/>
      <c r="D305" s="84"/>
      <c r="E305" s="84"/>
      <c r="F305" s="84"/>
      <c r="G305" s="84"/>
      <c r="H305" s="84"/>
      <c r="I305" s="84"/>
      <c r="J305" s="84"/>
    </row>
    <row r="306" ht="15.75" customHeight="1">
      <c r="A306" s="84"/>
      <c r="B306" s="84"/>
      <c r="C306" s="84"/>
      <c r="D306" s="84"/>
      <c r="E306" s="84"/>
      <c r="F306" s="84"/>
      <c r="G306" s="84"/>
      <c r="H306" s="84"/>
      <c r="I306" s="84"/>
      <c r="J306" s="84"/>
    </row>
    <row r="307" ht="15.75" customHeight="1">
      <c r="A307" s="84"/>
      <c r="B307" s="84"/>
      <c r="C307" s="84"/>
      <c r="D307" s="84"/>
      <c r="E307" s="84"/>
      <c r="F307" s="84"/>
      <c r="G307" s="84"/>
      <c r="H307" s="84"/>
      <c r="I307" s="84"/>
      <c r="J307" s="84"/>
    </row>
    <row r="308" ht="15.75" customHeight="1">
      <c r="A308" s="84"/>
      <c r="B308" s="84"/>
      <c r="C308" s="84"/>
      <c r="D308" s="84"/>
      <c r="E308" s="84"/>
      <c r="F308" s="84"/>
      <c r="G308" s="84"/>
      <c r="H308" s="84"/>
      <c r="I308" s="84"/>
      <c r="J308" s="84"/>
    </row>
    <row r="309" ht="15.75" customHeight="1">
      <c r="A309" s="84"/>
      <c r="B309" s="84"/>
      <c r="C309" s="84"/>
      <c r="D309" s="84"/>
      <c r="E309" s="84"/>
      <c r="F309" s="84"/>
      <c r="G309" s="84"/>
      <c r="H309" s="84"/>
      <c r="I309" s="84"/>
      <c r="J309" s="84"/>
    </row>
    <row r="310" ht="15.75" customHeight="1">
      <c r="A310" s="84"/>
      <c r="B310" s="84"/>
      <c r="C310" s="84"/>
      <c r="D310" s="84"/>
      <c r="E310" s="84"/>
      <c r="F310" s="84"/>
      <c r="G310" s="84"/>
      <c r="H310" s="84"/>
      <c r="I310" s="84"/>
      <c r="J310" s="84"/>
    </row>
    <row r="311" ht="15.75" customHeight="1">
      <c r="A311" s="84"/>
      <c r="B311" s="84"/>
      <c r="C311" s="84"/>
      <c r="D311" s="84"/>
      <c r="E311" s="84"/>
      <c r="F311" s="84"/>
      <c r="G311" s="84"/>
      <c r="H311" s="84"/>
      <c r="I311" s="84"/>
      <c r="J311" s="84"/>
    </row>
    <row r="312" ht="15.75" customHeight="1">
      <c r="A312" s="84"/>
      <c r="B312" s="84"/>
      <c r="C312" s="84"/>
      <c r="D312" s="84"/>
      <c r="E312" s="84"/>
      <c r="F312" s="84"/>
      <c r="G312" s="84"/>
      <c r="H312" s="84"/>
      <c r="I312" s="84"/>
      <c r="J312" s="84"/>
    </row>
    <row r="313" ht="15.75" customHeight="1">
      <c r="A313" s="84"/>
      <c r="B313" s="84"/>
      <c r="C313" s="84"/>
      <c r="D313" s="84"/>
      <c r="E313" s="84"/>
      <c r="F313" s="84"/>
      <c r="G313" s="84"/>
      <c r="H313" s="84"/>
      <c r="I313" s="84"/>
      <c r="J313" s="84"/>
    </row>
    <row r="314" ht="15.75" customHeight="1">
      <c r="A314" s="84"/>
      <c r="B314" s="84"/>
      <c r="C314" s="84"/>
      <c r="D314" s="84"/>
      <c r="E314" s="84"/>
      <c r="F314" s="84"/>
      <c r="G314" s="84"/>
      <c r="H314" s="84"/>
      <c r="I314" s="84"/>
      <c r="J314" s="84"/>
    </row>
    <row r="315" ht="15.75" customHeight="1">
      <c r="A315" s="84"/>
      <c r="B315" s="84"/>
      <c r="C315" s="84"/>
      <c r="D315" s="84"/>
      <c r="E315" s="84"/>
      <c r="F315" s="84"/>
      <c r="G315" s="84"/>
      <c r="H315" s="84"/>
      <c r="I315" s="84"/>
      <c r="J315" s="84"/>
    </row>
    <row r="316" ht="15.75" customHeight="1">
      <c r="A316" s="84"/>
      <c r="B316" s="84"/>
      <c r="C316" s="84"/>
      <c r="D316" s="84"/>
      <c r="E316" s="84"/>
      <c r="F316" s="84"/>
      <c r="G316" s="84"/>
      <c r="H316" s="84"/>
      <c r="I316" s="84"/>
      <c r="J316" s="84"/>
    </row>
    <row r="317" ht="15.75" customHeight="1">
      <c r="A317" s="84"/>
      <c r="B317" s="84"/>
      <c r="C317" s="84"/>
      <c r="D317" s="84"/>
      <c r="E317" s="84"/>
      <c r="F317" s="84"/>
      <c r="G317" s="84"/>
      <c r="H317" s="84"/>
      <c r="I317" s="84"/>
      <c r="J317" s="84"/>
    </row>
    <row r="318" ht="15.75" customHeight="1">
      <c r="A318" s="84"/>
      <c r="B318" s="84"/>
      <c r="C318" s="84"/>
      <c r="D318" s="84"/>
      <c r="E318" s="84"/>
      <c r="F318" s="84"/>
      <c r="G318" s="84"/>
      <c r="H318" s="84"/>
      <c r="I318" s="84"/>
      <c r="J318" s="84"/>
    </row>
    <row r="319" ht="15.75" customHeight="1">
      <c r="A319" s="84"/>
      <c r="B319" s="84"/>
      <c r="C319" s="84"/>
      <c r="D319" s="84"/>
      <c r="E319" s="84"/>
      <c r="F319" s="84"/>
      <c r="G319" s="84"/>
      <c r="H319" s="84"/>
      <c r="I319" s="84"/>
      <c r="J319" s="84"/>
    </row>
    <row r="320" ht="15.75" customHeight="1">
      <c r="A320" s="84"/>
      <c r="B320" s="84"/>
      <c r="C320" s="84"/>
      <c r="D320" s="84"/>
      <c r="E320" s="84"/>
      <c r="F320" s="84"/>
      <c r="G320" s="84"/>
      <c r="H320" s="84"/>
      <c r="I320" s="84"/>
      <c r="J320" s="84"/>
    </row>
    <row r="321" ht="15.75" customHeight="1">
      <c r="A321" s="84"/>
      <c r="B321" s="84"/>
      <c r="C321" s="84"/>
      <c r="D321" s="84"/>
      <c r="E321" s="84"/>
      <c r="F321" s="84"/>
      <c r="G321" s="84"/>
      <c r="H321" s="84"/>
      <c r="I321" s="84"/>
      <c r="J321" s="84"/>
    </row>
    <row r="322" ht="15.75" customHeight="1">
      <c r="A322" s="84"/>
      <c r="B322" s="84"/>
      <c r="C322" s="84"/>
      <c r="D322" s="84"/>
      <c r="E322" s="84"/>
      <c r="F322" s="84"/>
      <c r="G322" s="84"/>
      <c r="H322" s="84"/>
      <c r="I322" s="84"/>
      <c r="J322" s="84"/>
    </row>
    <row r="323" ht="15.75" customHeight="1">
      <c r="A323" s="84"/>
      <c r="B323" s="84"/>
      <c r="C323" s="84"/>
      <c r="D323" s="84"/>
      <c r="E323" s="84"/>
      <c r="F323" s="84"/>
      <c r="G323" s="84"/>
      <c r="H323" s="84"/>
      <c r="I323" s="84"/>
      <c r="J323" s="84"/>
    </row>
    <row r="324" ht="15.75" customHeight="1">
      <c r="A324" s="84"/>
      <c r="B324" s="84"/>
      <c r="C324" s="84"/>
      <c r="D324" s="84"/>
      <c r="E324" s="84"/>
      <c r="F324" s="84"/>
      <c r="G324" s="84"/>
      <c r="H324" s="84"/>
      <c r="I324" s="84"/>
      <c r="J324" s="84"/>
    </row>
    <row r="325" ht="15.75" customHeight="1">
      <c r="A325" s="84"/>
      <c r="B325" s="84"/>
      <c r="C325" s="84"/>
      <c r="D325" s="84"/>
      <c r="E325" s="84"/>
      <c r="F325" s="84"/>
      <c r="G325" s="84"/>
      <c r="H325" s="84"/>
      <c r="I325" s="84"/>
      <c r="J325" s="84"/>
    </row>
    <row r="326" ht="15.75" customHeight="1">
      <c r="A326" s="84"/>
      <c r="B326" s="84"/>
      <c r="C326" s="84"/>
      <c r="D326" s="84"/>
      <c r="E326" s="84"/>
      <c r="F326" s="84"/>
      <c r="G326" s="84"/>
      <c r="H326" s="84"/>
      <c r="I326" s="84"/>
      <c r="J326" s="84"/>
    </row>
    <row r="327" ht="15.75" customHeight="1">
      <c r="A327" s="84"/>
      <c r="B327" s="84"/>
      <c r="C327" s="84"/>
      <c r="D327" s="84"/>
      <c r="E327" s="84"/>
      <c r="F327" s="84"/>
      <c r="G327" s="84"/>
      <c r="H327" s="84"/>
      <c r="I327" s="84"/>
      <c r="J327" s="84"/>
    </row>
    <row r="328" ht="15.75" customHeight="1">
      <c r="A328" s="84"/>
      <c r="B328" s="84"/>
      <c r="C328" s="84"/>
      <c r="D328" s="84"/>
      <c r="E328" s="84"/>
      <c r="F328" s="84"/>
      <c r="G328" s="84"/>
      <c r="H328" s="84"/>
      <c r="I328" s="84"/>
      <c r="J328" s="84"/>
    </row>
    <row r="329" ht="15.75" customHeight="1">
      <c r="A329" s="84"/>
      <c r="B329" s="84"/>
      <c r="C329" s="84"/>
      <c r="D329" s="84"/>
      <c r="E329" s="84"/>
      <c r="F329" s="84"/>
      <c r="G329" s="84"/>
      <c r="H329" s="84"/>
      <c r="I329" s="84"/>
      <c r="J329" s="84"/>
    </row>
    <row r="330" ht="15.75" customHeight="1">
      <c r="A330" s="84"/>
      <c r="B330" s="84"/>
      <c r="C330" s="84"/>
      <c r="D330" s="84"/>
      <c r="E330" s="84"/>
      <c r="F330" s="84"/>
      <c r="G330" s="84"/>
      <c r="H330" s="84"/>
      <c r="I330" s="84"/>
      <c r="J330" s="84"/>
    </row>
    <row r="331" ht="15.75" customHeight="1">
      <c r="A331" s="84"/>
      <c r="B331" s="84"/>
      <c r="C331" s="84"/>
      <c r="D331" s="84"/>
      <c r="E331" s="84"/>
      <c r="F331" s="84"/>
      <c r="G331" s="84"/>
      <c r="H331" s="84"/>
      <c r="I331" s="84"/>
      <c r="J331" s="84"/>
    </row>
    <row r="332" ht="15.75" customHeight="1">
      <c r="A332" s="84"/>
      <c r="B332" s="84"/>
      <c r="C332" s="84"/>
      <c r="D332" s="84"/>
      <c r="E332" s="84"/>
      <c r="F332" s="84"/>
      <c r="G332" s="84"/>
      <c r="H332" s="84"/>
      <c r="I332" s="84"/>
      <c r="J332" s="84"/>
    </row>
    <row r="333" ht="15.75" customHeight="1">
      <c r="A333" s="84"/>
      <c r="B333" s="84"/>
      <c r="C333" s="84"/>
      <c r="D333" s="84"/>
      <c r="E333" s="84"/>
      <c r="F333" s="84"/>
      <c r="G333" s="84"/>
      <c r="H333" s="84"/>
      <c r="I333" s="84"/>
      <c r="J333" s="84"/>
    </row>
    <row r="334" ht="15.75" customHeight="1">
      <c r="A334" s="84"/>
      <c r="B334" s="84"/>
      <c r="C334" s="84"/>
      <c r="D334" s="84"/>
      <c r="E334" s="84"/>
      <c r="F334" s="84"/>
      <c r="G334" s="84"/>
      <c r="H334" s="84"/>
      <c r="I334" s="84"/>
      <c r="J334" s="84"/>
    </row>
    <row r="335" ht="15.75" customHeight="1">
      <c r="A335" s="84"/>
      <c r="B335" s="84"/>
      <c r="C335" s="84"/>
      <c r="D335" s="84"/>
      <c r="E335" s="84"/>
      <c r="F335" s="84"/>
      <c r="G335" s="84"/>
      <c r="H335" s="84"/>
      <c r="I335" s="84"/>
      <c r="J335" s="84"/>
    </row>
    <row r="336" ht="15.75" customHeight="1">
      <c r="A336" s="84"/>
      <c r="B336" s="84"/>
      <c r="C336" s="84"/>
      <c r="D336" s="84"/>
      <c r="E336" s="84"/>
      <c r="F336" s="84"/>
      <c r="G336" s="84"/>
      <c r="H336" s="84"/>
      <c r="I336" s="84"/>
      <c r="J336" s="84"/>
    </row>
    <row r="337" ht="15.75" customHeight="1">
      <c r="A337" s="84"/>
      <c r="B337" s="84"/>
      <c r="C337" s="84"/>
      <c r="D337" s="84"/>
      <c r="E337" s="84"/>
      <c r="F337" s="84"/>
      <c r="G337" s="84"/>
      <c r="H337" s="84"/>
      <c r="I337" s="84"/>
      <c r="J337" s="84"/>
    </row>
    <row r="338" ht="15.75" customHeight="1">
      <c r="A338" s="84"/>
      <c r="B338" s="84"/>
      <c r="C338" s="84"/>
      <c r="D338" s="84"/>
      <c r="E338" s="84"/>
      <c r="F338" s="84"/>
      <c r="G338" s="84"/>
      <c r="H338" s="84"/>
      <c r="I338" s="84"/>
      <c r="J338" s="84"/>
    </row>
    <row r="339" ht="15.75" customHeight="1">
      <c r="A339" s="84"/>
      <c r="B339" s="84"/>
      <c r="C339" s="84"/>
      <c r="D339" s="84"/>
      <c r="E339" s="84"/>
      <c r="F339" s="84"/>
      <c r="G339" s="84"/>
      <c r="H339" s="84"/>
      <c r="I339" s="84"/>
      <c r="J339" s="84"/>
    </row>
    <row r="340" ht="15.75" customHeight="1">
      <c r="A340" s="84"/>
      <c r="B340" s="84"/>
      <c r="C340" s="84"/>
      <c r="D340" s="84"/>
      <c r="E340" s="84"/>
      <c r="F340" s="84"/>
      <c r="G340" s="84"/>
      <c r="H340" s="84"/>
      <c r="I340" s="84"/>
      <c r="J340" s="84"/>
    </row>
    <row r="341" ht="15.75" customHeight="1">
      <c r="A341" s="84"/>
      <c r="B341" s="84"/>
      <c r="C341" s="84"/>
      <c r="D341" s="84"/>
      <c r="E341" s="84"/>
      <c r="F341" s="84"/>
      <c r="G341" s="84"/>
      <c r="H341" s="84"/>
      <c r="I341" s="84"/>
      <c r="J341" s="84"/>
    </row>
    <row r="342" ht="15.75" customHeight="1">
      <c r="A342" s="84"/>
      <c r="B342" s="84"/>
      <c r="C342" s="84"/>
      <c r="D342" s="84"/>
      <c r="E342" s="84"/>
      <c r="F342" s="84"/>
      <c r="G342" s="84"/>
      <c r="H342" s="84"/>
      <c r="I342" s="84"/>
      <c r="J342" s="84"/>
    </row>
    <row r="343" ht="15.75" customHeight="1">
      <c r="A343" s="84"/>
      <c r="B343" s="84"/>
      <c r="C343" s="84"/>
      <c r="D343" s="84"/>
      <c r="E343" s="84"/>
      <c r="F343" s="84"/>
      <c r="G343" s="84"/>
      <c r="H343" s="84"/>
      <c r="I343" s="84"/>
      <c r="J343" s="84"/>
    </row>
    <row r="344" ht="15.75" customHeight="1">
      <c r="A344" s="84"/>
      <c r="B344" s="84"/>
      <c r="C344" s="84"/>
      <c r="D344" s="84"/>
      <c r="E344" s="84"/>
      <c r="F344" s="84"/>
      <c r="G344" s="84"/>
      <c r="H344" s="84"/>
      <c r="I344" s="84"/>
      <c r="J344" s="84"/>
    </row>
    <row r="345" ht="15.75" customHeight="1">
      <c r="A345" s="84"/>
      <c r="B345" s="84"/>
      <c r="C345" s="84"/>
      <c r="D345" s="84"/>
      <c r="E345" s="84"/>
      <c r="F345" s="84"/>
      <c r="G345" s="84"/>
      <c r="H345" s="84"/>
      <c r="I345" s="84"/>
      <c r="J345" s="84"/>
    </row>
    <row r="346" ht="15.75" customHeight="1">
      <c r="A346" s="84"/>
      <c r="B346" s="84"/>
      <c r="C346" s="84"/>
      <c r="D346" s="84"/>
      <c r="E346" s="84"/>
      <c r="F346" s="84"/>
      <c r="G346" s="84"/>
      <c r="H346" s="84"/>
      <c r="I346" s="84"/>
      <c r="J346" s="84"/>
    </row>
    <row r="347" ht="15.75" customHeight="1">
      <c r="A347" s="84"/>
      <c r="B347" s="84"/>
      <c r="C347" s="84"/>
      <c r="D347" s="84"/>
      <c r="E347" s="84"/>
      <c r="F347" s="84"/>
      <c r="G347" s="84"/>
      <c r="H347" s="84"/>
      <c r="I347" s="84"/>
      <c r="J347" s="84"/>
    </row>
    <row r="348" ht="15.75" customHeight="1">
      <c r="A348" s="84"/>
      <c r="B348" s="84"/>
      <c r="C348" s="84"/>
      <c r="D348" s="84"/>
      <c r="E348" s="84"/>
      <c r="F348" s="84"/>
      <c r="G348" s="84"/>
      <c r="H348" s="84"/>
      <c r="I348" s="84"/>
      <c r="J348" s="84"/>
    </row>
    <row r="349" ht="15.75" customHeight="1">
      <c r="A349" s="84"/>
      <c r="B349" s="84"/>
      <c r="C349" s="84"/>
      <c r="D349" s="84"/>
      <c r="E349" s="84"/>
      <c r="F349" s="84"/>
      <c r="G349" s="84"/>
      <c r="H349" s="84"/>
      <c r="I349" s="84"/>
      <c r="J349" s="84"/>
    </row>
    <row r="350" ht="15.75" customHeight="1">
      <c r="A350" s="84"/>
      <c r="B350" s="84"/>
      <c r="C350" s="84"/>
      <c r="D350" s="84"/>
      <c r="E350" s="84"/>
      <c r="F350" s="84"/>
      <c r="G350" s="84"/>
      <c r="H350" s="84"/>
      <c r="I350" s="84"/>
      <c r="J350" s="84"/>
    </row>
    <row r="351" ht="15.75" customHeight="1">
      <c r="A351" s="84"/>
      <c r="B351" s="84"/>
      <c r="C351" s="84"/>
      <c r="D351" s="84"/>
      <c r="E351" s="84"/>
      <c r="F351" s="84"/>
      <c r="G351" s="84"/>
      <c r="H351" s="84"/>
      <c r="I351" s="84"/>
      <c r="J351" s="84"/>
    </row>
    <row r="352" ht="15.75" customHeight="1">
      <c r="A352" s="84"/>
      <c r="B352" s="84"/>
      <c r="C352" s="84"/>
      <c r="D352" s="84"/>
      <c r="E352" s="84"/>
      <c r="F352" s="84"/>
      <c r="G352" s="84"/>
      <c r="H352" s="84"/>
      <c r="I352" s="84"/>
      <c r="J352" s="84"/>
    </row>
    <row r="353" ht="15.75" customHeight="1">
      <c r="A353" s="84"/>
      <c r="B353" s="84"/>
      <c r="C353" s="84"/>
      <c r="D353" s="84"/>
      <c r="E353" s="84"/>
      <c r="F353" s="84"/>
      <c r="G353" s="84"/>
      <c r="H353" s="84"/>
      <c r="I353" s="84"/>
      <c r="J353" s="84"/>
    </row>
    <row r="354" ht="15.75" customHeight="1">
      <c r="A354" s="84"/>
      <c r="B354" s="84"/>
      <c r="C354" s="84"/>
      <c r="D354" s="84"/>
      <c r="E354" s="84"/>
      <c r="F354" s="84"/>
      <c r="G354" s="84"/>
      <c r="H354" s="84"/>
      <c r="I354" s="84"/>
      <c r="J354" s="84"/>
    </row>
    <row r="355" ht="15.75" customHeight="1">
      <c r="A355" s="84"/>
      <c r="B355" s="84"/>
      <c r="C355" s="84"/>
      <c r="D355" s="84"/>
      <c r="E355" s="84"/>
      <c r="F355" s="84"/>
      <c r="G355" s="84"/>
      <c r="H355" s="84"/>
      <c r="I355" s="84"/>
      <c r="J355" s="84"/>
    </row>
    <row r="356" ht="15.75" customHeight="1">
      <c r="A356" s="84"/>
      <c r="B356" s="84"/>
      <c r="C356" s="84"/>
      <c r="D356" s="84"/>
      <c r="E356" s="84"/>
      <c r="F356" s="84"/>
      <c r="G356" s="84"/>
      <c r="H356" s="84"/>
      <c r="I356" s="84"/>
      <c r="J356" s="84"/>
    </row>
    <row r="357" ht="15.75" customHeight="1">
      <c r="A357" s="84"/>
      <c r="B357" s="84"/>
      <c r="C357" s="84"/>
      <c r="D357" s="84"/>
      <c r="E357" s="84"/>
      <c r="F357" s="84"/>
      <c r="G357" s="84"/>
      <c r="H357" s="84"/>
      <c r="I357" s="84"/>
      <c r="J357" s="84"/>
    </row>
    <row r="358" ht="15.75" customHeight="1">
      <c r="A358" s="84"/>
      <c r="B358" s="84"/>
      <c r="C358" s="84"/>
      <c r="D358" s="84"/>
      <c r="E358" s="84"/>
      <c r="F358" s="84"/>
      <c r="G358" s="84"/>
      <c r="H358" s="84"/>
      <c r="I358" s="84"/>
      <c r="J358" s="84"/>
    </row>
    <row r="359" ht="15.75" customHeight="1">
      <c r="A359" s="84"/>
      <c r="B359" s="84"/>
      <c r="C359" s="84"/>
      <c r="D359" s="84"/>
      <c r="E359" s="84"/>
      <c r="F359" s="84"/>
      <c r="G359" s="84"/>
      <c r="H359" s="84"/>
      <c r="I359" s="84"/>
      <c r="J359" s="84"/>
    </row>
    <row r="360" ht="15.75" customHeight="1">
      <c r="A360" s="84"/>
      <c r="B360" s="84"/>
      <c r="C360" s="84"/>
      <c r="D360" s="84"/>
      <c r="E360" s="84"/>
      <c r="F360" s="84"/>
      <c r="G360" s="84"/>
      <c r="H360" s="84"/>
      <c r="I360" s="84"/>
      <c r="J360" s="84"/>
    </row>
    <row r="361" ht="15.75" customHeight="1">
      <c r="A361" s="84"/>
      <c r="B361" s="84"/>
      <c r="C361" s="84"/>
      <c r="D361" s="84"/>
      <c r="E361" s="84"/>
      <c r="F361" s="84"/>
      <c r="G361" s="84"/>
      <c r="H361" s="84"/>
      <c r="I361" s="84"/>
      <c r="J361" s="84"/>
    </row>
    <row r="362" ht="15.75" customHeight="1">
      <c r="A362" s="84"/>
      <c r="B362" s="84"/>
      <c r="C362" s="84"/>
      <c r="D362" s="84"/>
      <c r="E362" s="84"/>
      <c r="F362" s="84"/>
      <c r="G362" s="84"/>
      <c r="H362" s="84"/>
      <c r="I362" s="84"/>
      <c r="J362" s="84"/>
    </row>
    <row r="363" ht="15.75" customHeight="1">
      <c r="A363" s="84"/>
      <c r="B363" s="84"/>
      <c r="C363" s="84"/>
      <c r="D363" s="84"/>
      <c r="E363" s="84"/>
      <c r="F363" s="84"/>
      <c r="G363" s="84"/>
      <c r="H363" s="84"/>
      <c r="I363" s="84"/>
      <c r="J363" s="84"/>
    </row>
    <row r="364" ht="15.75" customHeight="1">
      <c r="A364" s="84"/>
      <c r="B364" s="84"/>
      <c r="C364" s="84"/>
      <c r="D364" s="84"/>
      <c r="E364" s="84"/>
      <c r="F364" s="84"/>
      <c r="G364" s="84"/>
      <c r="H364" s="84"/>
      <c r="I364" s="84"/>
      <c r="J364" s="84"/>
    </row>
    <row r="365" ht="15.75" customHeight="1">
      <c r="A365" s="84"/>
      <c r="B365" s="84"/>
      <c r="C365" s="84"/>
      <c r="D365" s="84"/>
      <c r="E365" s="84"/>
      <c r="F365" s="84"/>
      <c r="G365" s="84"/>
      <c r="H365" s="84"/>
      <c r="I365" s="84"/>
      <c r="J365" s="84"/>
    </row>
    <row r="366" ht="15.75" customHeight="1">
      <c r="A366" s="84"/>
      <c r="B366" s="84"/>
      <c r="C366" s="84"/>
      <c r="D366" s="84"/>
      <c r="E366" s="84"/>
      <c r="F366" s="84"/>
      <c r="G366" s="84"/>
      <c r="H366" s="84"/>
      <c r="I366" s="84"/>
      <c r="J366" s="84"/>
    </row>
    <row r="367" ht="15.75" customHeight="1">
      <c r="A367" s="84"/>
      <c r="B367" s="84"/>
      <c r="C367" s="84"/>
      <c r="D367" s="84"/>
      <c r="E367" s="84"/>
      <c r="F367" s="84"/>
      <c r="G367" s="84"/>
      <c r="H367" s="84"/>
      <c r="I367" s="84"/>
      <c r="J367" s="84"/>
    </row>
    <row r="368" ht="15.75" customHeight="1">
      <c r="A368" s="84"/>
      <c r="B368" s="84"/>
      <c r="C368" s="84"/>
      <c r="D368" s="84"/>
      <c r="E368" s="84"/>
      <c r="F368" s="84"/>
      <c r="G368" s="84"/>
      <c r="H368" s="84"/>
      <c r="I368" s="84"/>
      <c r="J368" s="84"/>
    </row>
    <row r="369" ht="15.75" customHeight="1">
      <c r="A369" s="84"/>
      <c r="B369" s="84"/>
      <c r="C369" s="84"/>
      <c r="D369" s="84"/>
      <c r="E369" s="84"/>
      <c r="F369" s="84"/>
      <c r="G369" s="84"/>
      <c r="H369" s="84"/>
      <c r="I369" s="84"/>
      <c r="J369" s="84"/>
    </row>
    <row r="370" ht="15.75" customHeight="1">
      <c r="A370" s="84"/>
      <c r="B370" s="84"/>
      <c r="C370" s="84"/>
      <c r="D370" s="84"/>
      <c r="E370" s="84"/>
      <c r="F370" s="84"/>
      <c r="G370" s="84"/>
      <c r="H370" s="84"/>
      <c r="I370" s="84"/>
      <c r="J370" s="84"/>
    </row>
    <row r="371" ht="15.75" customHeight="1">
      <c r="A371" s="84"/>
      <c r="B371" s="84"/>
      <c r="C371" s="84"/>
      <c r="D371" s="84"/>
      <c r="E371" s="84"/>
      <c r="F371" s="84"/>
      <c r="G371" s="84"/>
      <c r="H371" s="84"/>
      <c r="I371" s="84"/>
      <c r="J371" s="84"/>
    </row>
    <row r="372" ht="15.75" customHeight="1">
      <c r="A372" s="84"/>
      <c r="B372" s="84"/>
      <c r="C372" s="84"/>
      <c r="D372" s="84"/>
      <c r="E372" s="84"/>
      <c r="F372" s="84"/>
      <c r="G372" s="84"/>
      <c r="H372" s="84"/>
      <c r="I372" s="84"/>
      <c r="J372" s="84"/>
    </row>
    <row r="373" ht="15.75" customHeight="1">
      <c r="A373" s="84"/>
      <c r="B373" s="84"/>
      <c r="C373" s="84"/>
      <c r="D373" s="84"/>
      <c r="E373" s="84"/>
      <c r="F373" s="84"/>
      <c r="G373" s="84"/>
      <c r="H373" s="84"/>
      <c r="I373" s="84"/>
      <c r="J373" s="84"/>
    </row>
    <row r="374" ht="15.75" customHeight="1">
      <c r="A374" s="84"/>
      <c r="B374" s="84"/>
      <c r="C374" s="84"/>
      <c r="D374" s="84"/>
      <c r="E374" s="84"/>
      <c r="F374" s="84"/>
      <c r="G374" s="84"/>
      <c r="H374" s="84"/>
      <c r="I374" s="84"/>
      <c r="J374" s="84"/>
    </row>
    <row r="375" ht="15.75" customHeight="1">
      <c r="A375" s="84"/>
      <c r="B375" s="84"/>
      <c r="C375" s="84"/>
      <c r="D375" s="84"/>
      <c r="E375" s="84"/>
      <c r="F375" s="84"/>
      <c r="G375" s="84"/>
      <c r="H375" s="84"/>
      <c r="I375" s="84"/>
      <c r="J375" s="84"/>
    </row>
    <row r="376" ht="15.75" customHeight="1">
      <c r="A376" s="84"/>
      <c r="B376" s="84"/>
      <c r="C376" s="84"/>
      <c r="D376" s="84"/>
      <c r="E376" s="84"/>
      <c r="F376" s="84"/>
      <c r="G376" s="84"/>
      <c r="H376" s="84"/>
      <c r="I376" s="84"/>
      <c r="J376" s="84"/>
    </row>
    <row r="377" ht="15.75" customHeight="1">
      <c r="A377" s="84"/>
      <c r="B377" s="84"/>
      <c r="C377" s="84"/>
      <c r="D377" s="84"/>
      <c r="E377" s="84"/>
      <c r="F377" s="84"/>
      <c r="G377" s="84"/>
      <c r="H377" s="84"/>
      <c r="I377" s="84"/>
      <c r="J377" s="84"/>
    </row>
    <row r="378" ht="15.75" customHeight="1">
      <c r="A378" s="84"/>
      <c r="B378" s="84"/>
      <c r="C378" s="84"/>
      <c r="D378" s="84"/>
      <c r="E378" s="84"/>
      <c r="F378" s="84"/>
      <c r="G378" s="84"/>
      <c r="H378" s="84"/>
      <c r="I378" s="84"/>
      <c r="J378" s="84"/>
    </row>
    <row r="379" ht="15.75" customHeight="1">
      <c r="A379" s="84"/>
      <c r="B379" s="84"/>
      <c r="C379" s="84"/>
      <c r="D379" s="84"/>
      <c r="E379" s="84"/>
      <c r="F379" s="84"/>
      <c r="G379" s="84"/>
      <c r="H379" s="84"/>
      <c r="I379" s="84"/>
      <c r="J379" s="84"/>
    </row>
    <row r="380" ht="15.75" customHeight="1">
      <c r="A380" s="84"/>
      <c r="B380" s="84"/>
      <c r="C380" s="84"/>
      <c r="D380" s="84"/>
      <c r="E380" s="84"/>
      <c r="F380" s="84"/>
      <c r="G380" s="84"/>
      <c r="H380" s="84"/>
      <c r="I380" s="84"/>
      <c r="J380" s="84"/>
    </row>
    <row r="381" ht="15.75" customHeight="1">
      <c r="A381" s="84"/>
      <c r="B381" s="84"/>
      <c r="C381" s="84"/>
      <c r="D381" s="84"/>
      <c r="E381" s="84"/>
      <c r="F381" s="84"/>
      <c r="G381" s="84"/>
      <c r="H381" s="84"/>
      <c r="I381" s="84"/>
      <c r="J381" s="84"/>
    </row>
    <row r="382" ht="15.75" customHeight="1">
      <c r="A382" s="84"/>
      <c r="B382" s="84"/>
      <c r="C382" s="84"/>
      <c r="D382" s="84"/>
      <c r="E382" s="84"/>
      <c r="F382" s="84"/>
      <c r="G382" s="84"/>
      <c r="H382" s="84"/>
      <c r="I382" s="84"/>
      <c r="J382" s="84"/>
    </row>
    <row r="383" ht="15.75" customHeight="1">
      <c r="A383" s="84"/>
      <c r="B383" s="84"/>
      <c r="C383" s="84"/>
      <c r="D383" s="84"/>
      <c r="E383" s="84"/>
      <c r="F383" s="84"/>
      <c r="G383" s="84"/>
      <c r="H383" s="84"/>
      <c r="I383" s="84"/>
      <c r="J383" s="84"/>
    </row>
    <row r="384" ht="15.75" customHeight="1">
      <c r="A384" s="84"/>
      <c r="B384" s="84"/>
      <c r="C384" s="84"/>
      <c r="D384" s="84"/>
      <c r="E384" s="84"/>
      <c r="F384" s="84"/>
      <c r="G384" s="84"/>
      <c r="H384" s="84"/>
      <c r="I384" s="84"/>
      <c r="J384" s="84"/>
    </row>
    <row r="385" ht="15.75" customHeight="1">
      <c r="A385" s="84"/>
      <c r="B385" s="84"/>
      <c r="C385" s="84"/>
      <c r="D385" s="84"/>
      <c r="E385" s="84"/>
      <c r="F385" s="84"/>
      <c r="G385" s="84"/>
      <c r="H385" s="84"/>
      <c r="I385" s="84"/>
      <c r="J385" s="84"/>
    </row>
    <row r="386" ht="15.75" customHeight="1">
      <c r="A386" s="84"/>
      <c r="B386" s="84"/>
      <c r="C386" s="84"/>
      <c r="D386" s="84"/>
      <c r="E386" s="84"/>
      <c r="F386" s="84"/>
      <c r="G386" s="84"/>
      <c r="H386" s="84"/>
      <c r="I386" s="84"/>
      <c r="J386" s="84"/>
    </row>
    <row r="387" ht="15.75" customHeight="1">
      <c r="A387" s="84"/>
      <c r="B387" s="84"/>
      <c r="C387" s="84"/>
      <c r="D387" s="84"/>
      <c r="E387" s="84"/>
      <c r="F387" s="84"/>
      <c r="G387" s="84"/>
      <c r="H387" s="84"/>
      <c r="I387" s="84"/>
      <c r="J387" s="84"/>
    </row>
    <row r="388" ht="15.75" customHeight="1">
      <c r="A388" s="84"/>
      <c r="B388" s="84"/>
      <c r="C388" s="84"/>
      <c r="D388" s="84"/>
      <c r="E388" s="84"/>
      <c r="F388" s="84"/>
      <c r="G388" s="84"/>
      <c r="H388" s="84"/>
      <c r="I388" s="84"/>
      <c r="J388" s="84"/>
    </row>
    <row r="389" ht="15.75" customHeight="1">
      <c r="A389" s="84"/>
      <c r="B389" s="84"/>
      <c r="C389" s="84"/>
      <c r="D389" s="84"/>
      <c r="E389" s="84"/>
      <c r="F389" s="84"/>
      <c r="G389" s="84"/>
      <c r="H389" s="84"/>
      <c r="I389" s="84"/>
      <c r="J389" s="84"/>
    </row>
    <row r="390" ht="15.75" customHeight="1">
      <c r="A390" s="84"/>
      <c r="B390" s="84"/>
      <c r="C390" s="84"/>
      <c r="D390" s="84"/>
      <c r="E390" s="84"/>
      <c r="F390" s="84"/>
      <c r="G390" s="84"/>
      <c r="H390" s="84"/>
      <c r="I390" s="84"/>
      <c r="J390" s="84"/>
    </row>
    <row r="391" ht="15.75" customHeight="1">
      <c r="A391" s="84"/>
      <c r="B391" s="84"/>
      <c r="C391" s="84"/>
      <c r="D391" s="84"/>
      <c r="E391" s="84"/>
      <c r="F391" s="84"/>
      <c r="G391" s="84"/>
      <c r="H391" s="84"/>
      <c r="I391" s="84"/>
      <c r="J391" s="84"/>
    </row>
    <row r="392" ht="15.75" customHeight="1">
      <c r="A392" s="84"/>
      <c r="B392" s="84"/>
      <c r="C392" s="84"/>
      <c r="D392" s="84"/>
      <c r="E392" s="84"/>
      <c r="F392" s="84"/>
      <c r="G392" s="84"/>
      <c r="H392" s="84"/>
      <c r="I392" s="84"/>
      <c r="J392" s="84"/>
    </row>
    <row r="393" ht="15.75" customHeight="1">
      <c r="A393" s="84"/>
      <c r="B393" s="84"/>
      <c r="C393" s="84"/>
      <c r="D393" s="84"/>
      <c r="E393" s="84"/>
      <c r="F393" s="84"/>
      <c r="G393" s="84"/>
      <c r="H393" s="84"/>
      <c r="I393" s="84"/>
      <c r="J393" s="84"/>
    </row>
    <row r="394" ht="15.75" customHeight="1">
      <c r="A394" s="84"/>
      <c r="B394" s="84"/>
      <c r="C394" s="84"/>
      <c r="D394" s="84"/>
      <c r="E394" s="84"/>
      <c r="F394" s="84"/>
      <c r="G394" s="84"/>
      <c r="H394" s="84"/>
      <c r="I394" s="84"/>
      <c r="J394" s="84"/>
    </row>
    <row r="395" ht="15.75" customHeight="1">
      <c r="A395" s="84"/>
      <c r="B395" s="84"/>
      <c r="C395" s="84"/>
      <c r="D395" s="84"/>
      <c r="E395" s="84"/>
      <c r="F395" s="84"/>
      <c r="G395" s="84"/>
      <c r="H395" s="84"/>
      <c r="I395" s="84"/>
      <c r="J395" s="84"/>
    </row>
    <row r="396" ht="15.75" customHeight="1">
      <c r="A396" s="84"/>
      <c r="B396" s="84"/>
      <c r="C396" s="84"/>
      <c r="D396" s="84"/>
      <c r="E396" s="84"/>
      <c r="F396" s="84"/>
      <c r="G396" s="84"/>
      <c r="H396" s="84"/>
      <c r="I396" s="84"/>
      <c r="J396" s="84"/>
    </row>
    <row r="397" ht="15.75" customHeight="1">
      <c r="A397" s="84"/>
      <c r="B397" s="84"/>
      <c r="C397" s="84"/>
      <c r="D397" s="84"/>
      <c r="E397" s="84"/>
      <c r="F397" s="84"/>
      <c r="G397" s="84"/>
      <c r="H397" s="84"/>
      <c r="I397" s="84"/>
      <c r="J397" s="84"/>
    </row>
    <row r="398" ht="15.75" customHeight="1">
      <c r="A398" s="84"/>
      <c r="B398" s="84"/>
      <c r="C398" s="84"/>
      <c r="D398" s="84"/>
      <c r="E398" s="84"/>
      <c r="F398" s="84"/>
      <c r="G398" s="84"/>
      <c r="H398" s="84"/>
      <c r="I398" s="84"/>
      <c r="J398" s="84"/>
    </row>
    <row r="399" ht="15.75" customHeight="1">
      <c r="A399" s="84"/>
      <c r="B399" s="84"/>
      <c r="C399" s="84"/>
      <c r="D399" s="84"/>
      <c r="E399" s="84"/>
      <c r="F399" s="84"/>
      <c r="G399" s="84"/>
      <c r="H399" s="84"/>
      <c r="I399" s="84"/>
      <c r="J399" s="84"/>
    </row>
    <row r="400" ht="15.75" customHeight="1">
      <c r="A400" s="84"/>
      <c r="B400" s="84"/>
      <c r="C400" s="84"/>
      <c r="D400" s="84"/>
      <c r="E400" s="84"/>
      <c r="F400" s="84"/>
      <c r="G400" s="84"/>
      <c r="H400" s="84"/>
      <c r="I400" s="84"/>
      <c r="J400" s="84"/>
    </row>
    <row r="401" ht="15.75" customHeight="1">
      <c r="A401" s="84"/>
      <c r="B401" s="84"/>
      <c r="C401" s="84"/>
      <c r="D401" s="84"/>
      <c r="E401" s="84"/>
      <c r="F401" s="84"/>
      <c r="G401" s="84"/>
      <c r="H401" s="84"/>
      <c r="I401" s="84"/>
      <c r="J401" s="84"/>
    </row>
    <row r="402" ht="15.75" customHeight="1">
      <c r="A402" s="84"/>
      <c r="B402" s="84"/>
      <c r="C402" s="84"/>
      <c r="D402" s="84"/>
      <c r="E402" s="84"/>
      <c r="F402" s="84"/>
      <c r="G402" s="84"/>
      <c r="H402" s="84"/>
      <c r="I402" s="84"/>
      <c r="J402" s="84"/>
    </row>
    <row r="403" ht="15.75" customHeight="1">
      <c r="A403" s="84"/>
      <c r="B403" s="84"/>
      <c r="C403" s="84"/>
      <c r="D403" s="84"/>
      <c r="E403" s="84"/>
      <c r="F403" s="84"/>
      <c r="G403" s="84"/>
      <c r="H403" s="84"/>
      <c r="I403" s="84"/>
      <c r="J403" s="84"/>
    </row>
    <row r="404" ht="15.75" customHeight="1">
      <c r="A404" s="84"/>
      <c r="B404" s="84"/>
      <c r="C404" s="84"/>
      <c r="D404" s="84"/>
      <c r="E404" s="84"/>
      <c r="F404" s="84"/>
      <c r="G404" s="84"/>
      <c r="H404" s="84"/>
      <c r="I404" s="84"/>
      <c r="J404" s="84"/>
    </row>
    <row r="405" ht="15.75" customHeight="1">
      <c r="A405" s="84"/>
      <c r="B405" s="84"/>
      <c r="C405" s="84"/>
      <c r="D405" s="84"/>
      <c r="E405" s="84"/>
      <c r="F405" s="84"/>
      <c r="G405" s="84"/>
      <c r="H405" s="84"/>
      <c r="I405" s="84"/>
      <c r="J405" s="84"/>
    </row>
    <row r="406" ht="15.75" customHeight="1">
      <c r="A406" s="84"/>
      <c r="B406" s="84"/>
      <c r="C406" s="84"/>
      <c r="D406" s="84"/>
      <c r="E406" s="84"/>
      <c r="F406" s="84"/>
      <c r="G406" s="84"/>
      <c r="H406" s="84"/>
      <c r="I406" s="84"/>
      <c r="J406" s="84"/>
    </row>
    <row r="407" ht="15.75" customHeight="1">
      <c r="A407" s="84"/>
      <c r="B407" s="84"/>
      <c r="C407" s="84"/>
      <c r="D407" s="84"/>
      <c r="E407" s="84"/>
      <c r="F407" s="84"/>
      <c r="G407" s="84"/>
      <c r="H407" s="84"/>
      <c r="I407" s="84"/>
      <c r="J407" s="84"/>
    </row>
    <row r="408" ht="15.75" customHeight="1">
      <c r="A408" s="84"/>
      <c r="B408" s="84"/>
      <c r="C408" s="84"/>
      <c r="D408" s="84"/>
      <c r="E408" s="84"/>
      <c r="F408" s="84"/>
      <c r="G408" s="84"/>
      <c r="H408" s="84"/>
      <c r="I408" s="84"/>
      <c r="J408" s="84"/>
    </row>
    <row r="409" ht="15.75" customHeight="1">
      <c r="A409" s="84"/>
      <c r="B409" s="84"/>
      <c r="C409" s="84"/>
      <c r="D409" s="84"/>
      <c r="E409" s="84"/>
      <c r="F409" s="84"/>
      <c r="G409" s="84"/>
      <c r="H409" s="84"/>
      <c r="I409" s="84"/>
      <c r="J409" s="84"/>
    </row>
    <row r="410" ht="15.75" customHeight="1">
      <c r="A410" s="84"/>
      <c r="B410" s="84"/>
      <c r="C410" s="84"/>
      <c r="D410" s="84"/>
      <c r="E410" s="84"/>
      <c r="F410" s="84"/>
      <c r="G410" s="84"/>
      <c r="H410" s="84"/>
      <c r="I410" s="84"/>
      <c r="J410" s="84"/>
    </row>
    <row r="411" ht="15.75" customHeight="1">
      <c r="A411" s="84"/>
      <c r="B411" s="84"/>
      <c r="C411" s="84"/>
      <c r="D411" s="84"/>
      <c r="E411" s="84"/>
      <c r="F411" s="84"/>
      <c r="G411" s="84"/>
      <c r="H411" s="84"/>
      <c r="I411" s="84"/>
      <c r="J411" s="84"/>
    </row>
    <row r="412" ht="15.75" customHeight="1">
      <c r="A412" s="84"/>
      <c r="B412" s="84"/>
      <c r="C412" s="84"/>
      <c r="D412" s="84"/>
      <c r="E412" s="84"/>
      <c r="F412" s="84"/>
      <c r="G412" s="84"/>
      <c r="H412" s="84"/>
      <c r="I412" s="84"/>
      <c r="J412" s="84"/>
    </row>
    <row r="413" ht="15.75" customHeight="1">
      <c r="A413" s="84"/>
      <c r="B413" s="84"/>
      <c r="C413" s="84"/>
      <c r="D413" s="84"/>
      <c r="E413" s="84"/>
      <c r="F413" s="84"/>
      <c r="G413" s="84"/>
      <c r="H413" s="84"/>
      <c r="I413" s="84"/>
      <c r="J413" s="84"/>
    </row>
    <row r="414" ht="15.75" customHeight="1">
      <c r="A414" s="84"/>
      <c r="B414" s="84"/>
      <c r="C414" s="84"/>
      <c r="D414" s="84"/>
      <c r="E414" s="84"/>
      <c r="F414" s="84"/>
      <c r="G414" s="84"/>
      <c r="H414" s="84"/>
      <c r="I414" s="84"/>
      <c r="J414" s="84"/>
    </row>
    <row r="415" ht="15.75" customHeight="1">
      <c r="A415" s="84"/>
      <c r="B415" s="84"/>
      <c r="C415" s="84"/>
      <c r="D415" s="84"/>
      <c r="E415" s="84"/>
      <c r="F415" s="84"/>
      <c r="G415" s="84"/>
      <c r="H415" s="84"/>
      <c r="I415" s="84"/>
      <c r="J415" s="84"/>
    </row>
    <row r="416" ht="15.75" customHeight="1">
      <c r="A416" s="84"/>
      <c r="B416" s="84"/>
      <c r="C416" s="84"/>
      <c r="D416" s="84"/>
      <c r="E416" s="84"/>
      <c r="F416" s="84"/>
      <c r="G416" s="84"/>
      <c r="H416" s="84"/>
      <c r="I416" s="84"/>
      <c r="J416" s="84"/>
    </row>
    <row r="417" ht="15.75" customHeight="1">
      <c r="A417" s="84"/>
      <c r="B417" s="84"/>
      <c r="C417" s="84"/>
      <c r="D417" s="84"/>
      <c r="E417" s="84"/>
      <c r="F417" s="84"/>
      <c r="G417" s="84"/>
      <c r="H417" s="84"/>
      <c r="I417" s="84"/>
      <c r="J417" s="84"/>
    </row>
    <row r="418" ht="15.75" customHeight="1">
      <c r="A418" s="84"/>
      <c r="B418" s="84"/>
      <c r="C418" s="84"/>
      <c r="D418" s="84"/>
      <c r="E418" s="84"/>
      <c r="F418" s="84"/>
      <c r="G418" s="84"/>
      <c r="H418" s="84"/>
      <c r="I418" s="84"/>
      <c r="J418" s="84"/>
    </row>
    <row r="419" ht="15.75" customHeight="1">
      <c r="A419" s="84"/>
      <c r="B419" s="84"/>
      <c r="C419" s="84"/>
      <c r="D419" s="84"/>
      <c r="E419" s="84"/>
      <c r="F419" s="84"/>
      <c r="G419" s="84"/>
      <c r="H419" s="84"/>
      <c r="I419" s="84"/>
      <c r="J419" s="84"/>
    </row>
    <row r="420" ht="15.75" customHeight="1">
      <c r="A420" s="84"/>
      <c r="B420" s="84"/>
      <c r="C420" s="84"/>
      <c r="D420" s="84"/>
      <c r="E420" s="84"/>
      <c r="F420" s="84"/>
      <c r="G420" s="84"/>
      <c r="H420" s="84"/>
      <c r="I420" s="84"/>
      <c r="J420" s="84"/>
    </row>
    <row r="421" ht="15.75" customHeight="1">
      <c r="A421" s="84"/>
      <c r="B421" s="84"/>
      <c r="C421" s="84"/>
      <c r="D421" s="84"/>
      <c r="E421" s="84"/>
      <c r="F421" s="84"/>
      <c r="G421" s="84"/>
      <c r="H421" s="84"/>
      <c r="I421" s="84"/>
      <c r="J421" s="84"/>
    </row>
    <row r="422" ht="15.75" customHeight="1">
      <c r="A422" s="84"/>
      <c r="B422" s="84"/>
      <c r="C422" s="84"/>
      <c r="D422" s="84"/>
      <c r="E422" s="84"/>
      <c r="F422" s="84"/>
      <c r="G422" s="84"/>
      <c r="H422" s="84"/>
      <c r="I422" s="84"/>
      <c r="J422" s="84"/>
    </row>
    <row r="423" ht="15.75" customHeight="1">
      <c r="A423" s="84"/>
      <c r="B423" s="84"/>
      <c r="C423" s="84"/>
      <c r="D423" s="84"/>
      <c r="E423" s="84"/>
      <c r="F423" s="84"/>
      <c r="G423" s="84"/>
      <c r="H423" s="84"/>
      <c r="I423" s="84"/>
      <c r="J423" s="84"/>
    </row>
    <row r="424" ht="15.75" customHeight="1">
      <c r="A424" s="84"/>
      <c r="B424" s="84"/>
      <c r="C424" s="84"/>
      <c r="D424" s="84"/>
      <c r="E424" s="84"/>
      <c r="F424" s="84"/>
      <c r="G424" s="84"/>
      <c r="H424" s="84"/>
      <c r="I424" s="84"/>
      <c r="J424" s="84"/>
    </row>
    <row r="425" ht="15.75" customHeight="1">
      <c r="A425" s="84"/>
      <c r="B425" s="84"/>
      <c r="C425" s="84"/>
      <c r="D425" s="84"/>
      <c r="E425" s="84"/>
      <c r="F425" s="84"/>
      <c r="G425" s="84"/>
      <c r="H425" s="84"/>
      <c r="I425" s="84"/>
      <c r="J425" s="84"/>
    </row>
    <row r="426" ht="15.75" customHeight="1">
      <c r="A426" s="84"/>
      <c r="B426" s="84"/>
      <c r="C426" s="84"/>
      <c r="D426" s="84"/>
      <c r="E426" s="84"/>
      <c r="F426" s="84"/>
      <c r="G426" s="84"/>
      <c r="H426" s="84"/>
      <c r="I426" s="84"/>
      <c r="J426" s="84"/>
    </row>
    <row r="427" ht="15.75" customHeight="1">
      <c r="A427" s="84"/>
      <c r="B427" s="84"/>
      <c r="C427" s="84"/>
      <c r="D427" s="84"/>
      <c r="E427" s="84"/>
      <c r="F427" s="84"/>
      <c r="G427" s="84"/>
      <c r="H427" s="84"/>
      <c r="I427" s="84"/>
      <c r="J427" s="84"/>
    </row>
    <row r="428" ht="15.75" customHeight="1">
      <c r="A428" s="84"/>
      <c r="B428" s="84"/>
      <c r="C428" s="84"/>
      <c r="D428" s="84"/>
      <c r="E428" s="84"/>
      <c r="F428" s="84"/>
      <c r="G428" s="84"/>
      <c r="H428" s="84"/>
      <c r="I428" s="84"/>
      <c r="J428" s="84"/>
    </row>
    <row r="429" ht="15.75" customHeight="1">
      <c r="A429" s="84"/>
      <c r="B429" s="84"/>
      <c r="C429" s="84"/>
      <c r="D429" s="84"/>
      <c r="E429" s="84"/>
      <c r="F429" s="84"/>
      <c r="G429" s="84"/>
      <c r="H429" s="84"/>
      <c r="I429" s="84"/>
      <c r="J429" s="84"/>
    </row>
    <row r="430" ht="15.75" customHeight="1">
      <c r="A430" s="84"/>
      <c r="B430" s="84"/>
      <c r="C430" s="84"/>
      <c r="D430" s="84"/>
      <c r="E430" s="84"/>
      <c r="F430" s="84"/>
      <c r="G430" s="84"/>
      <c r="H430" s="84"/>
      <c r="I430" s="84"/>
      <c r="J430" s="84"/>
    </row>
    <row r="431" ht="15.75" customHeight="1">
      <c r="A431" s="84"/>
      <c r="B431" s="84"/>
      <c r="C431" s="84"/>
      <c r="D431" s="84"/>
      <c r="E431" s="84"/>
      <c r="F431" s="84"/>
      <c r="G431" s="84"/>
      <c r="H431" s="84"/>
      <c r="I431" s="84"/>
      <c r="J431" s="84"/>
    </row>
    <row r="432" ht="15.75" customHeight="1">
      <c r="A432" s="84"/>
      <c r="B432" s="84"/>
      <c r="C432" s="84"/>
      <c r="D432" s="84"/>
      <c r="E432" s="84"/>
      <c r="F432" s="84"/>
      <c r="G432" s="84"/>
      <c r="H432" s="84"/>
      <c r="I432" s="84"/>
      <c r="J432" s="84"/>
    </row>
    <row r="433" ht="15.75" customHeight="1">
      <c r="A433" s="84"/>
      <c r="B433" s="84"/>
      <c r="C433" s="84"/>
      <c r="D433" s="84"/>
      <c r="E433" s="84"/>
      <c r="F433" s="84"/>
      <c r="G433" s="84"/>
      <c r="H433" s="84"/>
      <c r="I433" s="84"/>
      <c r="J433" s="84"/>
    </row>
    <row r="434" ht="15.75" customHeight="1">
      <c r="A434" s="84"/>
      <c r="B434" s="84"/>
      <c r="C434" s="84"/>
      <c r="D434" s="84"/>
      <c r="E434" s="84"/>
      <c r="F434" s="84"/>
      <c r="G434" s="84"/>
      <c r="H434" s="84"/>
      <c r="I434" s="84"/>
      <c r="J434" s="84"/>
    </row>
    <row r="435" ht="15.75" customHeight="1">
      <c r="A435" s="84"/>
      <c r="B435" s="84"/>
      <c r="C435" s="84"/>
      <c r="D435" s="84"/>
      <c r="E435" s="84"/>
      <c r="F435" s="84"/>
      <c r="G435" s="84"/>
      <c r="H435" s="84"/>
      <c r="I435" s="84"/>
      <c r="J435" s="84"/>
    </row>
    <row r="436" ht="15.75" customHeight="1">
      <c r="A436" s="84"/>
      <c r="B436" s="84"/>
      <c r="C436" s="84"/>
      <c r="D436" s="84"/>
      <c r="E436" s="84"/>
      <c r="F436" s="84"/>
      <c r="G436" s="84"/>
      <c r="H436" s="84"/>
      <c r="I436" s="84"/>
      <c r="J436" s="84"/>
    </row>
    <row r="437" ht="15.75" customHeight="1">
      <c r="A437" s="84"/>
      <c r="B437" s="84"/>
      <c r="C437" s="84"/>
      <c r="D437" s="84"/>
      <c r="E437" s="84"/>
      <c r="F437" s="84"/>
      <c r="G437" s="84"/>
      <c r="H437" s="84"/>
      <c r="I437" s="84"/>
      <c r="J437" s="84"/>
    </row>
    <row r="438" ht="15.75" customHeight="1">
      <c r="A438" s="84"/>
      <c r="B438" s="84"/>
      <c r="C438" s="84"/>
      <c r="D438" s="84"/>
      <c r="E438" s="84"/>
      <c r="F438" s="84"/>
      <c r="G438" s="84"/>
      <c r="H438" s="84"/>
      <c r="I438" s="84"/>
      <c r="J438" s="84"/>
    </row>
    <row r="439" ht="15.75" customHeight="1">
      <c r="A439" s="84"/>
      <c r="B439" s="84"/>
      <c r="C439" s="84"/>
      <c r="D439" s="84"/>
      <c r="E439" s="84"/>
      <c r="F439" s="84"/>
      <c r="G439" s="84"/>
      <c r="H439" s="84"/>
      <c r="I439" s="84"/>
      <c r="J439" s="84"/>
    </row>
    <row r="440" ht="15.75" customHeight="1">
      <c r="A440" s="84"/>
      <c r="B440" s="84"/>
      <c r="C440" s="84"/>
      <c r="D440" s="84"/>
      <c r="E440" s="84"/>
      <c r="F440" s="84"/>
      <c r="G440" s="84"/>
      <c r="H440" s="84"/>
      <c r="I440" s="84"/>
      <c r="J440" s="84"/>
    </row>
    <row r="441" ht="15.75" customHeight="1">
      <c r="A441" s="84"/>
      <c r="B441" s="84"/>
      <c r="C441" s="84"/>
      <c r="D441" s="84"/>
      <c r="E441" s="84"/>
      <c r="F441" s="84"/>
      <c r="G441" s="84"/>
      <c r="H441" s="84"/>
      <c r="I441" s="84"/>
      <c r="J441" s="84"/>
    </row>
    <row r="442" ht="15.75" customHeight="1">
      <c r="A442" s="84"/>
      <c r="B442" s="84"/>
      <c r="C442" s="84"/>
      <c r="D442" s="84"/>
      <c r="E442" s="84"/>
      <c r="F442" s="84"/>
      <c r="G442" s="84"/>
      <c r="H442" s="84"/>
      <c r="I442" s="84"/>
      <c r="J442" s="84"/>
    </row>
    <row r="443" ht="15.75" customHeight="1">
      <c r="A443" s="84"/>
      <c r="B443" s="84"/>
      <c r="C443" s="84"/>
      <c r="D443" s="84"/>
      <c r="E443" s="84"/>
      <c r="F443" s="84"/>
      <c r="G443" s="84"/>
      <c r="H443" s="84"/>
      <c r="I443" s="84"/>
      <c r="J443" s="84"/>
    </row>
    <row r="444" ht="15.75" customHeight="1">
      <c r="A444" s="84"/>
      <c r="B444" s="84"/>
      <c r="C444" s="84"/>
      <c r="D444" s="84"/>
      <c r="E444" s="84"/>
      <c r="F444" s="84"/>
      <c r="G444" s="84"/>
      <c r="H444" s="84"/>
      <c r="I444" s="84"/>
      <c r="J444" s="84"/>
    </row>
    <row r="445" ht="15.75" customHeight="1">
      <c r="A445" s="84"/>
      <c r="B445" s="84"/>
      <c r="C445" s="84"/>
      <c r="D445" s="84"/>
      <c r="E445" s="84"/>
      <c r="F445" s="84"/>
      <c r="G445" s="84"/>
      <c r="H445" s="84"/>
      <c r="I445" s="84"/>
      <c r="J445" s="84"/>
    </row>
    <row r="446" ht="15.75" customHeight="1">
      <c r="A446" s="84"/>
      <c r="B446" s="84"/>
      <c r="C446" s="84"/>
      <c r="D446" s="84"/>
      <c r="E446" s="84"/>
      <c r="F446" s="84"/>
      <c r="G446" s="84"/>
      <c r="H446" s="84"/>
      <c r="I446" s="84"/>
      <c r="J446" s="84"/>
    </row>
    <row r="447" ht="15.75" customHeight="1">
      <c r="A447" s="84"/>
      <c r="B447" s="84"/>
      <c r="C447" s="84"/>
      <c r="D447" s="84"/>
      <c r="E447" s="84"/>
      <c r="F447" s="84"/>
      <c r="G447" s="84"/>
      <c r="H447" s="84"/>
      <c r="I447" s="84"/>
      <c r="J447" s="84"/>
    </row>
    <row r="448" ht="15.75" customHeight="1">
      <c r="A448" s="84"/>
      <c r="B448" s="84"/>
      <c r="C448" s="84"/>
      <c r="D448" s="84"/>
      <c r="E448" s="84"/>
      <c r="F448" s="84"/>
      <c r="G448" s="84"/>
      <c r="H448" s="84"/>
      <c r="I448" s="84"/>
      <c r="J448" s="84"/>
    </row>
    <row r="449" ht="15.75" customHeight="1">
      <c r="A449" s="84"/>
      <c r="B449" s="84"/>
      <c r="C449" s="84"/>
      <c r="D449" s="84"/>
      <c r="E449" s="84"/>
      <c r="F449" s="84"/>
      <c r="G449" s="84"/>
      <c r="H449" s="84"/>
      <c r="I449" s="84"/>
      <c r="J449" s="84"/>
    </row>
    <row r="450" ht="15.75" customHeight="1">
      <c r="A450" s="84"/>
      <c r="B450" s="84"/>
      <c r="C450" s="84"/>
      <c r="D450" s="84"/>
      <c r="E450" s="84"/>
      <c r="F450" s="84"/>
      <c r="G450" s="84"/>
      <c r="H450" s="84"/>
      <c r="I450" s="84"/>
      <c r="J450" s="84"/>
    </row>
    <row r="451" ht="15.75" customHeight="1">
      <c r="A451" s="84"/>
      <c r="B451" s="84"/>
      <c r="C451" s="84"/>
      <c r="D451" s="84"/>
      <c r="E451" s="84"/>
      <c r="F451" s="84"/>
      <c r="G451" s="84"/>
      <c r="H451" s="84"/>
      <c r="I451" s="84"/>
      <c r="J451" s="84"/>
    </row>
    <row r="452" ht="15.75" customHeight="1">
      <c r="A452" s="84"/>
      <c r="B452" s="84"/>
      <c r="C452" s="84"/>
      <c r="D452" s="84"/>
      <c r="E452" s="84"/>
      <c r="F452" s="84"/>
      <c r="G452" s="84"/>
      <c r="H452" s="84"/>
      <c r="I452" s="84"/>
      <c r="J452" s="84"/>
    </row>
    <row r="453" ht="15.75" customHeight="1">
      <c r="A453" s="84"/>
      <c r="B453" s="84"/>
      <c r="C453" s="84"/>
      <c r="D453" s="84"/>
      <c r="E453" s="84"/>
      <c r="F453" s="84"/>
      <c r="G453" s="84"/>
      <c r="H453" s="84"/>
      <c r="I453" s="84"/>
      <c r="J453" s="84"/>
    </row>
    <row r="454" ht="15.75" customHeight="1">
      <c r="A454" s="84"/>
      <c r="B454" s="84"/>
      <c r="C454" s="84"/>
      <c r="D454" s="84"/>
      <c r="E454" s="84"/>
      <c r="F454" s="84"/>
      <c r="G454" s="84"/>
      <c r="H454" s="84"/>
      <c r="I454" s="84"/>
      <c r="J454" s="84"/>
    </row>
    <row r="455" ht="15.75" customHeight="1">
      <c r="A455" s="84"/>
      <c r="B455" s="84"/>
      <c r="C455" s="84"/>
      <c r="D455" s="84"/>
      <c r="E455" s="84"/>
      <c r="F455" s="84"/>
      <c r="G455" s="84"/>
      <c r="H455" s="84"/>
      <c r="I455" s="84"/>
      <c r="J455" s="84"/>
    </row>
    <row r="456" ht="15.75" customHeight="1">
      <c r="A456" s="84"/>
      <c r="B456" s="84"/>
      <c r="C456" s="84"/>
      <c r="D456" s="84"/>
      <c r="E456" s="84"/>
      <c r="F456" s="84"/>
      <c r="G456" s="84"/>
      <c r="H456" s="84"/>
      <c r="I456" s="84"/>
      <c r="J456" s="84"/>
    </row>
    <row r="457" ht="15.75" customHeight="1">
      <c r="A457" s="84"/>
      <c r="B457" s="84"/>
      <c r="C457" s="84"/>
      <c r="D457" s="84"/>
      <c r="E457" s="84"/>
      <c r="F457" s="84"/>
      <c r="G457" s="84"/>
      <c r="H457" s="84"/>
      <c r="I457" s="84"/>
      <c r="J457" s="84"/>
    </row>
    <row r="458" ht="15.75" customHeight="1">
      <c r="A458" s="84"/>
      <c r="B458" s="84"/>
      <c r="C458" s="84"/>
      <c r="D458" s="84"/>
      <c r="E458" s="84"/>
      <c r="F458" s="84"/>
      <c r="G458" s="84"/>
      <c r="H458" s="84"/>
      <c r="I458" s="84"/>
      <c r="J458" s="84"/>
    </row>
    <row r="459" ht="15.75" customHeight="1">
      <c r="A459" s="84"/>
      <c r="B459" s="84"/>
      <c r="C459" s="84"/>
      <c r="D459" s="84"/>
      <c r="E459" s="84"/>
      <c r="F459" s="84"/>
      <c r="G459" s="84"/>
      <c r="H459" s="84"/>
      <c r="I459" s="84"/>
      <c r="J459" s="84"/>
    </row>
    <row r="460" ht="15.75" customHeight="1">
      <c r="A460" s="84"/>
      <c r="B460" s="84"/>
      <c r="C460" s="84"/>
      <c r="D460" s="84"/>
      <c r="E460" s="84"/>
      <c r="F460" s="84"/>
      <c r="G460" s="84"/>
      <c r="H460" s="84"/>
      <c r="I460" s="84"/>
      <c r="J460" s="84"/>
    </row>
    <row r="461" ht="15.75" customHeight="1">
      <c r="A461" s="84"/>
      <c r="B461" s="84"/>
      <c r="C461" s="84"/>
      <c r="D461" s="84"/>
      <c r="E461" s="84"/>
      <c r="F461" s="84"/>
      <c r="G461" s="84"/>
      <c r="H461" s="84"/>
      <c r="I461" s="84"/>
      <c r="J461" s="84"/>
    </row>
    <row r="462" ht="15.75" customHeight="1">
      <c r="A462" s="84"/>
      <c r="B462" s="84"/>
      <c r="C462" s="84"/>
      <c r="D462" s="84"/>
      <c r="E462" s="84"/>
      <c r="F462" s="84"/>
      <c r="G462" s="84"/>
      <c r="H462" s="84"/>
      <c r="I462" s="84"/>
      <c r="J462" s="84"/>
    </row>
    <row r="463" ht="15.75" customHeight="1">
      <c r="A463" s="84"/>
      <c r="B463" s="84"/>
      <c r="C463" s="84"/>
      <c r="D463" s="84"/>
      <c r="E463" s="84"/>
      <c r="F463" s="84"/>
      <c r="G463" s="84"/>
      <c r="H463" s="84"/>
      <c r="I463" s="84"/>
      <c r="J463" s="84"/>
    </row>
    <row r="464" ht="15.75" customHeight="1">
      <c r="A464" s="84"/>
      <c r="B464" s="84"/>
      <c r="C464" s="84"/>
      <c r="D464" s="84"/>
      <c r="E464" s="84"/>
      <c r="F464" s="84"/>
      <c r="G464" s="84"/>
      <c r="H464" s="84"/>
      <c r="I464" s="84"/>
      <c r="J464" s="84"/>
    </row>
    <row r="465" ht="15.75" customHeight="1">
      <c r="A465" s="84"/>
      <c r="B465" s="84"/>
      <c r="C465" s="84"/>
      <c r="D465" s="84"/>
      <c r="E465" s="84"/>
      <c r="F465" s="84"/>
      <c r="G465" s="84"/>
      <c r="H465" s="84"/>
      <c r="I465" s="84"/>
      <c r="J465" s="84"/>
    </row>
    <row r="466" ht="15.75" customHeight="1">
      <c r="A466" s="84"/>
      <c r="B466" s="84"/>
      <c r="C466" s="84"/>
      <c r="D466" s="84"/>
      <c r="E466" s="84"/>
      <c r="F466" s="84"/>
      <c r="G466" s="84"/>
      <c r="H466" s="84"/>
      <c r="I466" s="84"/>
      <c r="J466" s="84"/>
    </row>
    <row r="467" ht="15.75" customHeight="1">
      <c r="A467" s="84"/>
      <c r="B467" s="84"/>
      <c r="C467" s="84"/>
      <c r="D467" s="84"/>
      <c r="E467" s="84"/>
      <c r="F467" s="84"/>
      <c r="G467" s="84"/>
      <c r="H467" s="84"/>
      <c r="I467" s="84"/>
      <c r="J467" s="84"/>
    </row>
    <row r="468" ht="15.75" customHeight="1">
      <c r="A468" s="84"/>
      <c r="B468" s="84"/>
      <c r="C468" s="84"/>
      <c r="D468" s="84"/>
      <c r="E468" s="84"/>
      <c r="F468" s="84"/>
      <c r="G468" s="84"/>
      <c r="H468" s="84"/>
      <c r="I468" s="84"/>
      <c r="J468" s="84"/>
    </row>
    <row r="469" ht="15.75" customHeight="1">
      <c r="A469" s="84"/>
      <c r="B469" s="84"/>
      <c r="C469" s="84"/>
      <c r="D469" s="84"/>
      <c r="E469" s="84"/>
      <c r="F469" s="84"/>
      <c r="G469" s="84"/>
      <c r="H469" s="84"/>
      <c r="I469" s="84"/>
      <c r="J469" s="84"/>
    </row>
    <row r="470" ht="15.75" customHeight="1">
      <c r="A470" s="84"/>
      <c r="B470" s="84"/>
      <c r="C470" s="84"/>
      <c r="D470" s="84"/>
      <c r="E470" s="84"/>
      <c r="F470" s="84"/>
      <c r="G470" s="84"/>
      <c r="H470" s="84"/>
      <c r="I470" s="84"/>
      <c r="J470" s="84"/>
    </row>
    <row r="471" ht="15.75" customHeight="1">
      <c r="A471" s="84"/>
      <c r="B471" s="84"/>
      <c r="C471" s="84"/>
      <c r="D471" s="84"/>
      <c r="E471" s="84"/>
      <c r="F471" s="84"/>
      <c r="G471" s="84"/>
      <c r="H471" s="84"/>
      <c r="I471" s="84"/>
      <c r="J471" s="84"/>
    </row>
    <row r="472" ht="15.75" customHeight="1">
      <c r="A472" s="84"/>
      <c r="B472" s="84"/>
      <c r="C472" s="84"/>
      <c r="D472" s="84"/>
      <c r="E472" s="84"/>
      <c r="F472" s="84"/>
      <c r="G472" s="84"/>
      <c r="H472" s="84"/>
      <c r="I472" s="84"/>
      <c r="J472" s="84"/>
    </row>
    <row r="473" ht="15.75" customHeight="1">
      <c r="A473" s="84"/>
      <c r="B473" s="84"/>
      <c r="C473" s="84"/>
      <c r="D473" s="84"/>
      <c r="E473" s="84"/>
      <c r="F473" s="84"/>
      <c r="G473" s="84"/>
      <c r="H473" s="84"/>
      <c r="I473" s="84"/>
      <c r="J473" s="84"/>
    </row>
    <row r="474" ht="15.75" customHeight="1">
      <c r="A474" s="84"/>
      <c r="B474" s="84"/>
      <c r="C474" s="84"/>
      <c r="D474" s="84"/>
      <c r="E474" s="84"/>
      <c r="F474" s="84"/>
      <c r="G474" s="84"/>
      <c r="H474" s="84"/>
      <c r="I474" s="84"/>
      <c r="J474" s="84"/>
    </row>
    <row r="475" ht="15.75" customHeight="1">
      <c r="A475" s="84"/>
      <c r="B475" s="84"/>
      <c r="C475" s="84"/>
      <c r="D475" s="84"/>
      <c r="E475" s="84"/>
      <c r="F475" s="84"/>
      <c r="G475" s="84"/>
      <c r="H475" s="84"/>
      <c r="I475" s="84"/>
      <c r="J475" s="84"/>
    </row>
    <row r="476" ht="15.75" customHeight="1">
      <c r="A476" s="84"/>
      <c r="B476" s="84"/>
      <c r="C476" s="84"/>
      <c r="D476" s="84"/>
      <c r="E476" s="84"/>
      <c r="F476" s="84"/>
      <c r="G476" s="84"/>
      <c r="H476" s="84"/>
      <c r="I476" s="84"/>
      <c r="J476" s="84"/>
    </row>
    <row r="477" ht="15.75" customHeight="1">
      <c r="A477" s="84"/>
      <c r="B477" s="84"/>
      <c r="C477" s="84"/>
      <c r="D477" s="84"/>
      <c r="E477" s="84"/>
      <c r="F477" s="84"/>
      <c r="G477" s="84"/>
      <c r="H477" s="84"/>
      <c r="I477" s="84"/>
      <c r="J477" s="84"/>
    </row>
    <row r="478" ht="15.75" customHeight="1">
      <c r="A478" s="84"/>
      <c r="B478" s="84"/>
      <c r="C478" s="84"/>
      <c r="D478" s="84"/>
      <c r="E478" s="84"/>
      <c r="F478" s="84"/>
      <c r="G478" s="84"/>
      <c r="H478" s="84"/>
      <c r="I478" s="84"/>
      <c r="J478" s="84"/>
    </row>
    <row r="479" ht="15.75" customHeight="1">
      <c r="A479" s="84"/>
      <c r="B479" s="84"/>
      <c r="C479" s="84"/>
      <c r="D479" s="84"/>
      <c r="E479" s="84"/>
      <c r="F479" s="84"/>
      <c r="G479" s="84"/>
      <c r="H479" s="84"/>
      <c r="I479" s="84"/>
      <c r="J479" s="84"/>
    </row>
    <row r="480" ht="15.75" customHeight="1">
      <c r="A480" s="84"/>
      <c r="B480" s="84"/>
      <c r="C480" s="84"/>
      <c r="D480" s="84"/>
      <c r="E480" s="84"/>
      <c r="F480" s="84"/>
      <c r="G480" s="84"/>
      <c r="H480" s="84"/>
      <c r="I480" s="84"/>
      <c r="J480" s="84"/>
    </row>
    <row r="481" ht="15.75" customHeight="1">
      <c r="A481" s="84"/>
      <c r="B481" s="84"/>
      <c r="C481" s="84"/>
      <c r="D481" s="84"/>
      <c r="E481" s="84"/>
      <c r="F481" s="84"/>
      <c r="G481" s="84"/>
      <c r="H481" s="84"/>
      <c r="I481" s="84"/>
      <c r="J481" s="84"/>
    </row>
    <row r="482" ht="15.75" customHeight="1">
      <c r="A482" s="84"/>
      <c r="B482" s="84"/>
      <c r="C482" s="84"/>
      <c r="D482" s="84"/>
      <c r="E482" s="84"/>
      <c r="F482" s="84"/>
      <c r="G482" s="84"/>
      <c r="H482" s="84"/>
      <c r="I482" s="84"/>
      <c r="J482" s="84"/>
    </row>
    <row r="483" ht="15.75" customHeight="1">
      <c r="A483" s="84"/>
      <c r="B483" s="84"/>
      <c r="C483" s="84"/>
      <c r="D483" s="84"/>
      <c r="E483" s="84"/>
      <c r="F483" s="84"/>
      <c r="G483" s="84"/>
      <c r="H483" s="84"/>
      <c r="I483" s="84"/>
      <c r="J483" s="84"/>
    </row>
    <row r="484" ht="15.75" customHeight="1">
      <c r="A484" s="84"/>
      <c r="B484" s="84"/>
      <c r="C484" s="84"/>
      <c r="D484" s="84"/>
      <c r="E484" s="84"/>
      <c r="F484" s="84"/>
      <c r="G484" s="84"/>
      <c r="H484" s="84"/>
      <c r="I484" s="84"/>
      <c r="J484" s="84"/>
    </row>
    <row r="485" ht="15.75" customHeight="1">
      <c r="A485" s="84"/>
      <c r="B485" s="84"/>
      <c r="C485" s="84"/>
      <c r="D485" s="84"/>
      <c r="E485" s="84"/>
      <c r="F485" s="84"/>
      <c r="G485" s="84"/>
      <c r="H485" s="84"/>
      <c r="I485" s="84"/>
      <c r="J485" s="84"/>
    </row>
    <row r="486" ht="15.75" customHeight="1">
      <c r="A486" s="84"/>
      <c r="B486" s="84"/>
      <c r="C486" s="84"/>
      <c r="D486" s="84"/>
      <c r="E486" s="84"/>
      <c r="F486" s="84"/>
      <c r="G486" s="84"/>
      <c r="H486" s="84"/>
      <c r="I486" s="84"/>
      <c r="J486" s="84"/>
    </row>
    <row r="487" ht="15.75" customHeight="1">
      <c r="A487" s="84"/>
      <c r="B487" s="84"/>
      <c r="C487" s="84"/>
      <c r="D487" s="84"/>
      <c r="E487" s="84"/>
      <c r="F487" s="84"/>
      <c r="G487" s="84"/>
      <c r="H487" s="84"/>
      <c r="I487" s="84"/>
      <c r="J487" s="84"/>
    </row>
    <row r="488" ht="15.75" customHeight="1">
      <c r="A488" s="84"/>
      <c r="B488" s="84"/>
      <c r="C488" s="84"/>
      <c r="D488" s="84"/>
      <c r="E488" s="84"/>
      <c r="F488" s="84"/>
      <c r="G488" s="84"/>
      <c r="H488" s="84"/>
      <c r="I488" s="84"/>
      <c r="J488" s="84"/>
    </row>
    <row r="489" ht="15.75" customHeight="1">
      <c r="A489" s="84"/>
      <c r="B489" s="84"/>
      <c r="C489" s="84"/>
      <c r="D489" s="84"/>
      <c r="E489" s="84"/>
      <c r="F489" s="84"/>
      <c r="G489" s="84"/>
      <c r="H489" s="84"/>
      <c r="I489" s="84"/>
      <c r="J489" s="84"/>
    </row>
    <row r="490" ht="15.75" customHeight="1">
      <c r="A490" s="84"/>
      <c r="B490" s="84"/>
      <c r="C490" s="84"/>
      <c r="D490" s="84"/>
      <c r="E490" s="84"/>
      <c r="F490" s="84"/>
      <c r="G490" s="84"/>
      <c r="H490" s="84"/>
      <c r="I490" s="84"/>
      <c r="J490" s="84"/>
    </row>
    <row r="491" ht="15.75" customHeight="1">
      <c r="A491" s="84"/>
      <c r="B491" s="84"/>
      <c r="C491" s="84"/>
      <c r="D491" s="84"/>
      <c r="E491" s="84"/>
      <c r="F491" s="84"/>
      <c r="G491" s="84"/>
      <c r="H491" s="84"/>
      <c r="I491" s="84"/>
      <c r="J491" s="84"/>
    </row>
    <row r="492" ht="15.75" customHeight="1">
      <c r="A492" s="84"/>
      <c r="B492" s="84"/>
      <c r="C492" s="84"/>
      <c r="D492" s="84"/>
      <c r="E492" s="84"/>
      <c r="F492" s="84"/>
      <c r="G492" s="84"/>
      <c r="H492" s="84"/>
      <c r="I492" s="84"/>
      <c r="J492" s="84"/>
    </row>
    <row r="493" ht="15.75" customHeight="1">
      <c r="A493" s="84"/>
      <c r="B493" s="84"/>
      <c r="C493" s="84"/>
      <c r="D493" s="84"/>
      <c r="E493" s="84"/>
      <c r="F493" s="84"/>
      <c r="G493" s="84"/>
      <c r="H493" s="84"/>
      <c r="I493" s="84"/>
      <c r="J493" s="84"/>
    </row>
    <row r="494" ht="15.75" customHeight="1">
      <c r="A494" s="84"/>
      <c r="B494" s="84"/>
      <c r="C494" s="84"/>
      <c r="D494" s="84"/>
      <c r="E494" s="84"/>
      <c r="F494" s="84"/>
      <c r="G494" s="84"/>
      <c r="H494" s="84"/>
      <c r="I494" s="84"/>
      <c r="J494" s="84"/>
    </row>
    <row r="495" ht="15.75" customHeight="1">
      <c r="A495" s="84"/>
      <c r="B495" s="84"/>
      <c r="C495" s="84"/>
      <c r="D495" s="84"/>
      <c r="E495" s="84"/>
      <c r="F495" s="84"/>
      <c r="G495" s="84"/>
      <c r="H495" s="84"/>
      <c r="I495" s="84"/>
      <c r="J495" s="84"/>
    </row>
    <row r="496" ht="15.75" customHeight="1">
      <c r="A496" s="84"/>
      <c r="B496" s="84"/>
      <c r="C496" s="84"/>
      <c r="D496" s="84"/>
      <c r="E496" s="84"/>
      <c r="F496" s="84"/>
      <c r="G496" s="84"/>
      <c r="H496" s="84"/>
      <c r="I496" s="84"/>
      <c r="J496" s="84"/>
    </row>
    <row r="497" ht="15.75" customHeight="1">
      <c r="A497" s="84"/>
      <c r="B497" s="84"/>
      <c r="C497" s="84"/>
      <c r="D497" s="84"/>
      <c r="E497" s="84"/>
      <c r="F497" s="84"/>
      <c r="G497" s="84"/>
      <c r="H497" s="84"/>
      <c r="I497" s="84"/>
      <c r="J497" s="84"/>
    </row>
    <row r="498" ht="15.75" customHeight="1">
      <c r="A498" s="84"/>
      <c r="B498" s="84"/>
      <c r="C498" s="84"/>
      <c r="D498" s="84"/>
      <c r="E498" s="84"/>
      <c r="F498" s="84"/>
      <c r="G498" s="84"/>
      <c r="H498" s="84"/>
      <c r="I498" s="84"/>
      <c r="J498" s="84"/>
    </row>
    <row r="499" ht="15.75" customHeight="1">
      <c r="A499" s="84"/>
      <c r="B499" s="84"/>
      <c r="C499" s="84"/>
      <c r="D499" s="84"/>
      <c r="E499" s="84"/>
      <c r="F499" s="84"/>
      <c r="G499" s="84"/>
      <c r="H499" s="84"/>
      <c r="I499" s="84"/>
      <c r="J499" s="84"/>
    </row>
    <row r="500" ht="15.75" customHeight="1">
      <c r="A500" s="84"/>
      <c r="B500" s="84"/>
      <c r="C500" s="84"/>
      <c r="D500" s="84"/>
      <c r="E500" s="84"/>
      <c r="F500" s="84"/>
      <c r="G500" s="84"/>
      <c r="H500" s="84"/>
      <c r="I500" s="84"/>
      <c r="J500" s="84"/>
    </row>
    <row r="501" ht="15.75" customHeight="1">
      <c r="A501" s="84"/>
      <c r="B501" s="84"/>
      <c r="C501" s="84"/>
      <c r="D501" s="84"/>
      <c r="E501" s="84"/>
      <c r="F501" s="84"/>
      <c r="G501" s="84"/>
      <c r="H501" s="84"/>
      <c r="I501" s="84"/>
      <c r="J501" s="84"/>
    </row>
    <row r="502" ht="15.75" customHeight="1">
      <c r="A502" s="84"/>
      <c r="B502" s="84"/>
      <c r="C502" s="84"/>
      <c r="D502" s="84"/>
      <c r="E502" s="84"/>
      <c r="F502" s="84"/>
      <c r="G502" s="84"/>
      <c r="H502" s="84"/>
      <c r="I502" s="84"/>
      <c r="J502" s="84"/>
    </row>
    <row r="503" ht="15.75" customHeight="1">
      <c r="A503" s="84"/>
      <c r="B503" s="84"/>
      <c r="C503" s="84"/>
      <c r="D503" s="84"/>
      <c r="E503" s="84"/>
      <c r="F503" s="84"/>
      <c r="G503" s="84"/>
      <c r="H503" s="84"/>
      <c r="I503" s="84"/>
      <c r="J503" s="84"/>
    </row>
    <row r="504" ht="15.75" customHeight="1">
      <c r="A504" s="84"/>
      <c r="B504" s="84"/>
      <c r="C504" s="84"/>
      <c r="D504" s="84"/>
      <c r="E504" s="84"/>
      <c r="F504" s="84"/>
      <c r="G504" s="84"/>
      <c r="H504" s="84"/>
      <c r="I504" s="84"/>
      <c r="J504" s="84"/>
    </row>
    <row r="505" ht="15.75" customHeight="1">
      <c r="A505" s="84"/>
      <c r="B505" s="84"/>
      <c r="C505" s="84"/>
      <c r="D505" s="84"/>
      <c r="E505" s="84"/>
      <c r="F505" s="84"/>
      <c r="G505" s="84"/>
      <c r="H505" s="84"/>
      <c r="I505" s="84"/>
      <c r="J505" s="84"/>
    </row>
    <row r="506" ht="15.75" customHeight="1">
      <c r="A506" s="84"/>
      <c r="B506" s="84"/>
      <c r="C506" s="84"/>
      <c r="D506" s="84"/>
      <c r="E506" s="84"/>
      <c r="F506" s="84"/>
      <c r="G506" s="84"/>
      <c r="H506" s="84"/>
      <c r="I506" s="84"/>
      <c r="J506" s="84"/>
    </row>
    <row r="507" ht="15.75" customHeight="1">
      <c r="A507" s="84"/>
      <c r="B507" s="84"/>
      <c r="C507" s="84"/>
      <c r="D507" s="84"/>
      <c r="E507" s="84"/>
      <c r="F507" s="84"/>
      <c r="G507" s="84"/>
      <c r="H507" s="84"/>
      <c r="I507" s="84"/>
      <c r="J507" s="84"/>
    </row>
    <row r="508" ht="15.75" customHeight="1">
      <c r="A508" s="84"/>
      <c r="B508" s="84"/>
      <c r="C508" s="84"/>
      <c r="D508" s="84"/>
      <c r="E508" s="84"/>
      <c r="F508" s="84"/>
      <c r="G508" s="84"/>
      <c r="H508" s="84"/>
      <c r="I508" s="84"/>
      <c r="J508" s="84"/>
    </row>
    <row r="509" ht="15.75" customHeight="1">
      <c r="A509" s="84"/>
      <c r="B509" s="84"/>
      <c r="C509" s="84"/>
      <c r="D509" s="84"/>
      <c r="E509" s="84"/>
      <c r="F509" s="84"/>
      <c r="G509" s="84"/>
      <c r="H509" s="84"/>
      <c r="I509" s="84"/>
      <c r="J509" s="84"/>
    </row>
    <row r="510" ht="15.75" customHeight="1">
      <c r="A510" s="84"/>
      <c r="B510" s="84"/>
      <c r="C510" s="84"/>
      <c r="D510" s="84"/>
      <c r="E510" s="84"/>
      <c r="F510" s="84"/>
      <c r="G510" s="84"/>
      <c r="H510" s="84"/>
      <c r="I510" s="84"/>
      <c r="J510" s="84"/>
    </row>
    <row r="511" ht="15.75" customHeight="1">
      <c r="A511" s="84"/>
      <c r="B511" s="84"/>
      <c r="C511" s="84"/>
      <c r="D511" s="84"/>
      <c r="E511" s="84"/>
      <c r="F511" s="84"/>
      <c r="G511" s="84"/>
      <c r="H511" s="84"/>
      <c r="I511" s="84"/>
      <c r="J511" s="84"/>
    </row>
    <row r="512" ht="15.75" customHeight="1">
      <c r="A512" s="84"/>
      <c r="B512" s="84"/>
      <c r="C512" s="84"/>
      <c r="D512" s="84"/>
      <c r="E512" s="84"/>
      <c r="F512" s="84"/>
      <c r="G512" s="84"/>
      <c r="H512" s="84"/>
      <c r="I512" s="84"/>
      <c r="J512" s="84"/>
    </row>
    <row r="513" ht="15.75" customHeight="1">
      <c r="A513" s="84"/>
      <c r="B513" s="84"/>
      <c r="C513" s="84"/>
      <c r="D513" s="84"/>
      <c r="E513" s="84"/>
      <c r="F513" s="84"/>
      <c r="G513" s="84"/>
      <c r="H513" s="84"/>
      <c r="I513" s="84"/>
      <c r="J513" s="84"/>
    </row>
    <row r="514" ht="15.75" customHeight="1">
      <c r="A514" s="84"/>
      <c r="B514" s="84"/>
      <c r="C514" s="84"/>
      <c r="D514" s="84"/>
      <c r="E514" s="84"/>
      <c r="F514" s="84"/>
      <c r="G514" s="84"/>
      <c r="H514" s="84"/>
      <c r="I514" s="84"/>
      <c r="J514" s="84"/>
    </row>
    <row r="515" ht="15.75" customHeight="1">
      <c r="A515" s="84"/>
      <c r="B515" s="84"/>
      <c r="C515" s="84"/>
      <c r="D515" s="84"/>
      <c r="E515" s="84"/>
      <c r="F515" s="84"/>
      <c r="G515" s="84"/>
      <c r="H515" s="84"/>
      <c r="I515" s="84"/>
      <c r="J515" s="84"/>
    </row>
    <row r="516" ht="15.75" customHeight="1">
      <c r="A516" s="84"/>
      <c r="B516" s="84"/>
      <c r="C516" s="84"/>
      <c r="D516" s="84"/>
      <c r="E516" s="84"/>
      <c r="F516" s="84"/>
      <c r="G516" s="84"/>
      <c r="H516" s="84"/>
      <c r="I516" s="84"/>
      <c r="J516" s="84"/>
    </row>
    <row r="517" ht="15.75" customHeight="1">
      <c r="A517" s="84"/>
      <c r="B517" s="84"/>
      <c r="C517" s="84"/>
      <c r="D517" s="84"/>
      <c r="E517" s="84"/>
      <c r="F517" s="84"/>
      <c r="G517" s="84"/>
      <c r="H517" s="84"/>
      <c r="I517" s="84"/>
      <c r="J517" s="84"/>
    </row>
    <row r="518" ht="15.75" customHeight="1">
      <c r="A518" s="84"/>
      <c r="B518" s="84"/>
      <c r="C518" s="84"/>
      <c r="D518" s="84"/>
      <c r="E518" s="84"/>
      <c r="F518" s="84"/>
      <c r="G518" s="84"/>
      <c r="H518" s="84"/>
      <c r="I518" s="84"/>
      <c r="J518" s="84"/>
    </row>
    <row r="519" ht="15.75" customHeight="1">
      <c r="A519" s="84"/>
      <c r="B519" s="84"/>
      <c r="C519" s="84"/>
      <c r="D519" s="84"/>
      <c r="E519" s="84"/>
      <c r="F519" s="84"/>
      <c r="G519" s="84"/>
      <c r="H519" s="84"/>
      <c r="I519" s="84"/>
      <c r="J519" s="84"/>
    </row>
    <row r="520" ht="15.75" customHeight="1">
      <c r="A520" s="84"/>
      <c r="B520" s="84"/>
      <c r="C520" s="84"/>
      <c r="D520" s="84"/>
      <c r="E520" s="84"/>
      <c r="F520" s="84"/>
      <c r="G520" s="84"/>
      <c r="H520" s="84"/>
      <c r="I520" s="84"/>
      <c r="J520" s="84"/>
    </row>
    <row r="521" ht="15.75" customHeight="1">
      <c r="A521" s="84"/>
      <c r="B521" s="84"/>
      <c r="C521" s="84"/>
      <c r="D521" s="84"/>
      <c r="E521" s="84"/>
      <c r="F521" s="84"/>
      <c r="G521" s="84"/>
      <c r="H521" s="84"/>
      <c r="I521" s="84"/>
      <c r="J521" s="84"/>
    </row>
    <row r="522" ht="15.75" customHeight="1">
      <c r="A522" s="84"/>
      <c r="B522" s="84"/>
      <c r="C522" s="84"/>
      <c r="D522" s="84"/>
      <c r="E522" s="84"/>
      <c r="F522" s="84"/>
      <c r="G522" s="84"/>
      <c r="H522" s="84"/>
      <c r="I522" s="84"/>
      <c r="J522" s="84"/>
    </row>
    <row r="523" ht="15.75" customHeight="1">
      <c r="A523" s="84"/>
      <c r="B523" s="84"/>
      <c r="C523" s="84"/>
      <c r="D523" s="84"/>
      <c r="E523" s="84"/>
      <c r="F523" s="84"/>
      <c r="G523" s="84"/>
      <c r="H523" s="84"/>
      <c r="I523" s="84"/>
      <c r="J523" s="84"/>
    </row>
    <row r="524" ht="15.75" customHeight="1">
      <c r="A524" s="84"/>
      <c r="B524" s="84"/>
      <c r="C524" s="84"/>
      <c r="D524" s="84"/>
      <c r="E524" s="84"/>
      <c r="F524" s="84"/>
      <c r="G524" s="84"/>
      <c r="H524" s="84"/>
      <c r="I524" s="84"/>
      <c r="J524" s="84"/>
    </row>
    <row r="525" ht="15.75" customHeight="1">
      <c r="A525" s="84"/>
      <c r="B525" s="84"/>
      <c r="C525" s="84"/>
      <c r="D525" s="84"/>
      <c r="E525" s="84"/>
      <c r="F525" s="84"/>
      <c r="G525" s="84"/>
      <c r="H525" s="84"/>
      <c r="I525" s="84"/>
      <c r="J525" s="84"/>
    </row>
    <row r="526" ht="15.75" customHeight="1">
      <c r="A526" s="84"/>
      <c r="B526" s="84"/>
      <c r="C526" s="84"/>
      <c r="D526" s="84"/>
      <c r="E526" s="84"/>
      <c r="F526" s="84"/>
      <c r="G526" s="84"/>
      <c r="H526" s="84"/>
      <c r="I526" s="84"/>
      <c r="J526" s="84"/>
    </row>
    <row r="527" ht="15.75" customHeight="1">
      <c r="A527" s="84"/>
      <c r="B527" s="84"/>
      <c r="C527" s="84"/>
      <c r="D527" s="84"/>
      <c r="E527" s="84"/>
      <c r="F527" s="84"/>
      <c r="G527" s="84"/>
      <c r="H527" s="84"/>
      <c r="I527" s="84"/>
      <c r="J527" s="84"/>
    </row>
    <row r="528" ht="15.75" customHeight="1">
      <c r="A528" s="84"/>
      <c r="B528" s="84"/>
      <c r="C528" s="84"/>
      <c r="D528" s="84"/>
      <c r="E528" s="84"/>
      <c r="F528" s="84"/>
      <c r="G528" s="84"/>
      <c r="H528" s="84"/>
      <c r="I528" s="84"/>
      <c r="J528" s="84"/>
    </row>
    <row r="529" ht="15.75" customHeight="1">
      <c r="A529" s="84"/>
      <c r="B529" s="84"/>
      <c r="C529" s="84"/>
      <c r="D529" s="84"/>
      <c r="E529" s="84"/>
      <c r="F529" s="84"/>
      <c r="G529" s="84"/>
      <c r="H529" s="84"/>
      <c r="I529" s="84"/>
      <c r="J529" s="84"/>
    </row>
    <row r="530" ht="15.75" customHeight="1">
      <c r="A530" s="84"/>
      <c r="B530" s="84"/>
      <c r="C530" s="84"/>
      <c r="D530" s="84"/>
      <c r="E530" s="84"/>
      <c r="F530" s="84"/>
      <c r="G530" s="84"/>
      <c r="H530" s="84"/>
      <c r="I530" s="84"/>
      <c r="J530" s="84"/>
    </row>
    <row r="531" ht="15.75" customHeight="1">
      <c r="A531" s="84"/>
      <c r="B531" s="84"/>
      <c r="C531" s="84"/>
      <c r="D531" s="84"/>
      <c r="E531" s="84"/>
      <c r="F531" s="84"/>
      <c r="G531" s="84"/>
      <c r="H531" s="84"/>
      <c r="I531" s="84"/>
      <c r="J531" s="84"/>
    </row>
    <row r="532" ht="15.75" customHeight="1">
      <c r="A532" s="84"/>
      <c r="B532" s="84"/>
      <c r="C532" s="84"/>
      <c r="D532" s="84"/>
      <c r="E532" s="84"/>
      <c r="F532" s="84"/>
      <c r="G532" s="84"/>
      <c r="H532" s="84"/>
      <c r="I532" s="84"/>
      <c r="J532" s="84"/>
    </row>
    <row r="533" ht="15.75" customHeight="1">
      <c r="A533" s="84"/>
      <c r="B533" s="84"/>
      <c r="C533" s="84"/>
      <c r="D533" s="84"/>
      <c r="E533" s="84"/>
      <c r="F533" s="84"/>
      <c r="G533" s="84"/>
      <c r="H533" s="84"/>
      <c r="I533" s="84"/>
      <c r="J533" s="84"/>
    </row>
    <row r="534" ht="15.75" customHeight="1">
      <c r="A534" s="84"/>
      <c r="B534" s="84"/>
      <c r="C534" s="84"/>
      <c r="D534" s="84"/>
      <c r="E534" s="84"/>
      <c r="F534" s="84"/>
      <c r="G534" s="84"/>
      <c r="H534" s="84"/>
      <c r="I534" s="84"/>
      <c r="J534" s="84"/>
    </row>
    <row r="535" ht="15.75" customHeight="1">
      <c r="A535" s="84"/>
      <c r="B535" s="84"/>
      <c r="C535" s="84"/>
      <c r="D535" s="84"/>
      <c r="E535" s="84"/>
      <c r="F535" s="84"/>
      <c r="G535" s="84"/>
      <c r="H535" s="84"/>
      <c r="I535" s="84"/>
      <c r="J535" s="84"/>
    </row>
    <row r="536" ht="15.75" customHeight="1">
      <c r="A536" s="84"/>
      <c r="B536" s="84"/>
      <c r="C536" s="84"/>
      <c r="D536" s="84"/>
      <c r="E536" s="84"/>
      <c r="F536" s="84"/>
      <c r="G536" s="84"/>
      <c r="H536" s="84"/>
      <c r="I536" s="84"/>
      <c r="J536" s="84"/>
    </row>
    <row r="537" ht="15.75" customHeight="1">
      <c r="A537" s="84"/>
      <c r="B537" s="84"/>
      <c r="C537" s="84"/>
      <c r="D537" s="84"/>
      <c r="E537" s="84"/>
      <c r="F537" s="84"/>
      <c r="G537" s="84"/>
      <c r="H537" s="84"/>
      <c r="I537" s="84"/>
      <c r="J537" s="84"/>
    </row>
    <row r="538" ht="15.75" customHeight="1">
      <c r="A538" s="84"/>
      <c r="B538" s="84"/>
      <c r="C538" s="84"/>
      <c r="D538" s="84"/>
      <c r="E538" s="84"/>
      <c r="F538" s="84"/>
      <c r="G538" s="84"/>
      <c r="H538" s="84"/>
      <c r="I538" s="84"/>
      <c r="J538" s="84"/>
    </row>
    <row r="539" ht="15.75" customHeight="1">
      <c r="A539" s="84"/>
      <c r="B539" s="84"/>
      <c r="C539" s="84"/>
      <c r="D539" s="84"/>
      <c r="E539" s="84"/>
      <c r="F539" s="84"/>
      <c r="G539" s="84"/>
      <c r="H539" s="84"/>
      <c r="I539" s="84"/>
      <c r="J539" s="84"/>
    </row>
    <row r="540" ht="15.75" customHeight="1">
      <c r="A540" s="84"/>
      <c r="B540" s="84"/>
      <c r="C540" s="84"/>
      <c r="D540" s="84"/>
      <c r="E540" s="84"/>
      <c r="F540" s="84"/>
      <c r="G540" s="84"/>
      <c r="H540" s="84"/>
      <c r="I540" s="84"/>
      <c r="J540" s="84"/>
    </row>
    <row r="541" ht="15.75" customHeight="1">
      <c r="A541" s="84"/>
      <c r="B541" s="84"/>
      <c r="C541" s="84"/>
      <c r="D541" s="84"/>
      <c r="E541" s="84"/>
      <c r="F541" s="84"/>
      <c r="G541" s="84"/>
      <c r="H541" s="84"/>
      <c r="I541" s="84"/>
      <c r="J541" s="84"/>
    </row>
    <row r="542" ht="15.75" customHeight="1">
      <c r="A542" s="84"/>
      <c r="B542" s="84"/>
      <c r="C542" s="84"/>
      <c r="D542" s="84"/>
      <c r="E542" s="84"/>
      <c r="F542" s="84"/>
      <c r="G542" s="84"/>
      <c r="H542" s="84"/>
      <c r="I542" s="84"/>
      <c r="J542" s="84"/>
    </row>
    <row r="543" ht="15.75" customHeight="1">
      <c r="A543" s="84"/>
      <c r="B543" s="84"/>
      <c r="C543" s="84"/>
      <c r="D543" s="84"/>
      <c r="E543" s="84"/>
      <c r="F543" s="84"/>
      <c r="G543" s="84"/>
      <c r="H543" s="84"/>
      <c r="I543" s="84"/>
      <c r="J543" s="84"/>
    </row>
    <row r="544" ht="15.75" customHeight="1">
      <c r="A544" s="84"/>
      <c r="B544" s="84"/>
      <c r="C544" s="84"/>
      <c r="D544" s="84"/>
      <c r="E544" s="84"/>
      <c r="F544" s="84"/>
      <c r="G544" s="84"/>
      <c r="H544" s="84"/>
      <c r="I544" s="84"/>
      <c r="J544" s="84"/>
    </row>
    <row r="545" ht="15.75" customHeight="1">
      <c r="A545" s="84"/>
      <c r="B545" s="84"/>
      <c r="C545" s="84"/>
      <c r="D545" s="84"/>
      <c r="E545" s="84"/>
      <c r="F545" s="84"/>
      <c r="G545" s="84"/>
      <c r="H545" s="84"/>
      <c r="I545" s="84"/>
      <c r="J545" s="84"/>
    </row>
    <row r="546" ht="15.75" customHeight="1">
      <c r="A546" s="84"/>
      <c r="B546" s="84"/>
      <c r="C546" s="84"/>
      <c r="D546" s="84"/>
      <c r="E546" s="84"/>
      <c r="F546" s="84"/>
      <c r="G546" s="84"/>
      <c r="H546" s="84"/>
      <c r="I546" s="84"/>
      <c r="J546" s="84"/>
    </row>
    <row r="547" ht="15.75" customHeight="1">
      <c r="A547" s="84"/>
      <c r="B547" s="84"/>
      <c r="C547" s="84"/>
      <c r="D547" s="84"/>
      <c r="E547" s="84"/>
      <c r="F547" s="84"/>
      <c r="G547" s="84"/>
      <c r="H547" s="84"/>
      <c r="I547" s="84"/>
      <c r="J547" s="84"/>
    </row>
    <row r="548" ht="15.75" customHeight="1">
      <c r="A548" s="84"/>
      <c r="B548" s="84"/>
      <c r="C548" s="84"/>
      <c r="D548" s="84"/>
      <c r="E548" s="84"/>
      <c r="F548" s="84"/>
      <c r="G548" s="84"/>
      <c r="H548" s="84"/>
      <c r="I548" s="84"/>
      <c r="J548" s="84"/>
    </row>
    <row r="549" ht="15.75" customHeight="1">
      <c r="A549" s="84"/>
      <c r="B549" s="84"/>
      <c r="C549" s="84"/>
      <c r="D549" s="84"/>
      <c r="E549" s="84"/>
      <c r="F549" s="84"/>
      <c r="G549" s="84"/>
      <c r="H549" s="84"/>
      <c r="I549" s="84"/>
      <c r="J549" s="84"/>
    </row>
    <row r="550" ht="15.75" customHeight="1">
      <c r="A550" s="84"/>
      <c r="B550" s="84"/>
      <c r="C550" s="84"/>
      <c r="D550" s="84"/>
      <c r="E550" s="84"/>
      <c r="F550" s="84"/>
      <c r="G550" s="84"/>
      <c r="H550" s="84"/>
      <c r="I550" s="84"/>
      <c r="J550" s="84"/>
    </row>
    <row r="551" ht="15.75" customHeight="1">
      <c r="A551" s="84"/>
      <c r="B551" s="84"/>
      <c r="C551" s="84"/>
      <c r="D551" s="84"/>
      <c r="E551" s="84"/>
      <c r="F551" s="84"/>
      <c r="G551" s="84"/>
      <c r="H551" s="84"/>
      <c r="I551" s="84"/>
      <c r="J551" s="84"/>
    </row>
    <row r="552" ht="15.75" customHeight="1">
      <c r="A552" s="84"/>
      <c r="B552" s="84"/>
      <c r="C552" s="84"/>
      <c r="D552" s="84"/>
      <c r="E552" s="84"/>
      <c r="F552" s="84"/>
      <c r="G552" s="84"/>
      <c r="H552" s="84"/>
      <c r="I552" s="84"/>
      <c r="J552" s="84"/>
    </row>
    <row r="553" ht="15.75" customHeight="1">
      <c r="A553" s="84"/>
      <c r="B553" s="84"/>
      <c r="C553" s="84"/>
      <c r="D553" s="84"/>
      <c r="E553" s="84"/>
      <c r="F553" s="84"/>
      <c r="G553" s="84"/>
      <c r="H553" s="84"/>
      <c r="I553" s="84"/>
      <c r="J553" s="84"/>
    </row>
    <row r="554" ht="15.75" customHeight="1">
      <c r="A554" s="84"/>
      <c r="B554" s="84"/>
      <c r="C554" s="84"/>
      <c r="D554" s="84"/>
      <c r="E554" s="84"/>
      <c r="F554" s="84"/>
      <c r="G554" s="84"/>
      <c r="H554" s="84"/>
      <c r="I554" s="84"/>
      <c r="J554" s="84"/>
    </row>
    <row r="555" ht="15.75" customHeight="1">
      <c r="A555" s="84"/>
      <c r="B555" s="84"/>
      <c r="C555" s="84"/>
      <c r="D555" s="84"/>
      <c r="E555" s="84"/>
      <c r="F555" s="84"/>
      <c r="G555" s="84"/>
      <c r="H555" s="84"/>
      <c r="I555" s="84"/>
      <c r="J555" s="84"/>
    </row>
    <row r="556" ht="15.75" customHeight="1">
      <c r="A556" s="84"/>
      <c r="B556" s="84"/>
      <c r="C556" s="84"/>
      <c r="D556" s="84"/>
      <c r="E556" s="84"/>
      <c r="F556" s="84"/>
      <c r="G556" s="84"/>
      <c r="H556" s="84"/>
      <c r="I556" s="84"/>
      <c r="J556" s="84"/>
    </row>
    <row r="557" ht="15.75" customHeight="1">
      <c r="A557" s="84"/>
      <c r="B557" s="84"/>
      <c r="C557" s="84"/>
      <c r="D557" s="84"/>
      <c r="E557" s="84"/>
      <c r="F557" s="84"/>
      <c r="G557" s="84"/>
      <c r="H557" s="84"/>
      <c r="I557" s="84"/>
      <c r="J557" s="84"/>
    </row>
    <row r="558" ht="15.75" customHeight="1">
      <c r="A558" s="84"/>
      <c r="B558" s="84"/>
      <c r="C558" s="84"/>
      <c r="D558" s="84"/>
      <c r="E558" s="84"/>
      <c r="F558" s="84"/>
      <c r="G558" s="84"/>
      <c r="H558" s="84"/>
      <c r="I558" s="84"/>
      <c r="J558" s="84"/>
    </row>
    <row r="559" ht="15.75" customHeight="1">
      <c r="A559" s="84"/>
      <c r="B559" s="84"/>
      <c r="C559" s="84"/>
      <c r="D559" s="84"/>
      <c r="E559" s="84"/>
      <c r="F559" s="84"/>
      <c r="G559" s="84"/>
      <c r="H559" s="84"/>
      <c r="I559" s="84"/>
      <c r="J559" s="84"/>
    </row>
    <row r="560" ht="15.75" customHeight="1">
      <c r="A560" s="84"/>
      <c r="B560" s="84"/>
      <c r="C560" s="84"/>
      <c r="D560" s="84"/>
      <c r="E560" s="84"/>
      <c r="F560" s="84"/>
      <c r="G560" s="84"/>
      <c r="H560" s="84"/>
      <c r="I560" s="84"/>
      <c r="J560" s="84"/>
    </row>
    <row r="561" ht="15.75" customHeight="1">
      <c r="A561" s="84"/>
      <c r="B561" s="84"/>
      <c r="C561" s="84"/>
      <c r="D561" s="84"/>
      <c r="E561" s="84"/>
      <c r="F561" s="84"/>
      <c r="G561" s="84"/>
      <c r="H561" s="84"/>
      <c r="I561" s="84"/>
      <c r="J561" s="84"/>
    </row>
    <row r="562" ht="15.75" customHeight="1">
      <c r="A562" s="84"/>
      <c r="B562" s="84"/>
      <c r="C562" s="84"/>
      <c r="D562" s="84"/>
      <c r="E562" s="84"/>
      <c r="F562" s="84"/>
      <c r="G562" s="84"/>
      <c r="H562" s="84"/>
      <c r="I562" s="84"/>
      <c r="J562" s="84"/>
    </row>
    <row r="563" ht="15.75" customHeight="1">
      <c r="A563" s="84"/>
      <c r="B563" s="84"/>
      <c r="C563" s="84"/>
      <c r="D563" s="84"/>
      <c r="E563" s="84"/>
      <c r="F563" s="84"/>
      <c r="G563" s="84"/>
      <c r="H563" s="84"/>
      <c r="I563" s="84"/>
      <c r="J563" s="84"/>
    </row>
    <row r="564" ht="15.75" customHeight="1">
      <c r="A564" s="84"/>
      <c r="B564" s="84"/>
      <c r="C564" s="84"/>
      <c r="D564" s="84"/>
      <c r="E564" s="84"/>
      <c r="F564" s="84"/>
      <c r="G564" s="84"/>
      <c r="H564" s="84"/>
      <c r="I564" s="84"/>
      <c r="J564" s="84"/>
    </row>
    <row r="565" ht="15.75" customHeight="1">
      <c r="A565" s="84"/>
      <c r="B565" s="84"/>
      <c r="C565" s="84"/>
      <c r="D565" s="84"/>
      <c r="E565" s="84"/>
      <c r="F565" s="84"/>
      <c r="G565" s="84"/>
      <c r="H565" s="84"/>
      <c r="I565" s="84"/>
      <c r="J565" s="84"/>
    </row>
    <row r="566" ht="15.75" customHeight="1">
      <c r="A566" s="84"/>
      <c r="B566" s="84"/>
      <c r="C566" s="84"/>
      <c r="D566" s="84"/>
      <c r="E566" s="84"/>
      <c r="F566" s="84"/>
      <c r="G566" s="84"/>
      <c r="H566" s="84"/>
      <c r="I566" s="84"/>
      <c r="J566" s="84"/>
    </row>
    <row r="567" ht="15.75" customHeight="1">
      <c r="A567" s="84"/>
      <c r="B567" s="84"/>
      <c r="C567" s="84"/>
      <c r="D567" s="84"/>
      <c r="E567" s="84"/>
      <c r="F567" s="84"/>
      <c r="G567" s="84"/>
      <c r="H567" s="84"/>
      <c r="I567" s="84"/>
      <c r="J567" s="84"/>
    </row>
    <row r="568" ht="15.75" customHeight="1">
      <c r="A568" s="84"/>
      <c r="B568" s="84"/>
      <c r="C568" s="84"/>
      <c r="D568" s="84"/>
      <c r="E568" s="84"/>
      <c r="F568" s="84"/>
      <c r="G568" s="84"/>
      <c r="H568" s="84"/>
      <c r="I568" s="84"/>
      <c r="J568" s="84"/>
    </row>
    <row r="569" ht="15.75" customHeight="1">
      <c r="A569" s="84"/>
      <c r="B569" s="84"/>
      <c r="C569" s="84"/>
      <c r="D569" s="84"/>
      <c r="E569" s="84"/>
      <c r="F569" s="84"/>
      <c r="G569" s="84"/>
      <c r="H569" s="84"/>
      <c r="I569" s="84"/>
      <c r="J569" s="84"/>
    </row>
    <row r="570" ht="15.75" customHeight="1">
      <c r="A570" s="84"/>
      <c r="B570" s="84"/>
      <c r="C570" s="84"/>
      <c r="D570" s="84"/>
      <c r="E570" s="84"/>
      <c r="F570" s="84"/>
      <c r="G570" s="84"/>
      <c r="H570" s="84"/>
      <c r="I570" s="84"/>
      <c r="J570" s="84"/>
    </row>
    <row r="571" ht="15.75" customHeight="1">
      <c r="A571" s="84"/>
      <c r="B571" s="84"/>
      <c r="C571" s="84"/>
      <c r="D571" s="84"/>
      <c r="E571" s="84"/>
      <c r="F571" s="84"/>
      <c r="G571" s="84"/>
      <c r="H571" s="84"/>
      <c r="I571" s="84"/>
      <c r="J571" s="84"/>
    </row>
    <row r="572" ht="15.75" customHeight="1">
      <c r="A572" s="84"/>
      <c r="B572" s="84"/>
      <c r="C572" s="84"/>
      <c r="D572" s="84"/>
      <c r="E572" s="84"/>
      <c r="F572" s="84"/>
      <c r="G572" s="84"/>
      <c r="H572" s="84"/>
      <c r="I572" s="84"/>
      <c r="J572" s="84"/>
    </row>
    <row r="573" ht="15.75" customHeight="1">
      <c r="A573" s="84"/>
      <c r="B573" s="84"/>
      <c r="C573" s="84"/>
      <c r="D573" s="84"/>
      <c r="E573" s="84"/>
      <c r="F573" s="84"/>
      <c r="G573" s="84"/>
      <c r="H573" s="84"/>
      <c r="I573" s="84"/>
      <c r="J573" s="84"/>
    </row>
    <row r="574" ht="15.75" customHeight="1">
      <c r="A574" s="84"/>
      <c r="B574" s="84"/>
      <c r="C574" s="84"/>
      <c r="D574" s="84"/>
      <c r="E574" s="84"/>
      <c r="F574" s="84"/>
      <c r="G574" s="84"/>
      <c r="H574" s="84"/>
      <c r="I574" s="84"/>
      <c r="J574" s="84"/>
    </row>
    <row r="575" ht="15.75" customHeight="1">
      <c r="A575" s="84"/>
      <c r="B575" s="84"/>
      <c r="C575" s="84"/>
      <c r="D575" s="84"/>
      <c r="E575" s="84"/>
      <c r="F575" s="84"/>
      <c r="G575" s="84"/>
      <c r="H575" s="84"/>
      <c r="I575" s="84"/>
      <c r="J575" s="84"/>
    </row>
    <row r="576" ht="15.75" customHeight="1">
      <c r="A576" s="84"/>
      <c r="B576" s="84"/>
      <c r="C576" s="84"/>
      <c r="D576" s="84"/>
      <c r="E576" s="84"/>
      <c r="F576" s="84"/>
      <c r="G576" s="84"/>
      <c r="H576" s="84"/>
      <c r="I576" s="84"/>
      <c r="J576" s="84"/>
    </row>
    <row r="577" ht="15.75" customHeight="1">
      <c r="A577" s="84"/>
      <c r="B577" s="84"/>
      <c r="C577" s="84"/>
      <c r="D577" s="84"/>
      <c r="E577" s="84"/>
      <c r="F577" s="84"/>
      <c r="G577" s="84"/>
      <c r="H577" s="84"/>
      <c r="I577" s="84"/>
      <c r="J577" s="84"/>
    </row>
    <row r="578" ht="15.75" customHeight="1">
      <c r="A578" s="84"/>
      <c r="B578" s="84"/>
      <c r="C578" s="84"/>
      <c r="D578" s="84"/>
      <c r="E578" s="84"/>
      <c r="F578" s="84"/>
      <c r="G578" s="84"/>
      <c r="H578" s="84"/>
      <c r="I578" s="84"/>
      <c r="J578" s="84"/>
    </row>
    <row r="579" ht="15.75" customHeight="1">
      <c r="A579" s="84"/>
      <c r="B579" s="84"/>
      <c r="C579" s="84"/>
      <c r="D579" s="84"/>
      <c r="E579" s="84"/>
      <c r="F579" s="84"/>
      <c r="G579" s="84"/>
      <c r="H579" s="84"/>
      <c r="I579" s="84"/>
      <c r="J579" s="84"/>
    </row>
    <row r="580" ht="15.75" customHeight="1">
      <c r="A580" s="84"/>
      <c r="B580" s="84"/>
      <c r="C580" s="84"/>
      <c r="D580" s="84"/>
      <c r="E580" s="84"/>
      <c r="F580" s="84"/>
      <c r="G580" s="84"/>
      <c r="H580" s="84"/>
      <c r="I580" s="84"/>
      <c r="J580" s="84"/>
    </row>
    <row r="581" ht="15.75" customHeight="1">
      <c r="A581" s="84"/>
      <c r="B581" s="84"/>
      <c r="C581" s="84"/>
      <c r="D581" s="84"/>
      <c r="E581" s="84"/>
      <c r="F581" s="84"/>
      <c r="G581" s="84"/>
      <c r="H581" s="84"/>
      <c r="I581" s="84"/>
      <c r="J581" s="84"/>
    </row>
    <row r="582" ht="15.75" customHeight="1">
      <c r="A582" s="84"/>
      <c r="B582" s="84"/>
      <c r="C582" s="84"/>
      <c r="D582" s="84"/>
      <c r="E582" s="84"/>
      <c r="F582" s="84"/>
      <c r="G582" s="84"/>
      <c r="H582" s="84"/>
      <c r="I582" s="84"/>
      <c r="J582" s="84"/>
    </row>
    <row r="583" ht="15.75" customHeight="1">
      <c r="A583" s="84"/>
      <c r="B583" s="84"/>
      <c r="C583" s="84"/>
      <c r="D583" s="84"/>
      <c r="E583" s="84"/>
      <c r="F583" s="84"/>
      <c r="G583" s="84"/>
      <c r="H583" s="84"/>
      <c r="I583" s="84"/>
      <c r="J583" s="84"/>
    </row>
    <row r="584" ht="15.75" customHeight="1">
      <c r="A584" s="84"/>
      <c r="B584" s="84"/>
      <c r="C584" s="84"/>
      <c r="D584" s="84"/>
      <c r="E584" s="84"/>
      <c r="F584" s="84"/>
      <c r="G584" s="84"/>
      <c r="H584" s="84"/>
      <c r="I584" s="84"/>
      <c r="J584" s="84"/>
    </row>
    <row r="585" ht="15.75" customHeight="1">
      <c r="A585" s="84"/>
      <c r="B585" s="84"/>
      <c r="C585" s="84"/>
      <c r="D585" s="84"/>
      <c r="E585" s="84"/>
      <c r="F585" s="84"/>
      <c r="G585" s="84"/>
      <c r="H585" s="84"/>
      <c r="I585" s="84"/>
      <c r="J585" s="84"/>
    </row>
    <row r="586" ht="15.75" customHeight="1">
      <c r="A586" s="84"/>
      <c r="B586" s="84"/>
      <c r="C586" s="84"/>
      <c r="D586" s="84"/>
      <c r="E586" s="84"/>
      <c r="F586" s="84"/>
      <c r="G586" s="84"/>
      <c r="H586" s="84"/>
      <c r="I586" s="84"/>
      <c r="J586" s="84"/>
    </row>
    <row r="587" ht="15.75" customHeight="1">
      <c r="A587" s="84"/>
      <c r="B587" s="84"/>
      <c r="C587" s="84"/>
      <c r="D587" s="84"/>
      <c r="E587" s="84"/>
      <c r="F587" s="84"/>
      <c r="G587" s="84"/>
      <c r="H587" s="84"/>
      <c r="I587" s="84"/>
      <c r="J587" s="84"/>
    </row>
    <row r="588" ht="15.75" customHeight="1">
      <c r="A588" s="84"/>
      <c r="B588" s="84"/>
      <c r="C588" s="84"/>
      <c r="D588" s="84"/>
      <c r="E588" s="84"/>
      <c r="F588" s="84"/>
      <c r="G588" s="84"/>
      <c r="H588" s="84"/>
      <c r="I588" s="84"/>
      <c r="J588" s="84"/>
    </row>
    <row r="589" ht="15.75" customHeight="1">
      <c r="A589" s="84"/>
      <c r="B589" s="84"/>
      <c r="C589" s="84"/>
      <c r="D589" s="84"/>
      <c r="E589" s="84"/>
      <c r="F589" s="84"/>
      <c r="G589" s="84"/>
      <c r="H589" s="84"/>
      <c r="I589" s="84"/>
      <c r="J589" s="84"/>
    </row>
    <row r="590" ht="15.75" customHeight="1">
      <c r="A590" s="84"/>
      <c r="B590" s="84"/>
      <c r="C590" s="84"/>
      <c r="D590" s="84"/>
      <c r="E590" s="84"/>
      <c r="F590" s="84"/>
      <c r="G590" s="84"/>
      <c r="H590" s="84"/>
      <c r="I590" s="84"/>
      <c r="J590" s="84"/>
    </row>
    <row r="591" ht="15.75" customHeight="1">
      <c r="A591" s="84"/>
      <c r="B591" s="84"/>
      <c r="C591" s="84"/>
      <c r="D591" s="84"/>
      <c r="E591" s="84"/>
      <c r="F591" s="84"/>
      <c r="G591" s="84"/>
      <c r="H591" s="84"/>
      <c r="I591" s="84"/>
      <c r="J591" s="84"/>
    </row>
    <row r="592" ht="15.75" customHeight="1">
      <c r="A592" s="84"/>
      <c r="B592" s="84"/>
      <c r="C592" s="84"/>
      <c r="D592" s="84"/>
      <c r="E592" s="84"/>
      <c r="F592" s="84"/>
      <c r="G592" s="84"/>
      <c r="H592" s="84"/>
      <c r="I592" s="84"/>
      <c r="J592" s="84"/>
    </row>
    <row r="593" ht="15.75" customHeight="1">
      <c r="A593" s="84"/>
      <c r="B593" s="84"/>
      <c r="C593" s="84"/>
      <c r="D593" s="84"/>
      <c r="E593" s="84"/>
      <c r="F593" s="84"/>
      <c r="G593" s="84"/>
      <c r="H593" s="84"/>
      <c r="I593" s="84"/>
      <c r="J593" s="84"/>
    </row>
    <row r="594" ht="15.75" customHeight="1">
      <c r="A594" s="84"/>
      <c r="B594" s="84"/>
      <c r="C594" s="84"/>
      <c r="D594" s="84"/>
      <c r="E594" s="84"/>
      <c r="F594" s="84"/>
      <c r="G594" s="84"/>
      <c r="H594" s="84"/>
      <c r="I594" s="84"/>
      <c r="J594" s="84"/>
    </row>
    <row r="595" ht="15.75" customHeight="1">
      <c r="A595" s="84"/>
      <c r="B595" s="84"/>
      <c r="C595" s="84"/>
      <c r="D595" s="84"/>
      <c r="E595" s="84"/>
      <c r="F595" s="84"/>
      <c r="G595" s="84"/>
      <c r="H595" s="84"/>
      <c r="I595" s="84"/>
      <c r="J595" s="84"/>
    </row>
    <row r="596" ht="15.75" customHeight="1">
      <c r="A596" s="84"/>
      <c r="B596" s="84"/>
      <c r="C596" s="84"/>
      <c r="D596" s="84"/>
      <c r="E596" s="84"/>
      <c r="F596" s="84"/>
      <c r="G596" s="84"/>
      <c r="H596" s="84"/>
      <c r="I596" s="84"/>
      <c r="J596" s="84"/>
    </row>
    <row r="597" ht="15.75" customHeight="1">
      <c r="A597" s="84"/>
      <c r="B597" s="84"/>
      <c r="C597" s="84"/>
      <c r="D597" s="84"/>
      <c r="E597" s="84"/>
      <c r="F597" s="84"/>
      <c r="G597" s="84"/>
      <c r="H597" s="84"/>
      <c r="I597" s="84"/>
      <c r="J597" s="84"/>
    </row>
    <row r="598" ht="15.75" customHeight="1">
      <c r="A598" s="84"/>
      <c r="B598" s="84"/>
      <c r="C598" s="84"/>
      <c r="D598" s="84"/>
      <c r="E598" s="84"/>
      <c r="F598" s="84"/>
      <c r="G598" s="84"/>
      <c r="H598" s="84"/>
      <c r="I598" s="84"/>
      <c r="J598" s="84"/>
    </row>
    <row r="599" ht="15.75" customHeight="1">
      <c r="A599" s="84"/>
      <c r="B599" s="84"/>
      <c r="C599" s="84"/>
      <c r="D599" s="84"/>
      <c r="E599" s="84"/>
      <c r="F599" s="84"/>
      <c r="G599" s="84"/>
      <c r="H599" s="84"/>
      <c r="I599" s="84"/>
      <c r="J599" s="84"/>
    </row>
    <row r="600" ht="15.75" customHeight="1">
      <c r="A600" s="84"/>
      <c r="B600" s="84"/>
      <c r="C600" s="84"/>
      <c r="D600" s="84"/>
      <c r="E600" s="84"/>
      <c r="F600" s="84"/>
      <c r="G600" s="84"/>
      <c r="H600" s="84"/>
      <c r="I600" s="84"/>
      <c r="J600" s="84"/>
    </row>
    <row r="601" ht="15.75" customHeight="1">
      <c r="A601" s="84"/>
      <c r="B601" s="84"/>
      <c r="C601" s="84"/>
      <c r="D601" s="84"/>
      <c r="E601" s="84"/>
      <c r="F601" s="84"/>
      <c r="G601" s="84"/>
      <c r="H601" s="84"/>
      <c r="I601" s="84"/>
      <c r="J601" s="84"/>
    </row>
    <row r="602" ht="15.75" customHeight="1">
      <c r="A602" s="84"/>
      <c r="B602" s="84"/>
      <c r="C602" s="84"/>
      <c r="D602" s="84"/>
      <c r="E602" s="84"/>
      <c r="F602" s="84"/>
      <c r="G602" s="84"/>
      <c r="H602" s="84"/>
      <c r="I602" s="84"/>
      <c r="J602" s="84"/>
    </row>
    <row r="603" ht="15.75" customHeight="1">
      <c r="A603" s="84"/>
      <c r="B603" s="84"/>
      <c r="C603" s="84"/>
      <c r="D603" s="84"/>
      <c r="E603" s="84"/>
      <c r="F603" s="84"/>
      <c r="G603" s="84"/>
      <c r="H603" s="84"/>
      <c r="I603" s="84"/>
      <c r="J603" s="84"/>
    </row>
    <row r="604" ht="15.75" customHeight="1">
      <c r="A604" s="84"/>
      <c r="B604" s="84"/>
      <c r="C604" s="84"/>
      <c r="D604" s="84"/>
      <c r="E604" s="84"/>
      <c r="F604" s="84"/>
      <c r="G604" s="84"/>
      <c r="H604" s="84"/>
      <c r="I604" s="84"/>
      <c r="J604" s="84"/>
    </row>
    <row r="605" ht="15.75" customHeight="1">
      <c r="A605" s="84"/>
      <c r="B605" s="84"/>
      <c r="C605" s="84"/>
      <c r="D605" s="84"/>
      <c r="E605" s="84"/>
      <c r="F605" s="84"/>
      <c r="G605" s="84"/>
      <c r="H605" s="84"/>
      <c r="I605" s="84"/>
      <c r="J605" s="84"/>
    </row>
    <row r="606" ht="15.75" customHeight="1">
      <c r="A606" s="84"/>
      <c r="B606" s="84"/>
      <c r="C606" s="84"/>
      <c r="D606" s="84"/>
      <c r="E606" s="84"/>
      <c r="F606" s="84"/>
      <c r="G606" s="84"/>
      <c r="H606" s="84"/>
      <c r="I606" s="84"/>
      <c r="J606" s="84"/>
    </row>
    <row r="607" ht="15.75" customHeight="1">
      <c r="A607" s="84"/>
      <c r="B607" s="84"/>
      <c r="C607" s="84"/>
      <c r="D607" s="84"/>
      <c r="E607" s="84"/>
      <c r="F607" s="84"/>
      <c r="G607" s="84"/>
      <c r="H607" s="84"/>
      <c r="I607" s="84"/>
      <c r="J607" s="84"/>
    </row>
    <row r="608" ht="15.75" customHeight="1">
      <c r="A608" s="84"/>
      <c r="B608" s="84"/>
      <c r="C608" s="84"/>
      <c r="D608" s="84"/>
      <c r="E608" s="84"/>
      <c r="F608" s="84"/>
      <c r="G608" s="84"/>
      <c r="H608" s="84"/>
      <c r="I608" s="84"/>
      <c r="J608" s="84"/>
    </row>
    <row r="609" ht="15.75" customHeight="1">
      <c r="A609" s="84"/>
      <c r="B609" s="84"/>
      <c r="C609" s="84"/>
      <c r="D609" s="84"/>
      <c r="E609" s="84"/>
      <c r="F609" s="84"/>
      <c r="G609" s="84"/>
      <c r="H609" s="84"/>
      <c r="I609" s="84"/>
      <c r="J609" s="84"/>
    </row>
    <row r="610" ht="15.75" customHeight="1">
      <c r="A610" s="84"/>
      <c r="B610" s="84"/>
      <c r="C610" s="84"/>
      <c r="D610" s="84"/>
      <c r="E610" s="84"/>
      <c r="F610" s="84"/>
      <c r="G610" s="84"/>
      <c r="H610" s="84"/>
      <c r="I610" s="84"/>
      <c r="J610" s="84"/>
    </row>
    <row r="611" ht="15.75" customHeight="1">
      <c r="A611" s="84"/>
      <c r="B611" s="84"/>
      <c r="C611" s="84"/>
      <c r="D611" s="84"/>
      <c r="E611" s="84"/>
      <c r="F611" s="84"/>
      <c r="G611" s="84"/>
      <c r="H611" s="84"/>
      <c r="I611" s="84"/>
      <c r="J611" s="84"/>
    </row>
    <row r="612" ht="15.75" customHeight="1">
      <c r="A612" s="84"/>
      <c r="B612" s="84"/>
      <c r="C612" s="84"/>
      <c r="D612" s="84"/>
      <c r="E612" s="84"/>
      <c r="F612" s="84"/>
      <c r="G612" s="84"/>
      <c r="H612" s="84"/>
      <c r="I612" s="84"/>
      <c r="J612" s="84"/>
    </row>
    <row r="613" ht="15.75" customHeight="1">
      <c r="A613" s="84"/>
      <c r="B613" s="84"/>
      <c r="C613" s="84"/>
      <c r="D613" s="84"/>
      <c r="E613" s="84"/>
      <c r="F613" s="84"/>
      <c r="G613" s="84"/>
      <c r="H613" s="84"/>
      <c r="I613" s="84"/>
      <c r="J613" s="84"/>
    </row>
    <row r="614" ht="15.75" customHeight="1">
      <c r="A614" s="84"/>
      <c r="B614" s="84"/>
      <c r="C614" s="84"/>
      <c r="D614" s="84"/>
      <c r="E614" s="84"/>
      <c r="F614" s="84"/>
      <c r="G614" s="84"/>
      <c r="H614" s="84"/>
      <c r="I614" s="84"/>
      <c r="J614" s="84"/>
    </row>
    <row r="615" ht="15.75" customHeight="1">
      <c r="A615" s="84"/>
      <c r="B615" s="84"/>
      <c r="C615" s="84"/>
      <c r="D615" s="84"/>
      <c r="E615" s="84"/>
      <c r="F615" s="84"/>
      <c r="G615" s="84"/>
      <c r="H615" s="84"/>
      <c r="I615" s="84"/>
      <c r="J615" s="84"/>
    </row>
    <row r="616" ht="15.75" customHeight="1">
      <c r="A616" s="84"/>
      <c r="B616" s="84"/>
      <c r="C616" s="84"/>
      <c r="D616" s="84"/>
      <c r="E616" s="84"/>
      <c r="F616" s="84"/>
      <c r="G616" s="84"/>
      <c r="H616" s="84"/>
      <c r="I616" s="84"/>
      <c r="J616" s="84"/>
    </row>
    <row r="617" ht="15.75" customHeight="1">
      <c r="A617" s="84"/>
      <c r="B617" s="84"/>
      <c r="C617" s="84"/>
      <c r="D617" s="84"/>
      <c r="E617" s="84"/>
      <c r="F617" s="84"/>
      <c r="G617" s="84"/>
      <c r="H617" s="84"/>
      <c r="I617" s="84"/>
      <c r="J617" s="84"/>
    </row>
    <row r="618" ht="15.75" customHeight="1">
      <c r="A618" s="84"/>
      <c r="B618" s="84"/>
      <c r="C618" s="84"/>
      <c r="D618" s="84"/>
      <c r="E618" s="84"/>
      <c r="F618" s="84"/>
      <c r="G618" s="84"/>
      <c r="H618" s="84"/>
      <c r="I618" s="84"/>
      <c r="J618" s="84"/>
    </row>
    <row r="619" ht="15.75" customHeight="1">
      <c r="A619" s="84"/>
      <c r="B619" s="84"/>
      <c r="C619" s="84"/>
      <c r="D619" s="84"/>
      <c r="E619" s="84"/>
      <c r="F619" s="84"/>
      <c r="G619" s="84"/>
      <c r="H619" s="84"/>
      <c r="I619" s="84"/>
      <c r="J619" s="84"/>
    </row>
    <row r="620" ht="15.75" customHeight="1">
      <c r="A620" s="84"/>
      <c r="B620" s="84"/>
      <c r="C620" s="84"/>
      <c r="D620" s="84"/>
      <c r="E620" s="84"/>
      <c r="F620" s="84"/>
      <c r="G620" s="84"/>
      <c r="H620" s="84"/>
      <c r="I620" s="84"/>
      <c r="J620" s="84"/>
    </row>
    <row r="621" ht="15.75" customHeight="1">
      <c r="A621" s="84"/>
      <c r="B621" s="84"/>
      <c r="C621" s="84"/>
      <c r="D621" s="84"/>
      <c r="E621" s="84"/>
      <c r="F621" s="84"/>
      <c r="G621" s="84"/>
      <c r="H621" s="84"/>
      <c r="I621" s="84"/>
      <c r="J621" s="84"/>
    </row>
    <row r="622" ht="15.75" customHeight="1">
      <c r="A622" s="84"/>
      <c r="B622" s="84"/>
      <c r="C622" s="84"/>
      <c r="D622" s="84"/>
      <c r="E622" s="84"/>
      <c r="F622" s="84"/>
      <c r="G622" s="84"/>
      <c r="H622" s="84"/>
      <c r="I622" s="84"/>
      <c r="J622" s="84"/>
    </row>
    <row r="623" ht="15.75" customHeight="1">
      <c r="A623" s="84"/>
      <c r="B623" s="84"/>
      <c r="C623" s="84"/>
      <c r="D623" s="84"/>
      <c r="E623" s="84"/>
      <c r="F623" s="84"/>
      <c r="G623" s="84"/>
      <c r="H623" s="84"/>
      <c r="I623" s="84"/>
      <c r="J623" s="84"/>
    </row>
    <row r="624" ht="15.75" customHeight="1">
      <c r="A624" s="84"/>
      <c r="B624" s="84"/>
      <c r="C624" s="84"/>
      <c r="D624" s="84"/>
      <c r="E624" s="84"/>
      <c r="F624" s="84"/>
      <c r="G624" s="84"/>
      <c r="H624" s="84"/>
      <c r="I624" s="84"/>
      <c r="J624" s="84"/>
    </row>
    <row r="625" ht="15.75" customHeight="1">
      <c r="A625" s="84"/>
      <c r="B625" s="84"/>
      <c r="C625" s="84"/>
      <c r="D625" s="84"/>
      <c r="E625" s="84"/>
      <c r="F625" s="84"/>
      <c r="G625" s="84"/>
      <c r="H625" s="84"/>
      <c r="I625" s="84"/>
      <c r="J625" s="84"/>
    </row>
    <row r="626" ht="15.75" customHeight="1">
      <c r="A626" s="84"/>
      <c r="B626" s="84"/>
      <c r="C626" s="84"/>
      <c r="D626" s="84"/>
      <c r="E626" s="84"/>
      <c r="F626" s="84"/>
      <c r="G626" s="84"/>
      <c r="H626" s="84"/>
      <c r="I626" s="84"/>
      <c r="J626" s="84"/>
    </row>
    <row r="627" ht="15.75" customHeight="1">
      <c r="A627" s="84"/>
      <c r="B627" s="84"/>
      <c r="C627" s="84"/>
      <c r="D627" s="84"/>
      <c r="E627" s="84"/>
      <c r="F627" s="84"/>
      <c r="G627" s="84"/>
      <c r="H627" s="84"/>
      <c r="I627" s="84"/>
      <c r="J627" s="84"/>
    </row>
    <row r="628" ht="15.75" customHeight="1">
      <c r="A628" s="84"/>
      <c r="B628" s="84"/>
      <c r="C628" s="84"/>
      <c r="D628" s="84"/>
      <c r="E628" s="84"/>
      <c r="F628" s="84"/>
      <c r="G628" s="84"/>
      <c r="H628" s="84"/>
      <c r="I628" s="84"/>
      <c r="J628" s="84"/>
    </row>
    <row r="629" ht="15.75" customHeight="1">
      <c r="A629" s="84"/>
      <c r="B629" s="84"/>
      <c r="C629" s="84"/>
      <c r="D629" s="84"/>
      <c r="E629" s="84"/>
      <c r="F629" s="84"/>
      <c r="G629" s="84"/>
      <c r="H629" s="84"/>
      <c r="I629" s="84"/>
      <c r="J629" s="84"/>
    </row>
    <row r="630" ht="15.75" customHeight="1">
      <c r="A630" s="84"/>
      <c r="B630" s="84"/>
      <c r="C630" s="84"/>
      <c r="D630" s="84"/>
      <c r="E630" s="84"/>
      <c r="F630" s="84"/>
      <c r="G630" s="84"/>
      <c r="H630" s="84"/>
      <c r="I630" s="84"/>
      <c r="J630" s="84"/>
    </row>
    <row r="631" ht="15.75" customHeight="1">
      <c r="A631" s="84"/>
      <c r="B631" s="84"/>
      <c r="C631" s="84"/>
      <c r="D631" s="84"/>
      <c r="E631" s="84"/>
      <c r="F631" s="84"/>
      <c r="G631" s="84"/>
      <c r="H631" s="84"/>
      <c r="I631" s="84"/>
      <c r="J631" s="84"/>
    </row>
    <row r="632" ht="15.75" customHeight="1">
      <c r="A632" s="84"/>
      <c r="B632" s="84"/>
      <c r="C632" s="84"/>
      <c r="D632" s="84"/>
      <c r="E632" s="84"/>
      <c r="F632" s="84"/>
      <c r="G632" s="84"/>
      <c r="H632" s="84"/>
      <c r="I632" s="84"/>
      <c r="J632" s="84"/>
    </row>
    <row r="633" ht="15.75" customHeight="1">
      <c r="A633" s="84"/>
      <c r="B633" s="84"/>
      <c r="C633" s="84"/>
      <c r="D633" s="84"/>
      <c r="E633" s="84"/>
      <c r="F633" s="84"/>
      <c r="G633" s="84"/>
      <c r="H633" s="84"/>
      <c r="I633" s="84"/>
      <c r="J633" s="84"/>
    </row>
    <row r="634" ht="15.75" customHeight="1">
      <c r="A634" s="84"/>
      <c r="B634" s="84"/>
      <c r="C634" s="84"/>
      <c r="D634" s="84"/>
      <c r="E634" s="84"/>
      <c r="F634" s="84"/>
      <c r="G634" s="84"/>
      <c r="H634" s="84"/>
      <c r="I634" s="84"/>
      <c r="J634" s="84"/>
    </row>
    <row r="635" ht="15.75" customHeight="1">
      <c r="A635" s="84"/>
      <c r="B635" s="84"/>
      <c r="C635" s="84"/>
      <c r="D635" s="84"/>
      <c r="E635" s="84"/>
      <c r="F635" s="84"/>
      <c r="G635" s="84"/>
      <c r="H635" s="84"/>
      <c r="I635" s="84"/>
      <c r="J635" s="84"/>
    </row>
    <row r="636" ht="15.75" customHeight="1">
      <c r="A636" s="84"/>
      <c r="B636" s="84"/>
      <c r="C636" s="84"/>
      <c r="D636" s="84"/>
      <c r="E636" s="84"/>
      <c r="F636" s="84"/>
      <c r="G636" s="84"/>
      <c r="H636" s="84"/>
      <c r="I636" s="84"/>
      <c r="J636" s="84"/>
    </row>
    <row r="637" ht="15.75" customHeight="1">
      <c r="A637" s="84"/>
      <c r="B637" s="84"/>
      <c r="C637" s="84"/>
      <c r="D637" s="84"/>
      <c r="E637" s="84"/>
      <c r="F637" s="84"/>
      <c r="G637" s="84"/>
      <c r="H637" s="84"/>
      <c r="I637" s="84"/>
      <c r="J637" s="84"/>
    </row>
    <row r="638" ht="15.75" customHeight="1">
      <c r="A638" s="84"/>
      <c r="B638" s="84"/>
      <c r="C638" s="84"/>
      <c r="D638" s="84"/>
      <c r="E638" s="84"/>
      <c r="F638" s="84"/>
      <c r="G638" s="84"/>
      <c r="H638" s="84"/>
      <c r="I638" s="84"/>
      <c r="J638" s="84"/>
    </row>
    <row r="639" ht="15.75" customHeight="1">
      <c r="A639" s="84"/>
      <c r="B639" s="84"/>
      <c r="C639" s="84"/>
      <c r="D639" s="84"/>
      <c r="E639" s="84"/>
      <c r="F639" s="84"/>
      <c r="G639" s="84"/>
      <c r="H639" s="84"/>
      <c r="I639" s="84"/>
      <c r="J639" s="84"/>
    </row>
    <row r="640" ht="15.75" customHeight="1">
      <c r="A640" s="84"/>
      <c r="B640" s="84"/>
      <c r="C640" s="84"/>
      <c r="D640" s="84"/>
      <c r="E640" s="84"/>
      <c r="F640" s="84"/>
      <c r="G640" s="84"/>
      <c r="H640" s="84"/>
      <c r="I640" s="84"/>
      <c r="J640" s="84"/>
    </row>
    <row r="641" ht="15.75" customHeight="1">
      <c r="A641" s="84"/>
      <c r="B641" s="84"/>
      <c r="C641" s="84"/>
      <c r="D641" s="84"/>
      <c r="E641" s="84"/>
      <c r="F641" s="84"/>
      <c r="G641" s="84"/>
      <c r="H641" s="84"/>
      <c r="I641" s="84"/>
      <c r="J641" s="84"/>
    </row>
    <row r="642" ht="15.75" customHeight="1">
      <c r="A642" s="84"/>
      <c r="B642" s="84"/>
      <c r="C642" s="84"/>
      <c r="D642" s="84"/>
      <c r="E642" s="84"/>
      <c r="F642" s="84"/>
      <c r="G642" s="84"/>
      <c r="H642" s="84"/>
      <c r="I642" s="84"/>
      <c r="J642" s="84"/>
    </row>
    <row r="643" ht="15.75" customHeight="1">
      <c r="A643" s="84"/>
      <c r="B643" s="84"/>
      <c r="C643" s="84"/>
      <c r="D643" s="84"/>
      <c r="E643" s="84"/>
      <c r="F643" s="84"/>
      <c r="G643" s="84"/>
      <c r="H643" s="84"/>
      <c r="I643" s="84"/>
      <c r="J643" s="84"/>
    </row>
    <row r="644" ht="15.75" customHeight="1">
      <c r="A644" s="84"/>
      <c r="B644" s="84"/>
      <c r="C644" s="84"/>
      <c r="D644" s="84"/>
      <c r="E644" s="84"/>
      <c r="F644" s="84"/>
      <c r="G644" s="84"/>
      <c r="H644" s="84"/>
      <c r="I644" s="84"/>
      <c r="J644" s="84"/>
    </row>
    <row r="645" ht="15.75" customHeight="1">
      <c r="A645" s="84"/>
      <c r="B645" s="84"/>
      <c r="C645" s="84"/>
      <c r="D645" s="84"/>
      <c r="E645" s="84"/>
      <c r="F645" s="84"/>
      <c r="G645" s="84"/>
      <c r="H645" s="84"/>
      <c r="I645" s="84"/>
      <c r="J645" s="84"/>
    </row>
    <row r="646" ht="15.75" customHeight="1">
      <c r="A646" s="84"/>
      <c r="B646" s="84"/>
      <c r="C646" s="84"/>
      <c r="D646" s="84"/>
      <c r="E646" s="84"/>
      <c r="F646" s="84"/>
      <c r="G646" s="84"/>
      <c r="H646" s="84"/>
      <c r="I646" s="84"/>
      <c r="J646" s="84"/>
    </row>
    <row r="647" ht="15.75" customHeight="1">
      <c r="A647" s="84"/>
      <c r="B647" s="84"/>
      <c r="C647" s="84"/>
      <c r="D647" s="84"/>
      <c r="E647" s="84"/>
      <c r="F647" s="84"/>
      <c r="G647" s="84"/>
      <c r="H647" s="84"/>
      <c r="I647" s="84"/>
      <c r="J647" s="84"/>
    </row>
    <row r="648" ht="15.75" customHeight="1">
      <c r="A648" s="84"/>
      <c r="B648" s="84"/>
      <c r="C648" s="84"/>
      <c r="D648" s="84"/>
      <c r="E648" s="84"/>
      <c r="F648" s="84"/>
      <c r="G648" s="84"/>
      <c r="H648" s="84"/>
      <c r="I648" s="84"/>
      <c r="J648" s="84"/>
    </row>
    <row r="649" ht="15.75" customHeight="1">
      <c r="A649" s="84"/>
      <c r="B649" s="84"/>
      <c r="C649" s="84"/>
      <c r="D649" s="84"/>
      <c r="E649" s="84"/>
      <c r="F649" s="84"/>
      <c r="G649" s="84"/>
      <c r="H649" s="84"/>
      <c r="I649" s="84"/>
      <c r="J649" s="84"/>
    </row>
    <row r="650" ht="15.75" customHeight="1">
      <c r="A650" s="84"/>
      <c r="B650" s="84"/>
      <c r="C650" s="84"/>
      <c r="D650" s="84"/>
      <c r="E650" s="84"/>
      <c r="F650" s="84"/>
      <c r="G650" s="84"/>
      <c r="H650" s="84"/>
      <c r="I650" s="84"/>
      <c r="J650" s="84"/>
    </row>
    <row r="651" ht="15.75" customHeight="1">
      <c r="A651" s="84"/>
      <c r="B651" s="84"/>
      <c r="C651" s="84"/>
      <c r="D651" s="84"/>
      <c r="E651" s="84"/>
      <c r="F651" s="84"/>
      <c r="G651" s="84"/>
      <c r="H651" s="84"/>
      <c r="I651" s="84"/>
      <c r="J651" s="84"/>
    </row>
    <row r="652" ht="15.75" customHeight="1">
      <c r="A652" s="84"/>
      <c r="B652" s="84"/>
      <c r="C652" s="84"/>
      <c r="D652" s="84"/>
      <c r="E652" s="84"/>
      <c r="F652" s="84"/>
      <c r="G652" s="84"/>
      <c r="H652" s="84"/>
      <c r="I652" s="84"/>
      <c r="J652" s="84"/>
    </row>
    <row r="653" ht="15.75" customHeight="1">
      <c r="A653" s="84"/>
      <c r="B653" s="84"/>
      <c r="C653" s="84"/>
      <c r="D653" s="84"/>
      <c r="E653" s="84"/>
      <c r="F653" s="84"/>
      <c r="G653" s="84"/>
      <c r="H653" s="84"/>
      <c r="I653" s="84"/>
      <c r="J653" s="84"/>
    </row>
    <row r="654" ht="15.75" customHeight="1">
      <c r="A654" s="84"/>
      <c r="B654" s="84"/>
      <c r="C654" s="84"/>
      <c r="D654" s="84"/>
      <c r="E654" s="84"/>
      <c r="F654" s="84"/>
      <c r="G654" s="84"/>
      <c r="H654" s="84"/>
      <c r="I654" s="84"/>
      <c r="J654" s="84"/>
    </row>
    <row r="655" ht="15.75" customHeight="1">
      <c r="A655" s="84"/>
      <c r="B655" s="84"/>
      <c r="C655" s="84"/>
      <c r="D655" s="84"/>
      <c r="E655" s="84"/>
      <c r="F655" s="84"/>
      <c r="G655" s="84"/>
      <c r="H655" s="84"/>
      <c r="I655" s="84"/>
      <c r="J655" s="84"/>
    </row>
    <row r="656" ht="15.75" customHeight="1">
      <c r="A656" s="84"/>
      <c r="B656" s="84"/>
      <c r="C656" s="84"/>
      <c r="D656" s="84"/>
      <c r="E656" s="84"/>
      <c r="F656" s="84"/>
      <c r="G656" s="84"/>
      <c r="H656" s="84"/>
      <c r="I656" s="84"/>
      <c r="J656" s="84"/>
    </row>
    <row r="657" ht="15.75" customHeight="1">
      <c r="A657" s="84"/>
      <c r="B657" s="84"/>
      <c r="C657" s="84"/>
      <c r="D657" s="84"/>
      <c r="E657" s="84"/>
      <c r="F657" s="84"/>
      <c r="G657" s="84"/>
      <c r="H657" s="84"/>
      <c r="I657" s="84"/>
      <c r="J657" s="84"/>
    </row>
    <row r="658" ht="15.75" customHeight="1">
      <c r="A658" s="84"/>
      <c r="B658" s="84"/>
      <c r="C658" s="84"/>
      <c r="D658" s="84"/>
      <c r="E658" s="84"/>
      <c r="F658" s="84"/>
      <c r="G658" s="84"/>
      <c r="H658" s="84"/>
      <c r="I658" s="84"/>
      <c r="J658" s="84"/>
    </row>
    <row r="659" ht="15.75" customHeight="1">
      <c r="A659" s="84"/>
      <c r="B659" s="84"/>
      <c r="C659" s="84"/>
      <c r="D659" s="84"/>
      <c r="E659" s="84"/>
      <c r="F659" s="84"/>
      <c r="G659" s="84"/>
      <c r="H659" s="84"/>
      <c r="I659" s="84"/>
      <c r="J659" s="84"/>
    </row>
    <row r="660" ht="15.75" customHeight="1">
      <c r="A660" s="84"/>
      <c r="B660" s="84"/>
      <c r="C660" s="84"/>
      <c r="D660" s="84"/>
      <c r="E660" s="84"/>
      <c r="F660" s="84"/>
      <c r="G660" s="84"/>
      <c r="H660" s="84"/>
      <c r="I660" s="84"/>
      <c r="J660" s="84"/>
    </row>
    <row r="661" ht="15.75" customHeight="1">
      <c r="A661" s="84"/>
      <c r="B661" s="84"/>
      <c r="C661" s="84"/>
      <c r="D661" s="84"/>
      <c r="E661" s="84"/>
      <c r="F661" s="84"/>
      <c r="G661" s="84"/>
      <c r="H661" s="84"/>
      <c r="I661" s="84"/>
      <c r="J661" s="84"/>
    </row>
    <row r="662" ht="15.75" customHeight="1">
      <c r="A662" s="84"/>
      <c r="B662" s="84"/>
      <c r="C662" s="84"/>
      <c r="D662" s="84"/>
      <c r="E662" s="84"/>
      <c r="F662" s="84"/>
      <c r="G662" s="84"/>
      <c r="H662" s="84"/>
      <c r="I662" s="84"/>
      <c r="J662" s="84"/>
    </row>
    <row r="663" ht="15.75" customHeight="1">
      <c r="A663" s="84"/>
      <c r="B663" s="84"/>
      <c r="C663" s="84"/>
      <c r="D663" s="84"/>
      <c r="E663" s="84"/>
      <c r="F663" s="84"/>
      <c r="G663" s="84"/>
      <c r="H663" s="84"/>
      <c r="I663" s="84"/>
      <c r="J663" s="84"/>
    </row>
    <row r="664" ht="15.75" customHeight="1">
      <c r="A664" s="84"/>
      <c r="B664" s="84"/>
      <c r="C664" s="84"/>
      <c r="D664" s="84"/>
      <c r="E664" s="84"/>
      <c r="F664" s="84"/>
      <c r="G664" s="84"/>
      <c r="H664" s="84"/>
      <c r="I664" s="84"/>
      <c r="J664" s="84"/>
    </row>
    <row r="665" ht="15.75" customHeight="1">
      <c r="A665" s="84"/>
      <c r="B665" s="84"/>
      <c r="C665" s="84"/>
      <c r="D665" s="84"/>
      <c r="E665" s="84"/>
      <c r="F665" s="84"/>
      <c r="G665" s="84"/>
      <c r="H665" s="84"/>
      <c r="I665" s="84"/>
      <c r="J665" s="84"/>
    </row>
    <row r="666" ht="15.75" customHeight="1">
      <c r="A666" s="84"/>
      <c r="B666" s="84"/>
      <c r="C666" s="84"/>
      <c r="D666" s="84"/>
      <c r="E666" s="84"/>
      <c r="F666" s="84"/>
      <c r="G666" s="84"/>
      <c r="H666" s="84"/>
      <c r="I666" s="84"/>
      <c r="J666" s="84"/>
    </row>
    <row r="667" ht="15.75" customHeight="1">
      <c r="A667" s="84"/>
      <c r="B667" s="84"/>
      <c r="C667" s="84"/>
      <c r="D667" s="84"/>
      <c r="E667" s="84"/>
      <c r="F667" s="84"/>
      <c r="G667" s="84"/>
      <c r="H667" s="84"/>
      <c r="I667" s="84"/>
      <c r="J667" s="84"/>
    </row>
    <row r="668" ht="15.75" customHeight="1">
      <c r="A668" s="84"/>
      <c r="B668" s="84"/>
      <c r="C668" s="84"/>
      <c r="D668" s="84"/>
      <c r="E668" s="84"/>
      <c r="F668" s="84"/>
      <c r="G668" s="84"/>
      <c r="H668" s="84"/>
      <c r="I668" s="84"/>
      <c r="J668" s="84"/>
    </row>
    <row r="669" ht="15.75" customHeight="1">
      <c r="A669" s="84"/>
      <c r="B669" s="84"/>
      <c r="C669" s="84"/>
      <c r="D669" s="84"/>
      <c r="E669" s="84"/>
      <c r="F669" s="84"/>
      <c r="G669" s="84"/>
      <c r="H669" s="84"/>
      <c r="I669" s="84"/>
      <c r="J669" s="84"/>
    </row>
    <row r="670" ht="15.75" customHeight="1">
      <c r="A670" s="84"/>
      <c r="B670" s="84"/>
      <c r="C670" s="84"/>
      <c r="D670" s="84"/>
      <c r="E670" s="84"/>
      <c r="F670" s="84"/>
      <c r="G670" s="84"/>
      <c r="H670" s="84"/>
      <c r="I670" s="84"/>
      <c r="J670" s="84"/>
    </row>
    <row r="671" ht="15.75" customHeight="1">
      <c r="A671" s="84"/>
      <c r="B671" s="84"/>
      <c r="C671" s="84"/>
      <c r="D671" s="84"/>
      <c r="E671" s="84"/>
      <c r="F671" s="84"/>
      <c r="G671" s="84"/>
      <c r="H671" s="84"/>
      <c r="I671" s="84"/>
      <c r="J671" s="84"/>
    </row>
    <row r="672" ht="15.75" customHeight="1">
      <c r="A672" s="84"/>
      <c r="B672" s="84"/>
      <c r="C672" s="84"/>
      <c r="D672" s="84"/>
      <c r="E672" s="84"/>
      <c r="F672" s="84"/>
      <c r="G672" s="84"/>
      <c r="H672" s="84"/>
      <c r="I672" s="84"/>
      <c r="J672" s="84"/>
    </row>
    <row r="673" ht="15.75" customHeight="1">
      <c r="A673" s="84"/>
      <c r="B673" s="84"/>
      <c r="C673" s="84"/>
      <c r="D673" s="84"/>
      <c r="E673" s="84"/>
      <c r="F673" s="84"/>
      <c r="G673" s="84"/>
      <c r="H673" s="84"/>
      <c r="I673" s="84"/>
      <c r="J673" s="84"/>
    </row>
    <row r="674" ht="15.75" customHeight="1">
      <c r="A674" s="84"/>
      <c r="B674" s="84"/>
      <c r="C674" s="84"/>
      <c r="D674" s="84"/>
      <c r="E674" s="84"/>
      <c r="F674" s="84"/>
      <c r="G674" s="84"/>
      <c r="H674" s="84"/>
      <c r="I674" s="84"/>
      <c r="J674" s="84"/>
    </row>
    <row r="675" ht="15.75" customHeight="1">
      <c r="A675" s="84"/>
      <c r="B675" s="84"/>
      <c r="C675" s="84"/>
      <c r="D675" s="84"/>
      <c r="E675" s="84"/>
      <c r="F675" s="84"/>
      <c r="G675" s="84"/>
      <c r="H675" s="84"/>
      <c r="I675" s="84"/>
      <c r="J675" s="84"/>
    </row>
    <row r="676" ht="15.75" customHeight="1">
      <c r="A676" s="84"/>
      <c r="B676" s="84"/>
      <c r="C676" s="84"/>
      <c r="D676" s="84"/>
      <c r="E676" s="84"/>
      <c r="F676" s="84"/>
      <c r="G676" s="84"/>
      <c r="H676" s="84"/>
      <c r="I676" s="84"/>
      <c r="J676" s="84"/>
    </row>
    <row r="677" ht="15.75" customHeight="1">
      <c r="A677" s="84"/>
      <c r="B677" s="84"/>
      <c r="C677" s="84"/>
      <c r="D677" s="84"/>
      <c r="E677" s="84"/>
      <c r="F677" s="84"/>
      <c r="G677" s="84"/>
      <c r="H677" s="84"/>
      <c r="I677" s="84"/>
      <c r="J677" s="84"/>
    </row>
    <row r="678" ht="15.75" customHeight="1">
      <c r="A678" s="84"/>
      <c r="B678" s="84"/>
      <c r="C678" s="84"/>
      <c r="D678" s="84"/>
      <c r="E678" s="84"/>
      <c r="F678" s="84"/>
      <c r="G678" s="84"/>
      <c r="H678" s="84"/>
      <c r="I678" s="84"/>
      <c r="J678" s="84"/>
    </row>
    <row r="679" ht="15.75" customHeight="1">
      <c r="A679" s="84"/>
      <c r="B679" s="84"/>
      <c r="C679" s="84"/>
      <c r="D679" s="84"/>
      <c r="E679" s="84"/>
      <c r="F679" s="84"/>
      <c r="G679" s="84"/>
      <c r="H679" s="84"/>
      <c r="I679" s="84"/>
      <c r="J679" s="84"/>
    </row>
    <row r="680" ht="15.75" customHeight="1">
      <c r="A680" s="84"/>
      <c r="B680" s="84"/>
      <c r="C680" s="84"/>
      <c r="D680" s="84"/>
      <c r="E680" s="84"/>
      <c r="F680" s="84"/>
      <c r="G680" s="84"/>
      <c r="H680" s="84"/>
      <c r="I680" s="84"/>
      <c r="J680" s="84"/>
    </row>
    <row r="681" ht="15.75" customHeight="1">
      <c r="A681" s="84"/>
      <c r="B681" s="84"/>
      <c r="C681" s="84"/>
      <c r="D681" s="84"/>
      <c r="E681" s="84"/>
      <c r="F681" s="84"/>
      <c r="G681" s="84"/>
      <c r="H681" s="84"/>
      <c r="I681" s="84"/>
      <c r="J681" s="84"/>
    </row>
    <row r="682" ht="15.75" customHeight="1">
      <c r="A682" s="84"/>
      <c r="B682" s="84"/>
      <c r="C682" s="84"/>
      <c r="D682" s="84"/>
      <c r="E682" s="84"/>
      <c r="F682" s="84"/>
      <c r="G682" s="84"/>
      <c r="H682" s="84"/>
      <c r="I682" s="84"/>
      <c r="J682" s="84"/>
    </row>
    <row r="683" ht="15.75" customHeight="1">
      <c r="A683" s="84"/>
      <c r="B683" s="84"/>
      <c r="C683" s="84"/>
      <c r="D683" s="84"/>
      <c r="E683" s="84"/>
      <c r="F683" s="84"/>
      <c r="G683" s="84"/>
      <c r="H683" s="84"/>
      <c r="I683" s="84"/>
      <c r="J683" s="84"/>
    </row>
    <row r="684" ht="15.75" customHeight="1">
      <c r="A684" s="84"/>
      <c r="B684" s="84"/>
      <c r="C684" s="84"/>
      <c r="D684" s="84"/>
      <c r="E684" s="84"/>
      <c r="F684" s="84"/>
      <c r="G684" s="84"/>
      <c r="H684" s="84"/>
      <c r="I684" s="84"/>
      <c r="J684" s="84"/>
    </row>
    <row r="685" ht="15.75" customHeight="1">
      <c r="A685" s="84"/>
      <c r="B685" s="84"/>
      <c r="C685" s="84"/>
      <c r="D685" s="84"/>
      <c r="E685" s="84"/>
      <c r="F685" s="84"/>
      <c r="G685" s="84"/>
      <c r="H685" s="84"/>
      <c r="I685" s="84"/>
      <c r="J685" s="84"/>
    </row>
    <row r="686" ht="15.75" customHeight="1">
      <c r="A686" s="84"/>
      <c r="B686" s="84"/>
      <c r="C686" s="84"/>
      <c r="D686" s="84"/>
      <c r="E686" s="84"/>
      <c r="F686" s="84"/>
      <c r="G686" s="84"/>
      <c r="H686" s="84"/>
      <c r="I686" s="84"/>
      <c r="J686" s="84"/>
    </row>
    <row r="687" ht="15.75" customHeight="1">
      <c r="A687" s="84"/>
      <c r="B687" s="84"/>
      <c r="C687" s="84"/>
      <c r="D687" s="84"/>
      <c r="E687" s="84"/>
      <c r="F687" s="84"/>
      <c r="G687" s="84"/>
      <c r="H687" s="84"/>
      <c r="I687" s="84"/>
      <c r="J687" s="84"/>
    </row>
    <row r="688" ht="15.75" customHeight="1">
      <c r="A688" s="84"/>
      <c r="B688" s="84"/>
      <c r="C688" s="84"/>
      <c r="D688" s="84"/>
      <c r="E688" s="84"/>
      <c r="F688" s="84"/>
      <c r="G688" s="84"/>
      <c r="H688" s="84"/>
      <c r="I688" s="84"/>
      <c r="J688" s="84"/>
    </row>
    <row r="689" ht="15.75" customHeight="1">
      <c r="A689" s="84"/>
      <c r="B689" s="84"/>
      <c r="C689" s="84"/>
      <c r="D689" s="84"/>
      <c r="E689" s="84"/>
      <c r="F689" s="84"/>
      <c r="G689" s="84"/>
      <c r="H689" s="84"/>
      <c r="I689" s="84"/>
      <c r="J689" s="84"/>
    </row>
    <row r="690" ht="15.75" customHeight="1">
      <c r="A690" s="84"/>
      <c r="B690" s="84"/>
      <c r="C690" s="84"/>
      <c r="D690" s="84"/>
      <c r="E690" s="84"/>
      <c r="F690" s="84"/>
      <c r="G690" s="84"/>
      <c r="H690" s="84"/>
      <c r="I690" s="84"/>
      <c r="J690" s="84"/>
    </row>
    <row r="691" ht="15.75" customHeight="1">
      <c r="A691" s="84"/>
      <c r="B691" s="84"/>
      <c r="C691" s="84"/>
      <c r="D691" s="84"/>
      <c r="E691" s="84"/>
      <c r="F691" s="84"/>
      <c r="G691" s="84"/>
      <c r="H691" s="84"/>
      <c r="I691" s="84"/>
      <c r="J691" s="84"/>
    </row>
    <row r="692" ht="15.75" customHeight="1">
      <c r="A692" s="84"/>
      <c r="B692" s="84"/>
      <c r="C692" s="84"/>
      <c r="D692" s="84"/>
      <c r="E692" s="84"/>
      <c r="F692" s="84"/>
      <c r="G692" s="84"/>
      <c r="H692" s="84"/>
      <c r="I692" s="84"/>
      <c r="J692" s="84"/>
    </row>
    <row r="693" ht="15.75" customHeight="1">
      <c r="A693" s="84"/>
      <c r="B693" s="84"/>
      <c r="C693" s="84"/>
      <c r="D693" s="84"/>
      <c r="E693" s="84"/>
      <c r="F693" s="84"/>
      <c r="G693" s="84"/>
      <c r="H693" s="84"/>
      <c r="I693" s="84"/>
      <c r="J693" s="84"/>
    </row>
    <row r="694" ht="15.75" customHeight="1">
      <c r="A694" s="84"/>
      <c r="B694" s="84"/>
      <c r="C694" s="84"/>
      <c r="D694" s="84"/>
      <c r="E694" s="84"/>
      <c r="F694" s="84"/>
      <c r="G694" s="84"/>
      <c r="H694" s="84"/>
      <c r="I694" s="84"/>
      <c r="J694" s="84"/>
    </row>
    <row r="695" ht="15.75" customHeight="1">
      <c r="A695" s="84"/>
      <c r="B695" s="84"/>
      <c r="C695" s="84"/>
      <c r="D695" s="84"/>
      <c r="E695" s="84"/>
      <c r="F695" s="84"/>
      <c r="G695" s="84"/>
      <c r="H695" s="84"/>
      <c r="I695" s="84"/>
      <c r="J695" s="84"/>
    </row>
    <row r="696" ht="15.75" customHeight="1">
      <c r="A696" s="84"/>
      <c r="B696" s="84"/>
      <c r="C696" s="84"/>
      <c r="D696" s="84"/>
      <c r="E696" s="84"/>
      <c r="F696" s="84"/>
      <c r="G696" s="84"/>
      <c r="H696" s="84"/>
      <c r="I696" s="84"/>
      <c r="J696" s="84"/>
    </row>
    <row r="697" ht="15.75" customHeight="1">
      <c r="A697" s="84"/>
      <c r="B697" s="84"/>
      <c r="C697" s="84"/>
      <c r="D697" s="84"/>
      <c r="E697" s="84"/>
      <c r="F697" s="84"/>
      <c r="G697" s="84"/>
      <c r="H697" s="84"/>
      <c r="I697" s="84"/>
      <c r="J697" s="84"/>
    </row>
    <row r="698" ht="15.75" customHeight="1">
      <c r="A698" s="84"/>
      <c r="B698" s="84"/>
      <c r="C698" s="84"/>
      <c r="D698" s="84"/>
      <c r="E698" s="84"/>
      <c r="F698" s="84"/>
      <c r="G698" s="84"/>
      <c r="H698" s="84"/>
      <c r="I698" s="84"/>
      <c r="J698" s="84"/>
    </row>
    <row r="699" ht="15.75" customHeight="1">
      <c r="A699" s="84"/>
      <c r="B699" s="84"/>
      <c r="C699" s="84"/>
      <c r="D699" s="84"/>
      <c r="E699" s="84"/>
      <c r="F699" s="84"/>
      <c r="G699" s="84"/>
      <c r="H699" s="84"/>
      <c r="I699" s="84"/>
      <c r="J699" s="84"/>
    </row>
    <row r="700" ht="15.75" customHeight="1">
      <c r="A700" s="84"/>
      <c r="B700" s="84"/>
      <c r="C700" s="84"/>
      <c r="D700" s="84"/>
      <c r="E700" s="84"/>
      <c r="F700" s="84"/>
      <c r="G700" s="84"/>
      <c r="H700" s="84"/>
      <c r="I700" s="84"/>
      <c r="J700" s="84"/>
    </row>
    <row r="701" ht="15.75" customHeight="1">
      <c r="A701" s="84"/>
      <c r="B701" s="84"/>
      <c r="C701" s="84"/>
      <c r="D701" s="84"/>
      <c r="E701" s="84"/>
      <c r="F701" s="84"/>
      <c r="G701" s="84"/>
      <c r="H701" s="84"/>
      <c r="I701" s="84"/>
      <c r="J701" s="84"/>
    </row>
    <row r="702" ht="15.75" customHeight="1">
      <c r="A702" s="84"/>
      <c r="B702" s="84"/>
      <c r="C702" s="84"/>
      <c r="D702" s="84"/>
      <c r="E702" s="84"/>
      <c r="F702" s="84"/>
      <c r="G702" s="84"/>
      <c r="H702" s="84"/>
      <c r="I702" s="84"/>
      <c r="J702" s="84"/>
    </row>
    <row r="703" ht="15.75" customHeight="1">
      <c r="A703" s="84"/>
      <c r="B703" s="84"/>
      <c r="C703" s="84"/>
      <c r="D703" s="84"/>
      <c r="E703" s="84"/>
      <c r="F703" s="84"/>
      <c r="G703" s="84"/>
      <c r="H703" s="84"/>
      <c r="I703" s="84"/>
      <c r="J703" s="84"/>
    </row>
    <row r="704" ht="15.75" customHeight="1">
      <c r="A704" s="84"/>
      <c r="B704" s="84"/>
      <c r="C704" s="84"/>
      <c r="D704" s="84"/>
      <c r="E704" s="84"/>
      <c r="F704" s="84"/>
      <c r="G704" s="84"/>
      <c r="H704" s="84"/>
      <c r="I704" s="84"/>
      <c r="J704" s="84"/>
    </row>
    <row r="705" ht="15.75" customHeight="1">
      <c r="A705" s="84"/>
      <c r="B705" s="84"/>
      <c r="C705" s="84"/>
      <c r="D705" s="84"/>
      <c r="E705" s="84"/>
      <c r="F705" s="84"/>
      <c r="G705" s="84"/>
      <c r="H705" s="84"/>
      <c r="I705" s="84"/>
      <c r="J705" s="84"/>
    </row>
    <row r="706" ht="15.75" customHeight="1">
      <c r="A706" s="84"/>
      <c r="B706" s="84"/>
      <c r="C706" s="84"/>
      <c r="D706" s="84"/>
      <c r="E706" s="84"/>
      <c r="F706" s="84"/>
      <c r="G706" s="84"/>
      <c r="H706" s="84"/>
      <c r="I706" s="84"/>
      <c r="J706" s="84"/>
    </row>
    <row r="707" ht="15.75" customHeight="1">
      <c r="A707" s="84"/>
      <c r="B707" s="84"/>
      <c r="C707" s="84"/>
      <c r="D707" s="84"/>
      <c r="E707" s="84"/>
      <c r="F707" s="84"/>
      <c r="G707" s="84"/>
      <c r="H707" s="84"/>
      <c r="I707" s="84"/>
      <c r="J707" s="84"/>
    </row>
    <row r="708" ht="15.75" customHeight="1">
      <c r="A708" s="84"/>
      <c r="B708" s="84"/>
      <c r="C708" s="84"/>
      <c r="D708" s="84"/>
      <c r="E708" s="84"/>
      <c r="F708" s="84"/>
      <c r="G708" s="84"/>
      <c r="H708" s="84"/>
      <c r="I708" s="84"/>
      <c r="J708" s="84"/>
    </row>
    <row r="709" ht="15.75" customHeight="1">
      <c r="A709" s="84"/>
      <c r="B709" s="84"/>
      <c r="C709" s="84"/>
      <c r="D709" s="84"/>
      <c r="E709" s="84"/>
      <c r="F709" s="84"/>
      <c r="G709" s="84"/>
      <c r="H709" s="84"/>
      <c r="I709" s="84"/>
      <c r="J709" s="84"/>
    </row>
    <row r="710" ht="15.75" customHeight="1">
      <c r="A710" s="84"/>
      <c r="B710" s="84"/>
      <c r="C710" s="84"/>
      <c r="D710" s="84"/>
      <c r="E710" s="84"/>
      <c r="F710" s="84"/>
      <c r="G710" s="84"/>
      <c r="H710" s="84"/>
      <c r="I710" s="84"/>
      <c r="J710" s="84"/>
    </row>
    <row r="711" ht="15.75" customHeight="1">
      <c r="A711" s="84"/>
      <c r="B711" s="84"/>
      <c r="C711" s="84"/>
      <c r="D711" s="84"/>
      <c r="E711" s="84"/>
      <c r="F711" s="84"/>
      <c r="G711" s="84"/>
      <c r="H711" s="84"/>
      <c r="I711" s="84"/>
      <c r="J711" s="84"/>
    </row>
    <row r="712" ht="15.75" customHeight="1">
      <c r="A712" s="84"/>
      <c r="B712" s="84"/>
      <c r="C712" s="84"/>
      <c r="D712" s="84"/>
      <c r="E712" s="84"/>
      <c r="F712" s="84"/>
      <c r="G712" s="84"/>
      <c r="H712" s="84"/>
      <c r="I712" s="84"/>
      <c r="J712" s="84"/>
    </row>
    <row r="713" ht="15.75" customHeight="1">
      <c r="A713" s="84"/>
      <c r="B713" s="84"/>
      <c r="C713" s="84"/>
      <c r="D713" s="84"/>
      <c r="E713" s="84"/>
      <c r="F713" s="84"/>
      <c r="G713" s="84"/>
      <c r="H713" s="84"/>
      <c r="I713" s="84"/>
      <c r="J713" s="84"/>
    </row>
    <row r="714" ht="15.75" customHeight="1">
      <c r="A714" s="84"/>
      <c r="B714" s="84"/>
      <c r="C714" s="84"/>
      <c r="D714" s="84"/>
      <c r="E714" s="84"/>
      <c r="F714" s="84"/>
      <c r="G714" s="84"/>
      <c r="H714" s="84"/>
      <c r="I714" s="84"/>
      <c r="J714" s="84"/>
    </row>
    <row r="715" ht="15.75" customHeight="1">
      <c r="A715" s="84"/>
      <c r="B715" s="84"/>
      <c r="C715" s="84"/>
      <c r="D715" s="84"/>
      <c r="E715" s="84"/>
      <c r="F715" s="84"/>
      <c r="G715" s="84"/>
      <c r="H715" s="84"/>
      <c r="I715" s="84"/>
      <c r="J715" s="84"/>
    </row>
    <row r="716" ht="15.75" customHeight="1">
      <c r="A716" s="84"/>
      <c r="B716" s="84"/>
      <c r="C716" s="84"/>
      <c r="D716" s="84"/>
      <c r="E716" s="84"/>
      <c r="F716" s="84"/>
      <c r="G716" s="84"/>
      <c r="H716" s="84"/>
      <c r="I716" s="84"/>
      <c r="J716" s="84"/>
    </row>
    <row r="717" ht="15.75" customHeight="1">
      <c r="A717" s="84"/>
      <c r="B717" s="84"/>
      <c r="C717" s="84"/>
      <c r="D717" s="84"/>
      <c r="E717" s="84"/>
      <c r="F717" s="84"/>
      <c r="G717" s="84"/>
      <c r="H717" s="84"/>
      <c r="I717" s="84"/>
      <c r="J717" s="84"/>
    </row>
    <row r="718" ht="15.75" customHeight="1">
      <c r="A718" s="84"/>
      <c r="B718" s="84"/>
      <c r="C718" s="84"/>
      <c r="D718" s="84"/>
      <c r="E718" s="84"/>
      <c r="F718" s="84"/>
      <c r="G718" s="84"/>
      <c r="H718" s="84"/>
      <c r="I718" s="84"/>
      <c r="J718" s="84"/>
    </row>
    <row r="719" ht="15.75" customHeight="1">
      <c r="A719" s="84"/>
      <c r="B719" s="84"/>
      <c r="C719" s="84"/>
      <c r="D719" s="84"/>
      <c r="E719" s="84"/>
      <c r="F719" s="84"/>
      <c r="G719" s="84"/>
      <c r="H719" s="84"/>
      <c r="I719" s="84"/>
      <c r="J719" s="84"/>
    </row>
    <row r="720" ht="15.75" customHeight="1">
      <c r="A720" s="84"/>
      <c r="B720" s="84"/>
      <c r="C720" s="84"/>
      <c r="D720" s="84"/>
      <c r="E720" s="84"/>
      <c r="F720" s="84"/>
      <c r="G720" s="84"/>
      <c r="H720" s="84"/>
      <c r="I720" s="84"/>
      <c r="J720" s="84"/>
    </row>
    <row r="721" ht="15.75" customHeight="1">
      <c r="A721" s="84"/>
      <c r="B721" s="84"/>
      <c r="C721" s="84"/>
      <c r="D721" s="84"/>
      <c r="E721" s="84"/>
      <c r="F721" s="84"/>
      <c r="G721" s="84"/>
      <c r="H721" s="84"/>
      <c r="I721" s="84"/>
      <c r="J721" s="84"/>
    </row>
    <row r="722" ht="15.75" customHeight="1">
      <c r="A722" s="84"/>
      <c r="B722" s="84"/>
      <c r="C722" s="84"/>
      <c r="D722" s="84"/>
      <c r="E722" s="84"/>
      <c r="F722" s="84"/>
      <c r="G722" s="84"/>
      <c r="H722" s="84"/>
      <c r="I722" s="84"/>
      <c r="J722" s="84"/>
    </row>
    <row r="723" ht="15.75" customHeight="1">
      <c r="A723" s="84"/>
      <c r="B723" s="84"/>
      <c r="C723" s="84"/>
      <c r="D723" s="84"/>
      <c r="E723" s="84"/>
      <c r="F723" s="84"/>
      <c r="G723" s="84"/>
      <c r="H723" s="84"/>
      <c r="I723" s="84"/>
      <c r="J723" s="84"/>
    </row>
    <row r="724" ht="15.75" customHeight="1">
      <c r="A724" s="84"/>
      <c r="B724" s="84"/>
      <c r="C724" s="84"/>
      <c r="D724" s="84"/>
      <c r="E724" s="84"/>
      <c r="F724" s="84"/>
      <c r="G724" s="84"/>
      <c r="H724" s="84"/>
      <c r="I724" s="84"/>
      <c r="J724" s="84"/>
    </row>
    <row r="725" ht="15.75" customHeight="1">
      <c r="A725" s="84"/>
      <c r="B725" s="84"/>
      <c r="C725" s="84"/>
      <c r="D725" s="84"/>
      <c r="E725" s="84"/>
      <c r="F725" s="84"/>
      <c r="G725" s="84"/>
      <c r="H725" s="84"/>
      <c r="I725" s="84"/>
      <c r="J725" s="84"/>
    </row>
    <row r="726" ht="15.75" customHeight="1">
      <c r="A726" s="84"/>
      <c r="B726" s="84"/>
      <c r="C726" s="84"/>
      <c r="D726" s="84"/>
      <c r="E726" s="84"/>
      <c r="F726" s="84"/>
      <c r="G726" s="84"/>
      <c r="H726" s="84"/>
      <c r="I726" s="84"/>
      <c r="J726" s="84"/>
    </row>
    <row r="727" ht="15.75" customHeight="1">
      <c r="A727" s="84"/>
      <c r="B727" s="84"/>
      <c r="C727" s="84"/>
      <c r="D727" s="84"/>
      <c r="E727" s="84"/>
      <c r="F727" s="84"/>
      <c r="G727" s="84"/>
      <c r="H727" s="84"/>
      <c r="I727" s="84"/>
      <c r="J727" s="84"/>
    </row>
    <row r="728" ht="15.75" customHeight="1">
      <c r="A728" s="84"/>
      <c r="B728" s="84"/>
      <c r="C728" s="84"/>
      <c r="D728" s="84"/>
      <c r="E728" s="84"/>
      <c r="F728" s="84"/>
      <c r="G728" s="84"/>
      <c r="H728" s="84"/>
      <c r="I728" s="84"/>
      <c r="J728" s="84"/>
    </row>
    <row r="729" ht="15.75" customHeight="1">
      <c r="A729" s="84"/>
      <c r="B729" s="84"/>
      <c r="C729" s="84"/>
      <c r="D729" s="84"/>
      <c r="E729" s="84"/>
      <c r="F729" s="84"/>
      <c r="G729" s="84"/>
      <c r="H729" s="84"/>
      <c r="I729" s="84"/>
      <c r="J729" s="84"/>
    </row>
    <row r="730" ht="15.75" customHeight="1">
      <c r="A730" s="84"/>
      <c r="B730" s="84"/>
      <c r="C730" s="84"/>
      <c r="D730" s="84"/>
      <c r="E730" s="84"/>
      <c r="F730" s="84"/>
      <c r="G730" s="84"/>
      <c r="H730" s="84"/>
      <c r="I730" s="84"/>
      <c r="J730" s="84"/>
    </row>
    <row r="731" ht="15.75" customHeight="1">
      <c r="A731" s="84"/>
      <c r="B731" s="84"/>
      <c r="C731" s="84"/>
      <c r="D731" s="84"/>
      <c r="E731" s="84"/>
      <c r="F731" s="84"/>
      <c r="G731" s="84"/>
      <c r="H731" s="84"/>
      <c r="I731" s="84"/>
      <c r="J731" s="84"/>
    </row>
    <row r="732" ht="15.75" customHeight="1">
      <c r="A732" s="84"/>
      <c r="B732" s="84"/>
      <c r="C732" s="84"/>
      <c r="D732" s="84"/>
      <c r="E732" s="84"/>
      <c r="F732" s="84"/>
      <c r="G732" s="84"/>
      <c r="H732" s="84"/>
      <c r="I732" s="84"/>
      <c r="J732" s="84"/>
    </row>
    <row r="733" ht="15.75" customHeight="1">
      <c r="A733" s="84"/>
      <c r="B733" s="84"/>
      <c r="C733" s="84"/>
      <c r="D733" s="84"/>
      <c r="E733" s="84"/>
      <c r="F733" s="84"/>
      <c r="G733" s="84"/>
      <c r="H733" s="84"/>
      <c r="I733" s="84"/>
      <c r="J733" s="84"/>
    </row>
    <row r="734" ht="15.75" customHeight="1">
      <c r="A734" s="84"/>
      <c r="B734" s="84"/>
      <c r="C734" s="84"/>
      <c r="D734" s="84"/>
      <c r="E734" s="84"/>
      <c r="F734" s="84"/>
      <c r="G734" s="84"/>
      <c r="H734" s="84"/>
      <c r="I734" s="84"/>
      <c r="J734" s="84"/>
    </row>
    <row r="735" ht="15.75" customHeight="1">
      <c r="A735" s="84"/>
      <c r="B735" s="84"/>
      <c r="C735" s="84"/>
      <c r="D735" s="84"/>
      <c r="E735" s="84"/>
      <c r="F735" s="84"/>
      <c r="G735" s="84"/>
      <c r="H735" s="84"/>
      <c r="I735" s="84"/>
      <c r="J735" s="84"/>
    </row>
    <row r="736" ht="15.75" customHeight="1">
      <c r="A736" s="84"/>
      <c r="B736" s="84"/>
      <c r="C736" s="84"/>
      <c r="D736" s="84"/>
      <c r="E736" s="84"/>
      <c r="F736" s="84"/>
      <c r="G736" s="84"/>
      <c r="H736" s="84"/>
      <c r="I736" s="84"/>
      <c r="J736" s="84"/>
    </row>
    <row r="737" ht="15.75" customHeight="1">
      <c r="A737" s="84"/>
      <c r="B737" s="84"/>
      <c r="C737" s="84"/>
      <c r="D737" s="84"/>
      <c r="E737" s="84"/>
      <c r="F737" s="84"/>
      <c r="G737" s="84"/>
      <c r="H737" s="84"/>
      <c r="I737" s="84"/>
      <c r="J737" s="84"/>
    </row>
    <row r="738" ht="15.75" customHeight="1">
      <c r="A738" s="84"/>
      <c r="B738" s="84"/>
      <c r="C738" s="84"/>
      <c r="D738" s="84"/>
      <c r="E738" s="84"/>
      <c r="F738" s="84"/>
      <c r="G738" s="84"/>
      <c r="H738" s="84"/>
      <c r="I738" s="84"/>
      <c r="J738" s="84"/>
    </row>
    <row r="739" ht="15.75" customHeight="1">
      <c r="A739" s="84"/>
      <c r="B739" s="84"/>
      <c r="C739" s="84"/>
      <c r="D739" s="84"/>
      <c r="E739" s="84"/>
      <c r="F739" s="84"/>
      <c r="G739" s="84"/>
      <c r="H739" s="84"/>
      <c r="I739" s="84"/>
      <c r="J739" s="84"/>
    </row>
    <row r="740" ht="15.75" customHeight="1">
      <c r="A740" s="84"/>
      <c r="B740" s="84"/>
      <c r="C740" s="84"/>
      <c r="D740" s="84"/>
      <c r="E740" s="84"/>
      <c r="F740" s="84"/>
      <c r="G740" s="84"/>
      <c r="H740" s="84"/>
      <c r="I740" s="84"/>
      <c r="J740" s="84"/>
    </row>
    <row r="741" ht="15.75" customHeight="1">
      <c r="A741" s="84"/>
      <c r="B741" s="84"/>
      <c r="C741" s="84"/>
      <c r="D741" s="84"/>
      <c r="E741" s="84"/>
      <c r="F741" s="84"/>
      <c r="G741" s="84"/>
      <c r="H741" s="84"/>
      <c r="I741" s="84"/>
      <c r="J741" s="84"/>
    </row>
    <row r="742" ht="15.75" customHeight="1">
      <c r="A742" s="84"/>
      <c r="B742" s="84"/>
      <c r="C742" s="84"/>
      <c r="D742" s="84"/>
      <c r="E742" s="84"/>
      <c r="F742" s="84"/>
      <c r="G742" s="84"/>
      <c r="H742" s="84"/>
      <c r="I742" s="84"/>
      <c r="J742" s="84"/>
    </row>
    <row r="743" ht="15.75" customHeight="1">
      <c r="A743" s="84"/>
      <c r="B743" s="84"/>
      <c r="C743" s="84"/>
      <c r="D743" s="84"/>
      <c r="E743" s="84"/>
      <c r="F743" s="84"/>
      <c r="G743" s="84"/>
      <c r="H743" s="84"/>
      <c r="I743" s="84"/>
      <c r="J743" s="84"/>
    </row>
    <row r="744" ht="15.75" customHeight="1">
      <c r="A744" s="84"/>
      <c r="B744" s="84"/>
      <c r="C744" s="84"/>
      <c r="D744" s="84"/>
      <c r="E744" s="84"/>
      <c r="F744" s="84"/>
      <c r="G744" s="84"/>
      <c r="H744" s="84"/>
      <c r="I744" s="84"/>
      <c r="J744" s="84"/>
    </row>
    <row r="745" ht="15.75" customHeight="1">
      <c r="A745" s="84"/>
      <c r="B745" s="84"/>
      <c r="C745" s="84"/>
      <c r="D745" s="84"/>
      <c r="E745" s="84"/>
      <c r="F745" s="84"/>
      <c r="G745" s="84"/>
      <c r="H745" s="84"/>
      <c r="I745" s="84"/>
      <c r="J745" s="84"/>
    </row>
    <row r="746" ht="15.75" customHeight="1">
      <c r="A746" s="84"/>
      <c r="B746" s="84"/>
      <c r="C746" s="84"/>
      <c r="D746" s="84"/>
      <c r="E746" s="84"/>
      <c r="F746" s="84"/>
      <c r="G746" s="84"/>
      <c r="H746" s="84"/>
      <c r="I746" s="84"/>
      <c r="J746" s="84"/>
    </row>
    <row r="747" ht="15.75" customHeight="1">
      <c r="A747" s="84"/>
      <c r="B747" s="84"/>
      <c r="C747" s="84"/>
      <c r="D747" s="84"/>
      <c r="E747" s="84"/>
      <c r="F747" s="84"/>
      <c r="G747" s="84"/>
      <c r="H747" s="84"/>
      <c r="I747" s="84"/>
      <c r="J747" s="84"/>
    </row>
    <row r="748" ht="15.75" customHeight="1">
      <c r="A748" s="84"/>
      <c r="B748" s="84"/>
      <c r="C748" s="84"/>
      <c r="D748" s="84"/>
      <c r="E748" s="84"/>
      <c r="F748" s="84"/>
      <c r="G748" s="84"/>
      <c r="H748" s="84"/>
      <c r="I748" s="84"/>
      <c r="J748" s="84"/>
    </row>
    <row r="749" ht="15.75" customHeight="1">
      <c r="A749" s="84"/>
      <c r="B749" s="84"/>
      <c r="C749" s="84"/>
      <c r="D749" s="84"/>
      <c r="E749" s="84"/>
      <c r="F749" s="84"/>
      <c r="G749" s="84"/>
      <c r="H749" s="84"/>
      <c r="I749" s="84"/>
      <c r="J749" s="84"/>
    </row>
    <row r="750" ht="15.75" customHeight="1">
      <c r="A750" s="84"/>
      <c r="B750" s="84"/>
      <c r="C750" s="84"/>
      <c r="D750" s="84"/>
      <c r="E750" s="84"/>
      <c r="F750" s="84"/>
      <c r="G750" s="84"/>
      <c r="H750" s="84"/>
      <c r="I750" s="84"/>
      <c r="J750" s="84"/>
    </row>
    <row r="751" ht="15.75" customHeight="1">
      <c r="A751" s="84"/>
      <c r="B751" s="84"/>
      <c r="C751" s="84"/>
      <c r="D751" s="84"/>
      <c r="E751" s="84"/>
      <c r="F751" s="84"/>
      <c r="G751" s="84"/>
      <c r="H751" s="84"/>
      <c r="I751" s="84"/>
      <c r="J751" s="84"/>
    </row>
    <row r="752" ht="15.75" customHeight="1">
      <c r="A752" s="84"/>
      <c r="B752" s="84"/>
      <c r="C752" s="84"/>
      <c r="D752" s="84"/>
      <c r="E752" s="84"/>
      <c r="F752" s="84"/>
      <c r="G752" s="84"/>
      <c r="H752" s="84"/>
      <c r="I752" s="84"/>
      <c r="J752" s="84"/>
    </row>
    <row r="753" ht="15.75" customHeight="1">
      <c r="A753" s="84"/>
      <c r="B753" s="84"/>
      <c r="C753" s="84"/>
      <c r="D753" s="84"/>
      <c r="E753" s="84"/>
      <c r="F753" s="84"/>
      <c r="G753" s="84"/>
      <c r="H753" s="84"/>
      <c r="I753" s="84"/>
      <c r="J753" s="84"/>
    </row>
    <row r="754" ht="15.75" customHeight="1">
      <c r="A754" s="84"/>
      <c r="B754" s="84"/>
      <c r="C754" s="84"/>
      <c r="D754" s="84"/>
      <c r="E754" s="84"/>
      <c r="F754" s="84"/>
      <c r="G754" s="84"/>
      <c r="H754" s="84"/>
      <c r="I754" s="84"/>
      <c r="J754" s="84"/>
    </row>
    <row r="755" ht="15.75" customHeight="1">
      <c r="A755" s="84"/>
      <c r="B755" s="84"/>
      <c r="C755" s="84"/>
      <c r="D755" s="84"/>
      <c r="E755" s="84"/>
      <c r="F755" s="84"/>
      <c r="G755" s="84"/>
      <c r="H755" s="84"/>
      <c r="I755" s="84"/>
      <c r="J755" s="84"/>
    </row>
    <row r="756" ht="15.75" customHeight="1">
      <c r="A756" s="84"/>
      <c r="B756" s="84"/>
      <c r="C756" s="84"/>
      <c r="D756" s="84"/>
      <c r="E756" s="84"/>
      <c r="F756" s="84"/>
      <c r="G756" s="84"/>
      <c r="H756" s="84"/>
      <c r="I756" s="84"/>
      <c r="J756" s="84"/>
    </row>
    <row r="757" ht="15.75" customHeight="1">
      <c r="A757" s="84"/>
      <c r="B757" s="84"/>
      <c r="C757" s="84"/>
      <c r="D757" s="84"/>
      <c r="E757" s="84"/>
      <c r="F757" s="84"/>
      <c r="G757" s="84"/>
      <c r="H757" s="84"/>
      <c r="I757" s="84"/>
      <c r="J757" s="84"/>
    </row>
    <row r="758" ht="15.75" customHeight="1">
      <c r="A758" s="84"/>
      <c r="B758" s="84"/>
      <c r="C758" s="84"/>
      <c r="D758" s="84"/>
      <c r="E758" s="84"/>
      <c r="F758" s="84"/>
      <c r="G758" s="84"/>
      <c r="H758" s="84"/>
      <c r="I758" s="84"/>
      <c r="J758" s="84"/>
    </row>
    <row r="759" ht="15.75" customHeight="1">
      <c r="A759" s="84"/>
      <c r="B759" s="84"/>
      <c r="C759" s="84"/>
      <c r="D759" s="84"/>
      <c r="E759" s="84"/>
      <c r="F759" s="84"/>
      <c r="G759" s="84"/>
      <c r="H759" s="84"/>
      <c r="I759" s="84"/>
      <c r="J759" s="84"/>
    </row>
    <row r="760" ht="15.75" customHeight="1">
      <c r="A760" s="84"/>
      <c r="B760" s="84"/>
      <c r="C760" s="84"/>
      <c r="D760" s="84"/>
      <c r="E760" s="84"/>
      <c r="F760" s="84"/>
      <c r="G760" s="84"/>
      <c r="H760" s="84"/>
      <c r="I760" s="84"/>
      <c r="J760" s="84"/>
    </row>
    <row r="761" ht="15.75" customHeight="1">
      <c r="A761" s="84"/>
      <c r="B761" s="84"/>
      <c r="C761" s="84"/>
      <c r="D761" s="84"/>
      <c r="E761" s="84"/>
      <c r="F761" s="84"/>
      <c r="G761" s="84"/>
      <c r="H761" s="84"/>
      <c r="I761" s="84"/>
      <c r="J761" s="84"/>
    </row>
    <row r="762" ht="15.75" customHeight="1">
      <c r="A762" s="84"/>
      <c r="B762" s="84"/>
      <c r="C762" s="84"/>
      <c r="D762" s="84"/>
      <c r="E762" s="84"/>
      <c r="F762" s="84"/>
      <c r="G762" s="84"/>
      <c r="H762" s="84"/>
      <c r="I762" s="84"/>
      <c r="J762" s="84"/>
    </row>
    <row r="763" ht="15.75" customHeight="1">
      <c r="A763" s="84"/>
      <c r="B763" s="84"/>
      <c r="C763" s="84"/>
      <c r="D763" s="84"/>
      <c r="E763" s="84"/>
      <c r="F763" s="84"/>
      <c r="G763" s="84"/>
      <c r="H763" s="84"/>
      <c r="I763" s="84"/>
      <c r="J763" s="84"/>
    </row>
    <row r="764" ht="15.75" customHeight="1">
      <c r="A764" s="84"/>
      <c r="B764" s="84"/>
      <c r="C764" s="84"/>
      <c r="D764" s="84"/>
      <c r="E764" s="84"/>
      <c r="F764" s="84"/>
      <c r="G764" s="84"/>
      <c r="H764" s="84"/>
      <c r="I764" s="84"/>
      <c r="J764" s="84"/>
    </row>
    <row r="765" ht="15.75" customHeight="1">
      <c r="A765" s="84"/>
      <c r="B765" s="84"/>
      <c r="C765" s="84"/>
      <c r="D765" s="84"/>
      <c r="E765" s="84"/>
      <c r="F765" s="84"/>
      <c r="G765" s="84"/>
      <c r="H765" s="84"/>
      <c r="I765" s="84"/>
      <c r="J765" s="84"/>
    </row>
    <row r="766" ht="15.75" customHeight="1">
      <c r="A766" s="84"/>
      <c r="B766" s="84"/>
      <c r="C766" s="84"/>
      <c r="D766" s="84"/>
      <c r="E766" s="84"/>
      <c r="F766" s="84"/>
      <c r="G766" s="84"/>
      <c r="H766" s="84"/>
      <c r="I766" s="84"/>
      <c r="J766" s="84"/>
    </row>
    <row r="767" ht="15.75" customHeight="1">
      <c r="A767" s="84"/>
      <c r="B767" s="84"/>
      <c r="C767" s="84"/>
      <c r="D767" s="84"/>
      <c r="E767" s="84"/>
      <c r="F767" s="84"/>
      <c r="G767" s="84"/>
      <c r="H767" s="84"/>
      <c r="I767" s="84"/>
      <c r="J767" s="84"/>
    </row>
    <row r="768" ht="15.75" customHeight="1">
      <c r="A768" s="84"/>
      <c r="B768" s="84"/>
      <c r="C768" s="84"/>
      <c r="D768" s="84"/>
      <c r="E768" s="84"/>
      <c r="F768" s="84"/>
      <c r="G768" s="84"/>
      <c r="H768" s="84"/>
      <c r="I768" s="84"/>
      <c r="J768" s="84"/>
    </row>
    <row r="769" ht="15.75" customHeight="1">
      <c r="A769" s="84"/>
      <c r="B769" s="84"/>
      <c r="C769" s="84"/>
      <c r="D769" s="84"/>
      <c r="E769" s="84"/>
      <c r="F769" s="84"/>
      <c r="G769" s="84"/>
      <c r="H769" s="84"/>
      <c r="I769" s="84"/>
      <c r="J769" s="84"/>
    </row>
    <row r="770" ht="15.75" customHeight="1">
      <c r="A770" s="84"/>
      <c r="B770" s="84"/>
      <c r="C770" s="84"/>
      <c r="D770" s="84"/>
      <c r="E770" s="84"/>
      <c r="F770" s="84"/>
      <c r="G770" s="84"/>
      <c r="H770" s="84"/>
      <c r="I770" s="84"/>
      <c r="J770" s="84"/>
    </row>
    <row r="771" ht="15.75" customHeight="1">
      <c r="A771" s="84"/>
      <c r="B771" s="84"/>
      <c r="C771" s="84"/>
      <c r="D771" s="84"/>
      <c r="E771" s="84"/>
      <c r="F771" s="84"/>
      <c r="G771" s="84"/>
      <c r="H771" s="84"/>
      <c r="I771" s="84"/>
      <c r="J771" s="84"/>
    </row>
    <row r="772" ht="15.75" customHeight="1">
      <c r="A772" s="84"/>
      <c r="B772" s="84"/>
      <c r="C772" s="84"/>
      <c r="D772" s="84"/>
      <c r="E772" s="84"/>
      <c r="F772" s="84"/>
      <c r="G772" s="84"/>
      <c r="H772" s="84"/>
      <c r="I772" s="84"/>
      <c r="J772" s="84"/>
    </row>
    <row r="773" ht="15.75" customHeight="1">
      <c r="A773" s="84"/>
      <c r="B773" s="84"/>
      <c r="C773" s="84"/>
      <c r="D773" s="84"/>
      <c r="E773" s="84"/>
      <c r="F773" s="84"/>
      <c r="G773" s="84"/>
      <c r="H773" s="84"/>
      <c r="I773" s="84"/>
      <c r="J773" s="84"/>
    </row>
    <row r="774" ht="15.75" customHeight="1">
      <c r="A774" s="84"/>
      <c r="B774" s="84"/>
      <c r="C774" s="84"/>
      <c r="D774" s="84"/>
      <c r="E774" s="84"/>
      <c r="F774" s="84"/>
      <c r="G774" s="84"/>
      <c r="H774" s="84"/>
      <c r="I774" s="84"/>
      <c r="J774" s="84"/>
    </row>
    <row r="775" ht="15.75" customHeight="1">
      <c r="A775" s="84"/>
      <c r="B775" s="84"/>
      <c r="C775" s="84"/>
      <c r="D775" s="84"/>
      <c r="E775" s="84"/>
      <c r="F775" s="84"/>
      <c r="G775" s="84"/>
      <c r="H775" s="84"/>
      <c r="I775" s="84"/>
      <c r="J775" s="84"/>
    </row>
    <row r="776" ht="15.75" customHeight="1">
      <c r="A776" s="84"/>
      <c r="B776" s="84"/>
      <c r="C776" s="84"/>
      <c r="D776" s="84"/>
      <c r="E776" s="84"/>
      <c r="F776" s="84"/>
      <c r="G776" s="84"/>
      <c r="H776" s="84"/>
      <c r="I776" s="84"/>
      <c r="J776" s="84"/>
    </row>
    <row r="777" ht="15.75" customHeight="1">
      <c r="A777" s="84"/>
      <c r="B777" s="84"/>
      <c r="C777" s="84"/>
      <c r="D777" s="84"/>
      <c r="E777" s="84"/>
      <c r="F777" s="84"/>
      <c r="G777" s="84"/>
      <c r="H777" s="84"/>
      <c r="I777" s="84"/>
      <c r="J777" s="84"/>
    </row>
    <row r="778" ht="15.75" customHeight="1">
      <c r="A778" s="84"/>
      <c r="B778" s="84"/>
      <c r="C778" s="84"/>
      <c r="D778" s="84"/>
      <c r="E778" s="84"/>
      <c r="F778" s="84"/>
      <c r="G778" s="84"/>
      <c r="H778" s="84"/>
      <c r="I778" s="84"/>
      <c r="J778" s="84"/>
    </row>
    <row r="779" ht="15.75" customHeight="1">
      <c r="A779" s="84"/>
      <c r="B779" s="84"/>
      <c r="C779" s="84"/>
      <c r="D779" s="84"/>
      <c r="E779" s="84"/>
      <c r="F779" s="84"/>
      <c r="G779" s="84"/>
      <c r="H779" s="84"/>
      <c r="I779" s="84"/>
      <c r="J779" s="84"/>
    </row>
    <row r="780" ht="15.75" customHeight="1">
      <c r="A780" s="84"/>
      <c r="B780" s="84"/>
      <c r="C780" s="84"/>
      <c r="D780" s="84"/>
      <c r="E780" s="84"/>
      <c r="F780" s="84"/>
      <c r="G780" s="84"/>
      <c r="H780" s="84"/>
      <c r="I780" s="84"/>
      <c r="J780" s="84"/>
    </row>
    <row r="781" ht="15.75" customHeight="1">
      <c r="A781" s="84"/>
      <c r="B781" s="84"/>
      <c r="C781" s="84"/>
      <c r="D781" s="84"/>
      <c r="E781" s="84"/>
      <c r="F781" s="84"/>
      <c r="G781" s="84"/>
      <c r="H781" s="84"/>
      <c r="I781" s="84"/>
      <c r="J781" s="84"/>
    </row>
    <row r="782" ht="15.75" customHeight="1">
      <c r="A782" s="84"/>
      <c r="B782" s="84"/>
      <c r="C782" s="84"/>
      <c r="D782" s="84"/>
      <c r="E782" s="84"/>
      <c r="F782" s="84"/>
      <c r="G782" s="84"/>
      <c r="H782" s="84"/>
      <c r="I782" s="84"/>
      <c r="J782" s="84"/>
    </row>
    <row r="783" ht="15.75" customHeight="1">
      <c r="A783" s="84"/>
      <c r="B783" s="84"/>
      <c r="C783" s="84"/>
      <c r="D783" s="84"/>
      <c r="E783" s="84"/>
      <c r="F783" s="84"/>
      <c r="G783" s="84"/>
      <c r="H783" s="84"/>
      <c r="I783" s="84"/>
      <c r="J783" s="84"/>
    </row>
    <row r="784" ht="15.75" customHeight="1">
      <c r="A784" s="84"/>
      <c r="B784" s="84"/>
      <c r="C784" s="84"/>
      <c r="D784" s="84"/>
      <c r="E784" s="84"/>
      <c r="F784" s="84"/>
      <c r="G784" s="84"/>
      <c r="H784" s="84"/>
      <c r="I784" s="84"/>
      <c r="J784" s="84"/>
    </row>
    <row r="785" ht="15.75" customHeight="1">
      <c r="A785" s="84"/>
      <c r="B785" s="84"/>
      <c r="C785" s="84"/>
      <c r="D785" s="84"/>
      <c r="E785" s="84"/>
      <c r="F785" s="84"/>
      <c r="G785" s="84"/>
      <c r="H785" s="84"/>
      <c r="I785" s="84"/>
      <c r="J785" s="84"/>
    </row>
    <row r="786" ht="15.75" customHeight="1">
      <c r="A786" s="84"/>
      <c r="B786" s="84"/>
      <c r="C786" s="84"/>
      <c r="D786" s="84"/>
      <c r="E786" s="84"/>
      <c r="F786" s="84"/>
      <c r="G786" s="84"/>
      <c r="H786" s="84"/>
      <c r="I786" s="84"/>
      <c r="J786" s="84"/>
    </row>
    <row r="787" ht="15.75" customHeight="1">
      <c r="A787" s="84"/>
      <c r="B787" s="84"/>
      <c r="C787" s="84"/>
      <c r="D787" s="84"/>
      <c r="E787" s="84"/>
      <c r="F787" s="84"/>
      <c r="G787" s="84"/>
      <c r="H787" s="84"/>
      <c r="I787" s="84"/>
      <c r="J787" s="84"/>
    </row>
    <row r="788" ht="15.75" customHeight="1">
      <c r="A788" s="84"/>
      <c r="B788" s="84"/>
      <c r="C788" s="84"/>
      <c r="D788" s="84"/>
      <c r="E788" s="84"/>
      <c r="F788" s="84"/>
      <c r="G788" s="84"/>
      <c r="H788" s="84"/>
      <c r="I788" s="84"/>
      <c r="J788" s="84"/>
    </row>
    <row r="789" ht="15.75" customHeight="1">
      <c r="A789" s="84"/>
      <c r="B789" s="84"/>
      <c r="C789" s="84"/>
      <c r="D789" s="84"/>
      <c r="E789" s="84"/>
      <c r="F789" s="84"/>
      <c r="G789" s="84"/>
      <c r="H789" s="84"/>
      <c r="I789" s="84"/>
      <c r="J789" s="84"/>
    </row>
    <row r="790" ht="15.75" customHeight="1">
      <c r="A790" s="84"/>
      <c r="B790" s="84"/>
      <c r="C790" s="84"/>
      <c r="D790" s="84"/>
      <c r="E790" s="84"/>
      <c r="F790" s="84"/>
      <c r="G790" s="84"/>
      <c r="H790" s="84"/>
      <c r="I790" s="84"/>
      <c r="J790" s="84"/>
    </row>
    <row r="791" ht="15.75" customHeight="1">
      <c r="A791" s="84"/>
      <c r="B791" s="84"/>
      <c r="C791" s="84"/>
      <c r="D791" s="84"/>
      <c r="E791" s="84"/>
      <c r="F791" s="84"/>
      <c r="G791" s="84"/>
      <c r="H791" s="84"/>
      <c r="I791" s="84"/>
      <c r="J791" s="84"/>
    </row>
    <row r="792" ht="15.75" customHeight="1">
      <c r="A792" s="84"/>
      <c r="B792" s="84"/>
      <c r="C792" s="84"/>
      <c r="D792" s="84"/>
      <c r="E792" s="84"/>
      <c r="F792" s="84"/>
      <c r="G792" s="84"/>
      <c r="H792" s="84"/>
      <c r="I792" s="84"/>
      <c r="J792" s="84"/>
    </row>
    <row r="793" ht="15.75" customHeight="1">
      <c r="A793" s="84"/>
      <c r="B793" s="84"/>
      <c r="C793" s="84"/>
      <c r="D793" s="84"/>
      <c r="E793" s="84"/>
      <c r="F793" s="84"/>
      <c r="G793" s="84"/>
      <c r="H793" s="84"/>
      <c r="I793" s="84"/>
      <c r="J793" s="84"/>
    </row>
    <row r="794" ht="15.75" customHeight="1">
      <c r="A794" s="84"/>
      <c r="B794" s="84"/>
      <c r="C794" s="84"/>
      <c r="D794" s="84"/>
      <c r="E794" s="84"/>
      <c r="F794" s="84"/>
      <c r="G794" s="84"/>
      <c r="H794" s="84"/>
      <c r="I794" s="84"/>
      <c r="J794" s="84"/>
    </row>
    <row r="795" ht="15.75" customHeight="1">
      <c r="A795" s="84"/>
      <c r="B795" s="84"/>
      <c r="C795" s="84"/>
      <c r="D795" s="84"/>
      <c r="E795" s="84"/>
      <c r="F795" s="84"/>
      <c r="G795" s="84"/>
      <c r="H795" s="84"/>
      <c r="I795" s="84"/>
      <c r="J795" s="84"/>
    </row>
    <row r="796" ht="15.75" customHeight="1">
      <c r="A796" s="84"/>
      <c r="B796" s="84"/>
      <c r="C796" s="84"/>
      <c r="D796" s="84"/>
      <c r="E796" s="84"/>
      <c r="F796" s="84"/>
      <c r="G796" s="84"/>
      <c r="H796" s="84"/>
      <c r="I796" s="84"/>
      <c r="J796" s="84"/>
    </row>
    <row r="797" ht="15.75" customHeight="1">
      <c r="A797" s="84"/>
      <c r="B797" s="84"/>
      <c r="C797" s="84"/>
      <c r="D797" s="84"/>
      <c r="E797" s="84"/>
      <c r="F797" s="84"/>
      <c r="G797" s="84"/>
      <c r="H797" s="84"/>
      <c r="I797" s="84"/>
      <c r="J797" s="84"/>
    </row>
    <row r="798" ht="15.75" customHeight="1">
      <c r="A798" s="84"/>
      <c r="B798" s="84"/>
      <c r="C798" s="84"/>
      <c r="D798" s="84"/>
      <c r="E798" s="84"/>
      <c r="F798" s="84"/>
      <c r="G798" s="84"/>
      <c r="H798" s="84"/>
      <c r="I798" s="84"/>
      <c r="J798" s="84"/>
    </row>
    <row r="799" ht="15.75" customHeight="1">
      <c r="A799" s="84"/>
      <c r="B799" s="84"/>
      <c r="C799" s="84"/>
      <c r="D799" s="84"/>
      <c r="E799" s="84"/>
      <c r="F799" s="84"/>
      <c r="G799" s="84"/>
      <c r="H799" s="84"/>
      <c r="I799" s="84"/>
      <c r="J799" s="84"/>
    </row>
    <row r="800" ht="15.75" customHeight="1">
      <c r="A800" s="84"/>
      <c r="B800" s="84"/>
      <c r="C800" s="84"/>
      <c r="D800" s="84"/>
      <c r="E800" s="84"/>
      <c r="F800" s="84"/>
      <c r="G800" s="84"/>
      <c r="H800" s="84"/>
      <c r="I800" s="84"/>
      <c r="J800" s="84"/>
    </row>
    <row r="801" ht="15.75" customHeight="1">
      <c r="A801" s="84"/>
      <c r="B801" s="84"/>
      <c r="C801" s="84"/>
      <c r="D801" s="84"/>
      <c r="E801" s="84"/>
      <c r="F801" s="84"/>
      <c r="G801" s="84"/>
      <c r="H801" s="84"/>
      <c r="I801" s="84"/>
      <c r="J801" s="84"/>
    </row>
    <row r="802" ht="15.75" customHeight="1">
      <c r="A802" s="84"/>
      <c r="B802" s="84"/>
      <c r="C802" s="84"/>
      <c r="D802" s="84"/>
      <c r="E802" s="84"/>
      <c r="F802" s="84"/>
      <c r="G802" s="84"/>
      <c r="H802" s="84"/>
      <c r="I802" s="84"/>
      <c r="J802" s="84"/>
    </row>
    <row r="803" ht="15.75" customHeight="1">
      <c r="A803" s="84"/>
      <c r="B803" s="84"/>
      <c r="C803" s="84"/>
      <c r="D803" s="84"/>
      <c r="E803" s="84"/>
      <c r="F803" s="84"/>
      <c r="G803" s="84"/>
      <c r="H803" s="84"/>
      <c r="I803" s="84"/>
      <c r="J803" s="84"/>
    </row>
    <row r="804" ht="15.75" customHeight="1">
      <c r="A804" s="84"/>
      <c r="B804" s="84"/>
      <c r="C804" s="84"/>
      <c r="D804" s="84"/>
      <c r="E804" s="84"/>
      <c r="F804" s="84"/>
      <c r="G804" s="84"/>
      <c r="H804" s="84"/>
      <c r="I804" s="84"/>
      <c r="J804" s="84"/>
    </row>
    <row r="805" ht="15.75" customHeight="1">
      <c r="A805" s="84"/>
      <c r="B805" s="84"/>
      <c r="C805" s="84"/>
      <c r="D805" s="84"/>
      <c r="E805" s="84"/>
      <c r="F805" s="84"/>
      <c r="G805" s="84"/>
      <c r="H805" s="84"/>
      <c r="I805" s="84"/>
      <c r="J805" s="84"/>
    </row>
    <row r="806" ht="15.75" customHeight="1">
      <c r="A806" s="84"/>
      <c r="B806" s="84"/>
      <c r="C806" s="84"/>
      <c r="D806" s="84"/>
      <c r="E806" s="84"/>
      <c r="F806" s="84"/>
      <c r="G806" s="84"/>
      <c r="H806" s="84"/>
      <c r="I806" s="84"/>
      <c r="J806" s="84"/>
    </row>
    <row r="807" ht="15.75" customHeight="1">
      <c r="A807" s="84"/>
      <c r="B807" s="84"/>
      <c r="C807" s="84"/>
      <c r="D807" s="84"/>
      <c r="E807" s="84"/>
      <c r="F807" s="84"/>
      <c r="G807" s="84"/>
      <c r="H807" s="84"/>
      <c r="I807" s="84"/>
      <c r="J807" s="84"/>
    </row>
    <row r="808" ht="15.75" customHeight="1">
      <c r="A808" s="84"/>
      <c r="B808" s="84"/>
      <c r="C808" s="84"/>
      <c r="D808" s="84"/>
      <c r="E808" s="84"/>
      <c r="F808" s="84"/>
      <c r="G808" s="84"/>
      <c r="H808" s="84"/>
      <c r="I808" s="84"/>
      <c r="J808" s="84"/>
    </row>
    <row r="809" ht="15.75" customHeight="1">
      <c r="A809" s="84"/>
      <c r="B809" s="84"/>
      <c r="C809" s="84"/>
      <c r="D809" s="84"/>
      <c r="E809" s="84"/>
      <c r="F809" s="84"/>
      <c r="G809" s="84"/>
      <c r="H809" s="84"/>
      <c r="I809" s="84"/>
      <c r="J809" s="84"/>
    </row>
    <row r="810" ht="15.75" customHeight="1">
      <c r="A810" s="84"/>
      <c r="B810" s="84"/>
      <c r="C810" s="84"/>
      <c r="D810" s="84"/>
      <c r="E810" s="84"/>
      <c r="F810" s="84"/>
      <c r="G810" s="84"/>
      <c r="H810" s="84"/>
      <c r="I810" s="84"/>
      <c r="J810" s="84"/>
    </row>
    <row r="811" ht="15.75" customHeight="1">
      <c r="A811" s="84"/>
      <c r="B811" s="84"/>
      <c r="C811" s="84"/>
      <c r="D811" s="84"/>
      <c r="E811" s="84"/>
      <c r="F811" s="84"/>
      <c r="G811" s="84"/>
      <c r="H811" s="84"/>
      <c r="I811" s="84"/>
      <c r="J811" s="84"/>
    </row>
    <row r="812" ht="15.75" customHeight="1">
      <c r="A812" s="84"/>
      <c r="B812" s="84"/>
      <c r="C812" s="84"/>
      <c r="D812" s="84"/>
      <c r="E812" s="84"/>
      <c r="F812" s="84"/>
      <c r="G812" s="84"/>
      <c r="H812" s="84"/>
      <c r="I812" s="84"/>
      <c r="J812" s="84"/>
    </row>
    <row r="813" ht="15.75" customHeight="1">
      <c r="A813" s="84"/>
      <c r="B813" s="84"/>
      <c r="C813" s="84"/>
      <c r="D813" s="84"/>
      <c r="E813" s="84"/>
      <c r="F813" s="84"/>
      <c r="G813" s="84"/>
      <c r="H813" s="84"/>
      <c r="I813" s="84"/>
      <c r="J813" s="84"/>
    </row>
    <row r="814" ht="15.75" customHeight="1">
      <c r="A814" s="84"/>
      <c r="B814" s="84"/>
      <c r="C814" s="84"/>
      <c r="D814" s="84"/>
      <c r="E814" s="84"/>
      <c r="F814" s="84"/>
      <c r="G814" s="84"/>
      <c r="H814" s="84"/>
      <c r="I814" s="84"/>
      <c r="J814" s="84"/>
    </row>
    <row r="815" ht="15.75" customHeight="1">
      <c r="A815" s="84"/>
      <c r="B815" s="84"/>
      <c r="C815" s="84"/>
      <c r="D815" s="84"/>
      <c r="E815" s="84"/>
      <c r="F815" s="84"/>
      <c r="G815" s="84"/>
      <c r="H815" s="84"/>
      <c r="I815" s="84"/>
      <c r="J815" s="84"/>
    </row>
    <row r="816" ht="15.75" customHeight="1">
      <c r="A816" s="84"/>
      <c r="B816" s="84"/>
      <c r="C816" s="84"/>
      <c r="D816" s="84"/>
      <c r="E816" s="84"/>
      <c r="F816" s="84"/>
      <c r="G816" s="84"/>
      <c r="H816" s="84"/>
      <c r="I816" s="84"/>
      <c r="J816" s="84"/>
    </row>
    <row r="817" ht="15.75" customHeight="1">
      <c r="A817" s="84"/>
      <c r="B817" s="84"/>
      <c r="C817" s="84"/>
      <c r="D817" s="84"/>
      <c r="E817" s="84"/>
      <c r="F817" s="84"/>
      <c r="G817" s="84"/>
      <c r="H817" s="84"/>
      <c r="I817" s="84"/>
      <c r="J817" s="84"/>
    </row>
    <row r="818" ht="15.75" customHeight="1">
      <c r="A818" s="84"/>
      <c r="B818" s="84"/>
      <c r="C818" s="84"/>
      <c r="D818" s="84"/>
      <c r="E818" s="84"/>
      <c r="F818" s="84"/>
      <c r="G818" s="84"/>
      <c r="H818" s="84"/>
      <c r="I818" s="84"/>
      <c r="J818" s="84"/>
    </row>
    <row r="819" ht="15.75" customHeight="1">
      <c r="A819" s="84"/>
      <c r="B819" s="84"/>
      <c r="C819" s="84"/>
      <c r="D819" s="84"/>
      <c r="E819" s="84"/>
      <c r="F819" s="84"/>
      <c r="G819" s="84"/>
      <c r="H819" s="84"/>
      <c r="I819" s="84"/>
      <c r="J819" s="84"/>
    </row>
    <row r="820" ht="15.75" customHeight="1">
      <c r="A820" s="84"/>
      <c r="B820" s="84"/>
      <c r="C820" s="84"/>
      <c r="D820" s="84"/>
      <c r="E820" s="84"/>
      <c r="F820" s="84"/>
      <c r="G820" s="84"/>
      <c r="H820" s="84"/>
      <c r="I820" s="84"/>
      <c r="J820" s="84"/>
    </row>
    <row r="821" ht="15.75" customHeight="1">
      <c r="A821" s="84"/>
      <c r="B821" s="84"/>
      <c r="C821" s="84"/>
      <c r="D821" s="84"/>
      <c r="E821" s="84"/>
      <c r="F821" s="84"/>
      <c r="G821" s="84"/>
      <c r="H821" s="84"/>
      <c r="I821" s="84"/>
      <c r="J821" s="84"/>
    </row>
    <row r="822" ht="15.75" customHeight="1">
      <c r="A822" s="84"/>
      <c r="B822" s="84"/>
      <c r="C822" s="84"/>
      <c r="D822" s="84"/>
      <c r="E822" s="84"/>
      <c r="F822" s="84"/>
      <c r="G822" s="84"/>
      <c r="H822" s="84"/>
      <c r="I822" s="84"/>
      <c r="J822" s="84"/>
    </row>
    <row r="823" ht="15.75" customHeight="1">
      <c r="A823" s="84"/>
      <c r="B823" s="84"/>
      <c r="C823" s="84"/>
      <c r="D823" s="84"/>
      <c r="E823" s="84"/>
      <c r="F823" s="84"/>
      <c r="G823" s="84"/>
      <c r="H823" s="84"/>
      <c r="I823" s="84"/>
      <c r="J823" s="84"/>
    </row>
    <row r="824" ht="15.75" customHeight="1">
      <c r="A824" s="84"/>
      <c r="B824" s="84"/>
      <c r="C824" s="84"/>
      <c r="D824" s="84"/>
      <c r="E824" s="84"/>
      <c r="F824" s="84"/>
      <c r="G824" s="84"/>
      <c r="H824" s="84"/>
      <c r="I824" s="84"/>
      <c r="J824" s="84"/>
    </row>
    <row r="825" ht="15.75" customHeight="1">
      <c r="A825" s="84"/>
      <c r="B825" s="84"/>
      <c r="C825" s="84"/>
      <c r="D825" s="84"/>
      <c r="E825" s="84"/>
      <c r="F825" s="84"/>
      <c r="G825" s="84"/>
      <c r="H825" s="84"/>
      <c r="I825" s="84"/>
      <c r="J825" s="84"/>
    </row>
    <row r="826" ht="15.75" customHeight="1">
      <c r="A826" s="84"/>
      <c r="B826" s="84"/>
      <c r="C826" s="84"/>
      <c r="D826" s="84"/>
      <c r="E826" s="84"/>
      <c r="F826" s="84"/>
      <c r="G826" s="84"/>
      <c r="H826" s="84"/>
      <c r="I826" s="84"/>
      <c r="J826" s="84"/>
    </row>
    <row r="827" ht="15.75" customHeight="1">
      <c r="A827" s="84"/>
      <c r="B827" s="84"/>
      <c r="C827" s="84"/>
      <c r="D827" s="84"/>
      <c r="E827" s="84"/>
      <c r="F827" s="84"/>
      <c r="G827" s="84"/>
      <c r="H827" s="84"/>
      <c r="I827" s="84"/>
      <c r="J827" s="84"/>
    </row>
    <row r="828" ht="15.75" customHeight="1">
      <c r="A828" s="84"/>
      <c r="B828" s="84"/>
      <c r="C828" s="84"/>
      <c r="D828" s="84"/>
      <c r="E828" s="84"/>
      <c r="F828" s="84"/>
      <c r="G828" s="84"/>
      <c r="H828" s="84"/>
      <c r="I828" s="84"/>
      <c r="J828" s="84"/>
    </row>
    <row r="829" ht="15.75" customHeight="1">
      <c r="A829" s="84"/>
      <c r="B829" s="84"/>
      <c r="C829" s="84"/>
      <c r="D829" s="84"/>
      <c r="E829" s="84"/>
      <c r="F829" s="84"/>
      <c r="G829" s="84"/>
      <c r="H829" s="84"/>
      <c r="I829" s="84"/>
      <c r="J829" s="84"/>
    </row>
    <row r="830" ht="15.75" customHeight="1">
      <c r="A830" s="84"/>
      <c r="B830" s="84"/>
      <c r="C830" s="84"/>
      <c r="D830" s="84"/>
      <c r="E830" s="84"/>
      <c r="F830" s="84"/>
      <c r="G830" s="84"/>
      <c r="H830" s="84"/>
      <c r="I830" s="84"/>
      <c r="J830" s="84"/>
    </row>
    <row r="831" ht="15.75" customHeight="1">
      <c r="A831" s="84"/>
      <c r="B831" s="84"/>
      <c r="C831" s="84"/>
      <c r="D831" s="84"/>
      <c r="E831" s="84"/>
      <c r="F831" s="84"/>
      <c r="G831" s="84"/>
      <c r="H831" s="84"/>
      <c r="I831" s="84"/>
      <c r="J831" s="84"/>
    </row>
    <row r="832" ht="15.75" customHeight="1">
      <c r="A832" s="84"/>
      <c r="B832" s="84"/>
      <c r="C832" s="84"/>
      <c r="D832" s="84"/>
      <c r="E832" s="84"/>
      <c r="F832" s="84"/>
      <c r="G832" s="84"/>
      <c r="H832" s="84"/>
      <c r="I832" s="84"/>
      <c r="J832" s="84"/>
    </row>
    <row r="833" ht="15.75" customHeight="1">
      <c r="A833" s="84"/>
      <c r="B833" s="84"/>
      <c r="C833" s="84"/>
      <c r="D833" s="84"/>
      <c r="E833" s="84"/>
      <c r="F833" s="84"/>
      <c r="G833" s="84"/>
      <c r="H833" s="84"/>
      <c r="I833" s="84"/>
      <c r="J833" s="84"/>
    </row>
    <row r="834" ht="15.75" customHeight="1">
      <c r="A834" s="84"/>
      <c r="B834" s="84"/>
      <c r="C834" s="84"/>
      <c r="D834" s="84"/>
      <c r="E834" s="84"/>
      <c r="F834" s="84"/>
      <c r="G834" s="84"/>
      <c r="H834" s="84"/>
      <c r="I834" s="84"/>
      <c r="J834" s="84"/>
    </row>
    <row r="835" ht="15.75" customHeight="1">
      <c r="A835" s="84"/>
      <c r="B835" s="84"/>
      <c r="C835" s="84"/>
      <c r="D835" s="84"/>
      <c r="E835" s="84"/>
      <c r="F835" s="84"/>
      <c r="G835" s="84"/>
      <c r="H835" s="84"/>
      <c r="I835" s="84"/>
      <c r="J835" s="84"/>
    </row>
    <row r="836" ht="15.75" customHeight="1">
      <c r="A836" s="84"/>
      <c r="B836" s="84"/>
      <c r="C836" s="84"/>
      <c r="D836" s="84"/>
      <c r="E836" s="84"/>
      <c r="F836" s="84"/>
      <c r="G836" s="84"/>
      <c r="H836" s="84"/>
      <c r="I836" s="84"/>
      <c r="J836" s="84"/>
    </row>
    <row r="837" ht="15.75" customHeight="1">
      <c r="A837" s="84"/>
      <c r="B837" s="84"/>
      <c r="C837" s="84"/>
      <c r="D837" s="84"/>
      <c r="E837" s="84"/>
      <c r="F837" s="84"/>
      <c r="G837" s="84"/>
      <c r="H837" s="84"/>
      <c r="I837" s="84"/>
      <c r="J837" s="84"/>
    </row>
    <row r="838" ht="15.75" customHeight="1">
      <c r="A838" s="84"/>
      <c r="B838" s="84"/>
      <c r="C838" s="84"/>
      <c r="D838" s="84"/>
      <c r="E838" s="84"/>
      <c r="F838" s="84"/>
      <c r="G838" s="84"/>
      <c r="H838" s="84"/>
      <c r="I838" s="84"/>
      <c r="J838" s="84"/>
    </row>
    <row r="839" ht="15.75" customHeight="1">
      <c r="A839" s="84"/>
      <c r="B839" s="84"/>
      <c r="C839" s="84"/>
      <c r="D839" s="84"/>
      <c r="E839" s="84"/>
      <c r="F839" s="84"/>
      <c r="G839" s="84"/>
      <c r="H839" s="84"/>
      <c r="I839" s="84"/>
      <c r="J839" s="84"/>
    </row>
    <row r="840" ht="15.75" customHeight="1">
      <c r="A840" s="84"/>
      <c r="B840" s="84"/>
      <c r="C840" s="84"/>
      <c r="D840" s="84"/>
      <c r="E840" s="84"/>
      <c r="F840" s="84"/>
      <c r="G840" s="84"/>
      <c r="H840" s="84"/>
      <c r="I840" s="84"/>
      <c r="J840" s="84"/>
    </row>
    <row r="841" ht="15.75" customHeight="1">
      <c r="A841" s="84"/>
      <c r="B841" s="84"/>
      <c r="C841" s="84"/>
      <c r="D841" s="84"/>
      <c r="E841" s="84"/>
      <c r="F841" s="84"/>
      <c r="G841" s="84"/>
      <c r="H841" s="84"/>
      <c r="I841" s="84"/>
      <c r="J841" s="84"/>
    </row>
    <row r="842" ht="15.75" customHeight="1">
      <c r="A842" s="84"/>
      <c r="B842" s="84"/>
      <c r="C842" s="84"/>
      <c r="D842" s="84"/>
      <c r="E842" s="84"/>
      <c r="F842" s="84"/>
      <c r="G842" s="84"/>
      <c r="H842" s="84"/>
      <c r="I842" s="84"/>
      <c r="J842" s="84"/>
    </row>
    <row r="843" ht="15.75" customHeight="1">
      <c r="A843" s="84"/>
      <c r="B843" s="84"/>
      <c r="C843" s="84"/>
      <c r="D843" s="84"/>
      <c r="E843" s="84"/>
      <c r="F843" s="84"/>
      <c r="G843" s="84"/>
      <c r="H843" s="84"/>
      <c r="I843" s="84"/>
      <c r="J843" s="84"/>
    </row>
    <row r="844" ht="15.75" customHeight="1">
      <c r="A844" s="84"/>
      <c r="B844" s="84"/>
      <c r="C844" s="84"/>
      <c r="D844" s="84"/>
      <c r="E844" s="84"/>
      <c r="F844" s="84"/>
      <c r="G844" s="84"/>
      <c r="H844" s="84"/>
      <c r="I844" s="84"/>
      <c r="J844" s="84"/>
    </row>
    <row r="845" ht="15.75" customHeight="1">
      <c r="A845" s="84"/>
      <c r="B845" s="84"/>
      <c r="C845" s="84"/>
      <c r="D845" s="84"/>
      <c r="E845" s="84"/>
      <c r="F845" s="84"/>
      <c r="G845" s="84"/>
      <c r="H845" s="84"/>
      <c r="I845" s="84"/>
      <c r="J845" s="84"/>
    </row>
    <row r="846" ht="15.75" customHeight="1">
      <c r="A846" s="84"/>
      <c r="B846" s="84"/>
      <c r="C846" s="84"/>
      <c r="D846" s="84"/>
      <c r="E846" s="84"/>
      <c r="F846" s="84"/>
      <c r="G846" s="84"/>
      <c r="H846" s="84"/>
      <c r="I846" s="84"/>
      <c r="J846" s="84"/>
    </row>
    <row r="847" ht="15.75" customHeight="1">
      <c r="A847" s="84"/>
      <c r="B847" s="84"/>
      <c r="C847" s="84"/>
      <c r="D847" s="84"/>
      <c r="E847" s="84"/>
      <c r="F847" s="84"/>
      <c r="G847" s="84"/>
      <c r="H847" s="84"/>
      <c r="I847" s="84"/>
      <c r="J847" s="84"/>
    </row>
    <row r="848" ht="15.75" customHeight="1">
      <c r="A848" s="84"/>
      <c r="B848" s="84"/>
      <c r="C848" s="84"/>
      <c r="D848" s="84"/>
      <c r="E848" s="84"/>
      <c r="F848" s="84"/>
      <c r="G848" s="84"/>
      <c r="H848" s="84"/>
      <c r="I848" s="84"/>
      <c r="J848" s="84"/>
    </row>
    <row r="849" ht="15.75" customHeight="1">
      <c r="A849" s="84"/>
      <c r="B849" s="84"/>
      <c r="C849" s="84"/>
      <c r="D849" s="84"/>
      <c r="E849" s="84"/>
      <c r="F849" s="84"/>
      <c r="G849" s="84"/>
      <c r="H849" s="84"/>
      <c r="I849" s="84"/>
      <c r="J849" s="84"/>
    </row>
    <row r="850" ht="15.75" customHeight="1">
      <c r="A850" s="84"/>
      <c r="B850" s="84"/>
      <c r="C850" s="84"/>
      <c r="D850" s="84"/>
      <c r="E850" s="84"/>
      <c r="F850" s="84"/>
      <c r="G850" s="84"/>
      <c r="H850" s="84"/>
      <c r="I850" s="84"/>
      <c r="J850" s="84"/>
    </row>
    <row r="851" ht="15.75" customHeight="1">
      <c r="A851" s="84"/>
      <c r="B851" s="84"/>
      <c r="C851" s="84"/>
      <c r="D851" s="84"/>
      <c r="E851" s="84"/>
      <c r="F851" s="84"/>
      <c r="G851" s="84"/>
      <c r="H851" s="84"/>
      <c r="I851" s="84"/>
      <c r="J851" s="84"/>
    </row>
    <row r="852" ht="15.75" customHeight="1">
      <c r="A852" s="84"/>
      <c r="B852" s="84"/>
      <c r="C852" s="84"/>
      <c r="D852" s="84"/>
      <c r="E852" s="84"/>
      <c r="F852" s="84"/>
      <c r="G852" s="84"/>
      <c r="H852" s="84"/>
      <c r="I852" s="84"/>
      <c r="J852" s="84"/>
    </row>
    <row r="853" ht="15.75" customHeight="1">
      <c r="A853" s="84"/>
      <c r="B853" s="84"/>
      <c r="C853" s="84"/>
      <c r="D853" s="84"/>
      <c r="E853" s="84"/>
      <c r="F853" s="84"/>
      <c r="G853" s="84"/>
      <c r="H853" s="84"/>
      <c r="I853" s="84"/>
      <c r="J853" s="84"/>
    </row>
    <row r="854" ht="15.75" customHeight="1">
      <c r="A854" s="84"/>
      <c r="B854" s="84"/>
      <c r="C854" s="84"/>
      <c r="D854" s="84"/>
      <c r="E854" s="84"/>
      <c r="F854" s="84"/>
      <c r="G854" s="84"/>
      <c r="H854" s="84"/>
      <c r="I854" s="84"/>
      <c r="J854" s="84"/>
    </row>
    <row r="855" ht="15.75" customHeight="1">
      <c r="A855" s="84"/>
      <c r="B855" s="84"/>
      <c r="C855" s="84"/>
      <c r="D855" s="84"/>
      <c r="E855" s="84"/>
      <c r="F855" s="84"/>
      <c r="G855" s="84"/>
      <c r="H855" s="84"/>
      <c r="I855" s="84"/>
      <c r="J855" s="84"/>
    </row>
    <row r="856" ht="15.75" customHeight="1">
      <c r="A856" s="84"/>
      <c r="B856" s="84"/>
      <c r="C856" s="84"/>
      <c r="D856" s="84"/>
      <c r="E856" s="84"/>
      <c r="F856" s="84"/>
      <c r="G856" s="84"/>
      <c r="H856" s="84"/>
      <c r="I856" s="84"/>
      <c r="J856" s="84"/>
    </row>
    <row r="857" ht="15.75" customHeight="1">
      <c r="A857" s="84"/>
      <c r="B857" s="84"/>
      <c r="C857" s="84"/>
      <c r="D857" s="84"/>
      <c r="E857" s="84"/>
      <c r="F857" s="84"/>
      <c r="G857" s="84"/>
      <c r="H857" s="84"/>
      <c r="I857" s="84"/>
      <c r="J857" s="84"/>
    </row>
    <row r="858" ht="15.75" customHeight="1">
      <c r="A858" s="84"/>
      <c r="B858" s="84"/>
      <c r="C858" s="84"/>
      <c r="D858" s="84"/>
      <c r="E858" s="84"/>
      <c r="F858" s="84"/>
      <c r="G858" s="84"/>
      <c r="H858" s="84"/>
      <c r="I858" s="84"/>
      <c r="J858" s="84"/>
    </row>
    <row r="859" ht="15.75" customHeight="1">
      <c r="A859" s="84"/>
      <c r="B859" s="84"/>
      <c r="C859" s="84"/>
      <c r="D859" s="84"/>
      <c r="E859" s="84"/>
      <c r="F859" s="84"/>
      <c r="G859" s="84"/>
      <c r="H859" s="84"/>
      <c r="I859" s="84"/>
      <c r="J859" s="84"/>
    </row>
    <row r="860" ht="15.75" customHeight="1">
      <c r="A860" s="84"/>
      <c r="B860" s="84"/>
      <c r="C860" s="84"/>
      <c r="D860" s="84"/>
      <c r="E860" s="84"/>
      <c r="F860" s="84"/>
      <c r="G860" s="84"/>
      <c r="H860" s="84"/>
      <c r="I860" s="84"/>
      <c r="J860" s="84"/>
    </row>
    <row r="861" ht="15.75" customHeight="1">
      <c r="A861" s="84"/>
      <c r="B861" s="84"/>
      <c r="C861" s="84"/>
      <c r="D861" s="84"/>
      <c r="E861" s="84"/>
      <c r="F861" s="84"/>
      <c r="G861" s="84"/>
      <c r="H861" s="84"/>
      <c r="I861" s="84"/>
      <c r="J861" s="84"/>
    </row>
    <row r="862" ht="15.75" customHeight="1">
      <c r="A862" s="84"/>
      <c r="B862" s="84"/>
      <c r="C862" s="84"/>
      <c r="D862" s="84"/>
      <c r="E862" s="84"/>
      <c r="F862" s="84"/>
      <c r="G862" s="84"/>
      <c r="H862" s="84"/>
      <c r="I862" s="84"/>
      <c r="J862" s="84"/>
    </row>
    <row r="863" ht="15.75" customHeight="1">
      <c r="A863" s="84"/>
      <c r="B863" s="84"/>
      <c r="C863" s="84"/>
      <c r="D863" s="84"/>
      <c r="E863" s="84"/>
      <c r="F863" s="84"/>
      <c r="G863" s="84"/>
      <c r="H863" s="84"/>
      <c r="I863" s="84"/>
      <c r="J863" s="84"/>
    </row>
    <row r="864" ht="15.75" customHeight="1">
      <c r="A864" s="84"/>
      <c r="B864" s="84"/>
      <c r="C864" s="84"/>
      <c r="D864" s="84"/>
      <c r="E864" s="84"/>
      <c r="F864" s="84"/>
      <c r="G864" s="84"/>
      <c r="H864" s="84"/>
      <c r="I864" s="84"/>
      <c r="J864" s="84"/>
    </row>
    <row r="865" ht="15.75" customHeight="1">
      <c r="A865" s="84"/>
      <c r="B865" s="84"/>
      <c r="C865" s="84"/>
      <c r="D865" s="84"/>
      <c r="E865" s="84"/>
      <c r="F865" s="84"/>
      <c r="G865" s="84"/>
      <c r="H865" s="84"/>
      <c r="I865" s="84"/>
      <c r="J865" s="84"/>
    </row>
    <row r="866" ht="15.75" customHeight="1">
      <c r="A866" s="84"/>
      <c r="B866" s="84"/>
      <c r="C866" s="84"/>
      <c r="D866" s="84"/>
      <c r="E866" s="84"/>
      <c r="F866" s="84"/>
      <c r="G866" s="84"/>
      <c r="H866" s="84"/>
      <c r="I866" s="84"/>
      <c r="J866" s="84"/>
    </row>
    <row r="867" ht="15.75" customHeight="1">
      <c r="A867" s="84"/>
      <c r="B867" s="84"/>
      <c r="C867" s="84"/>
      <c r="D867" s="84"/>
      <c r="E867" s="84"/>
      <c r="F867" s="84"/>
      <c r="G867" s="84"/>
      <c r="H867" s="84"/>
      <c r="I867" s="84"/>
      <c r="J867" s="84"/>
    </row>
    <row r="868" ht="15.75" customHeight="1">
      <c r="A868" s="84"/>
      <c r="B868" s="84"/>
      <c r="C868" s="84"/>
      <c r="D868" s="84"/>
      <c r="E868" s="84"/>
      <c r="F868" s="84"/>
      <c r="G868" s="84"/>
      <c r="H868" s="84"/>
      <c r="I868" s="84"/>
      <c r="J868" s="84"/>
    </row>
    <row r="869" ht="15.75" customHeight="1">
      <c r="A869" s="84"/>
      <c r="B869" s="84"/>
      <c r="C869" s="84"/>
      <c r="D869" s="84"/>
      <c r="E869" s="84"/>
      <c r="F869" s="84"/>
      <c r="G869" s="84"/>
      <c r="H869" s="84"/>
      <c r="I869" s="84"/>
      <c r="J869" s="84"/>
    </row>
    <row r="870" ht="15.75" customHeight="1">
      <c r="A870" s="84"/>
      <c r="B870" s="84"/>
      <c r="C870" s="84"/>
      <c r="D870" s="84"/>
      <c r="E870" s="84"/>
      <c r="F870" s="84"/>
      <c r="G870" s="84"/>
      <c r="H870" s="84"/>
      <c r="I870" s="84"/>
      <c r="J870" s="84"/>
    </row>
    <row r="871" ht="15.75" customHeight="1">
      <c r="A871" s="84"/>
      <c r="B871" s="84"/>
      <c r="C871" s="84"/>
      <c r="D871" s="84"/>
      <c r="E871" s="84"/>
      <c r="F871" s="84"/>
      <c r="G871" s="84"/>
      <c r="H871" s="84"/>
      <c r="I871" s="84"/>
      <c r="J871" s="84"/>
    </row>
    <row r="872" ht="15.75" customHeight="1">
      <c r="A872" s="84"/>
      <c r="B872" s="84"/>
      <c r="C872" s="84"/>
      <c r="D872" s="84"/>
      <c r="E872" s="84"/>
      <c r="F872" s="84"/>
      <c r="G872" s="84"/>
      <c r="H872" s="84"/>
      <c r="I872" s="84"/>
      <c r="J872" s="84"/>
    </row>
    <row r="873" ht="15.75" customHeight="1">
      <c r="A873" s="84"/>
      <c r="B873" s="84"/>
      <c r="C873" s="84"/>
      <c r="D873" s="84"/>
      <c r="E873" s="84"/>
      <c r="F873" s="84"/>
      <c r="G873" s="84"/>
      <c r="H873" s="84"/>
      <c r="I873" s="84"/>
      <c r="J873" s="84"/>
    </row>
    <row r="874" ht="15.75" customHeight="1">
      <c r="A874" s="84"/>
      <c r="B874" s="84"/>
      <c r="C874" s="84"/>
      <c r="D874" s="84"/>
      <c r="E874" s="84"/>
      <c r="F874" s="84"/>
      <c r="G874" s="84"/>
      <c r="H874" s="84"/>
      <c r="I874" s="84"/>
      <c r="J874" s="84"/>
    </row>
    <row r="875" ht="15.75" customHeight="1">
      <c r="A875" s="84"/>
      <c r="B875" s="84"/>
      <c r="C875" s="84"/>
      <c r="D875" s="84"/>
      <c r="E875" s="84"/>
      <c r="F875" s="84"/>
      <c r="G875" s="84"/>
      <c r="H875" s="84"/>
      <c r="I875" s="84"/>
      <c r="J875" s="84"/>
    </row>
    <row r="876" ht="15.75" customHeight="1">
      <c r="A876" s="84"/>
      <c r="B876" s="84"/>
      <c r="C876" s="84"/>
      <c r="D876" s="84"/>
      <c r="E876" s="84"/>
      <c r="F876" s="84"/>
      <c r="G876" s="84"/>
      <c r="H876" s="84"/>
      <c r="I876" s="84"/>
      <c r="J876" s="84"/>
    </row>
    <row r="877" ht="15.75" customHeight="1">
      <c r="A877" s="84"/>
      <c r="B877" s="84"/>
      <c r="C877" s="84"/>
      <c r="D877" s="84"/>
      <c r="E877" s="84"/>
      <c r="F877" s="84"/>
      <c r="G877" s="84"/>
      <c r="H877" s="84"/>
      <c r="I877" s="84"/>
      <c r="J877" s="84"/>
    </row>
    <row r="878" ht="15.75" customHeight="1">
      <c r="A878" s="84"/>
      <c r="B878" s="84"/>
      <c r="C878" s="84"/>
      <c r="D878" s="84"/>
      <c r="E878" s="84"/>
      <c r="F878" s="84"/>
      <c r="G878" s="84"/>
      <c r="H878" s="84"/>
      <c r="I878" s="84"/>
      <c r="J878" s="84"/>
    </row>
    <row r="879" ht="15.75" customHeight="1">
      <c r="A879" s="84"/>
      <c r="B879" s="84"/>
      <c r="C879" s="84"/>
      <c r="D879" s="84"/>
      <c r="E879" s="84"/>
      <c r="F879" s="84"/>
      <c r="G879" s="84"/>
      <c r="H879" s="84"/>
      <c r="I879" s="84"/>
      <c r="J879" s="84"/>
    </row>
    <row r="880" ht="15.75" customHeight="1">
      <c r="A880" s="84"/>
      <c r="B880" s="84"/>
      <c r="C880" s="84"/>
      <c r="D880" s="84"/>
      <c r="E880" s="84"/>
      <c r="F880" s="84"/>
      <c r="G880" s="84"/>
      <c r="H880" s="84"/>
      <c r="I880" s="84"/>
      <c r="J880" s="84"/>
    </row>
    <row r="881" ht="15.75" customHeight="1">
      <c r="A881" s="84"/>
      <c r="B881" s="84"/>
      <c r="C881" s="84"/>
      <c r="D881" s="84"/>
      <c r="E881" s="84"/>
      <c r="F881" s="84"/>
      <c r="G881" s="84"/>
      <c r="H881" s="84"/>
      <c r="I881" s="84"/>
      <c r="J881" s="84"/>
    </row>
    <row r="882" ht="15.75" customHeight="1">
      <c r="A882" s="84"/>
      <c r="B882" s="84"/>
      <c r="C882" s="84"/>
      <c r="D882" s="84"/>
      <c r="E882" s="84"/>
      <c r="F882" s="84"/>
      <c r="G882" s="84"/>
      <c r="H882" s="84"/>
      <c r="I882" s="84"/>
      <c r="J882" s="84"/>
    </row>
    <row r="883" ht="15.75" customHeight="1">
      <c r="A883" s="84"/>
      <c r="B883" s="84"/>
      <c r="C883" s="84"/>
      <c r="D883" s="84"/>
      <c r="E883" s="84"/>
      <c r="F883" s="84"/>
      <c r="G883" s="84"/>
      <c r="H883" s="84"/>
      <c r="I883" s="84"/>
      <c r="J883" s="84"/>
    </row>
    <row r="884" ht="15.75" customHeight="1">
      <c r="A884" s="84"/>
      <c r="B884" s="84"/>
      <c r="C884" s="84"/>
      <c r="D884" s="84"/>
      <c r="E884" s="84"/>
      <c r="F884" s="84"/>
      <c r="G884" s="84"/>
      <c r="H884" s="84"/>
      <c r="I884" s="84"/>
      <c r="J884" s="84"/>
    </row>
    <row r="885" ht="15.75" customHeight="1">
      <c r="A885" s="84"/>
      <c r="B885" s="84"/>
      <c r="C885" s="84"/>
      <c r="D885" s="84"/>
      <c r="E885" s="84"/>
      <c r="F885" s="84"/>
      <c r="G885" s="84"/>
      <c r="H885" s="84"/>
      <c r="I885" s="84"/>
      <c r="J885" s="84"/>
    </row>
    <row r="886" ht="15.75" customHeight="1">
      <c r="A886" s="84"/>
      <c r="B886" s="84"/>
      <c r="C886" s="84"/>
      <c r="D886" s="84"/>
      <c r="E886" s="84"/>
      <c r="F886" s="84"/>
      <c r="G886" s="84"/>
      <c r="H886" s="84"/>
      <c r="I886" s="84"/>
      <c r="J886" s="84"/>
    </row>
    <row r="887" ht="15.75" customHeight="1">
      <c r="A887" s="84"/>
      <c r="B887" s="84"/>
      <c r="C887" s="84"/>
      <c r="D887" s="84"/>
      <c r="E887" s="84"/>
      <c r="F887" s="84"/>
      <c r="G887" s="84"/>
      <c r="H887" s="84"/>
      <c r="I887" s="84"/>
      <c r="J887" s="84"/>
    </row>
    <row r="888" ht="15.75" customHeight="1">
      <c r="A888" s="84"/>
      <c r="B888" s="84"/>
      <c r="C888" s="84"/>
      <c r="D888" s="84"/>
      <c r="E888" s="84"/>
      <c r="F888" s="84"/>
      <c r="G888" s="84"/>
      <c r="H888" s="84"/>
      <c r="I888" s="84"/>
      <c r="J888" s="84"/>
    </row>
    <row r="889" ht="15.75" customHeight="1">
      <c r="A889" s="84"/>
      <c r="B889" s="84"/>
      <c r="C889" s="84"/>
      <c r="D889" s="84"/>
      <c r="E889" s="84"/>
      <c r="F889" s="84"/>
      <c r="G889" s="84"/>
      <c r="H889" s="84"/>
      <c r="I889" s="84"/>
      <c r="J889" s="84"/>
    </row>
    <row r="890" ht="15.75" customHeight="1">
      <c r="A890" s="84"/>
      <c r="B890" s="84"/>
      <c r="C890" s="84"/>
      <c r="D890" s="84"/>
      <c r="E890" s="84"/>
      <c r="F890" s="84"/>
      <c r="G890" s="84"/>
      <c r="H890" s="84"/>
      <c r="I890" s="84"/>
      <c r="J890" s="84"/>
    </row>
    <row r="891" ht="15.75" customHeight="1">
      <c r="A891" s="84"/>
      <c r="B891" s="84"/>
      <c r="C891" s="84"/>
      <c r="D891" s="84"/>
      <c r="E891" s="84"/>
      <c r="F891" s="84"/>
      <c r="G891" s="84"/>
      <c r="H891" s="84"/>
      <c r="I891" s="84"/>
      <c r="J891" s="84"/>
    </row>
    <row r="892" ht="15.75" customHeight="1">
      <c r="A892" s="84"/>
      <c r="B892" s="84"/>
      <c r="C892" s="84"/>
      <c r="D892" s="84"/>
      <c r="E892" s="84"/>
      <c r="F892" s="84"/>
      <c r="G892" s="84"/>
      <c r="H892" s="84"/>
      <c r="I892" s="84"/>
      <c r="J892" s="84"/>
    </row>
    <row r="893" ht="15.75" customHeight="1">
      <c r="A893" s="84"/>
      <c r="B893" s="84"/>
      <c r="C893" s="84"/>
      <c r="D893" s="84"/>
      <c r="E893" s="84"/>
      <c r="F893" s="84"/>
      <c r="G893" s="84"/>
      <c r="H893" s="84"/>
      <c r="I893" s="84"/>
      <c r="J893" s="84"/>
    </row>
    <row r="894" ht="15.75" customHeight="1">
      <c r="A894" s="84"/>
      <c r="B894" s="84"/>
      <c r="C894" s="84"/>
      <c r="D894" s="84"/>
      <c r="E894" s="84"/>
      <c r="F894" s="84"/>
      <c r="G894" s="84"/>
      <c r="H894" s="84"/>
      <c r="I894" s="84"/>
      <c r="J894" s="84"/>
    </row>
    <row r="895" ht="15.75" customHeight="1">
      <c r="A895" s="84"/>
      <c r="B895" s="84"/>
      <c r="C895" s="84"/>
      <c r="D895" s="84"/>
      <c r="E895" s="84"/>
      <c r="F895" s="84"/>
      <c r="G895" s="84"/>
      <c r="H895" s="84"/>
      <c r="I895" s="84"/>
      <c r="J895" s="84"/>
    </row>
    <row r="896" ht="15.75" customHeight="1">
      <c r="A896" s="84"/>
      <c r="B896" s="84"/>
      <c r="C896" s="84"/>
      <c r="D896" s="84"/>
      <c r="E896" s="84"/>
      <c r="F896" s="84"/>
      <c r="G896" s="84"/>
      <c r="H896" s="84"/>
      <c r="I896" s="84"/>
      <c r="J896" s="84"/>
    </row>
    <row r="897" ht="15.75" customHeight="1">
      <c r="A897" s="84"/>
      <c r="B897" s="84"/>
      <c r="C897" s="84"/>
      <c r="D897" s="84"/>
      <c r="E897" s="84"/>
      <c r="F897" s="84"/>
      <c r="G897" s="84"/>
      <c r="H897" s="84"/>
      <c r="I897" s="84"/>
      <c r="J897" s="84"/>
    </row>
    <row r="898" ht="15.75" customHeight="1">
      <c r="A898" s="84"/>
      <c r="B898" s="84"/>
      <c r="C898" s="84"/>
      <c r="D898" s="84"/>
      <c r="E898" s="84"/>
      <c r="F898" s="84"/>
      <c r="G898" s="84"/>
      <c r="H898" s="84"/>
      <c r="I898" s="84"/>
      <c r="J898" s="84"/>
    </row>
    <row r="899" ht="15.75" customHeight="1">
      <c r="A899" s="84"/>
      <c r="B899" s="84"/>
      <c r="C899" s="84"/>
      <c r="D899" s="84"/>
      <c r="E899" s="84"/>
      <c r="F899" s="84"/>
      <c r="G899" s="84"/>
      <c r="H899" s="84"/>
      <c r="I899" s="84"/>
      <c r="J899" s="84"/>
    </row>
    <row r="900" ht="15.75" customHeight="1">
      <c r="A900" s="84"/>
      <c r="B900" s="84"/>
      <c r="C900" s="84"/>
      <c r="D900" s="84"/>
      <c r="E900" s="84"/>
      <c r="F900" s="84"/>
      <c r="G900" s="84"/>
      <c r="H900" s="84"/>
      <c r="I900" s="84"/>
      <c r="J900" s="84"/>
    </row>
    <row r="901" ht="15.75" customHeight="1">
      <c r="A901" s="84"/>
      <c r="B901" s="84"/>
      <c r="C901" s="84"/>
      <c r="D901" s="84"/>
      <c r="E901" s="84"/>
      <c r="F901" s="84"/>
      <c r="G901" s="84"/>
      <c r="H901" s="84"/>
      <c r="I901" s="84"/>
      <c r="J901" s="84"/>
    </row>
    <row r="902" ht="15.75" customHeight="1">
      <c r="A902" s="84"/>
      <c r="B902" s="84"/>
      <c r="C902" s="84"/>
      <c r="D902" s="84"/>
      <c r="E902" s="84"/>
      <c r="F902" s="84"/>
      <c r="G902" s="84"/>
      <c r="H902" s="84"/>
      <c r="I902" s="84"/>
      <c r="J902" s="84"/>
    </row>
    <row r="903" ht="15.75" customHeight="1">
      <c r="A903" s="84"/>
      <c r="B903" s="84"/>
      <c r="C903" s="84"/>
      <c r="D903" s="84"/>
      <c r="E903" s="84"/>
      <c r="F903" s="84"/>
      <c r="G903" s="84"/>
      <c r="H903" s="84"/>
      <c r="I903" s="84"/>
      <c r="J903" s="84"/>
    </row>
    <row r="904" ht="15.75" customHeight="1">
      <c r="A904" s="84"/>
      <c r="B904" s="84"/>
      <c r="C904" s="84"/>
      <c r="D904" s="84"/>
      <c r="E904" s="84"/>
      <c r="F904" s="84"/>
      <c r="G904" s="84"/>
      <c r="H904" s="84"/>
      <c r="I904" s="84"/>
      <c r="J904" s="84"/>
    </row>
    <row r="905" ht="15.75" customHeight="1">
      <c r="A905" s="84"/>
      <c r="B905" s="84"/>
      <c r="C905" s="84"/>
      <c r="D905" s="84"/>
      <c r="E905" s="84"/>
      <c r="F905" s="84"/>
      <c r="G905" s="84"/>
      <c r="H905" s="84"/>
      <c r="I905" s="84"/>
      <c r="J905" s="84"/>
    </row>
    <row r="906" ht="15.75" customHeight="1">
      <c r="A906" s="84"/>
      <c r="B906" s="84"/>
      <c r="C906" s="84"/>
      <c r="D906" s="84"/>
      <c r="E906" s="84"/>
      <c r="F906" s="84"/>
      <c r="G906" s="84"/>
      <c r="H906" s="84"/>
      <c r="I906" s="84"/>
      <c r="J906" s="84"/>
    </row>
    <row r="907" ht="15.75" customHeight="1">
      <c r="A907" s="84"/>
      <c r="B907" s="84"/>
      <c r="C907" s="84"/>
      <c r="D907" s="84"/>
      <c r="E907" s="84"/>
      <c r="F907" s="84"/>
      <c r="G907" s="84"/>
      <c r="H907" s="84"/>
      <c r="I907" s="84"/>
      <c r="J907" s="84"/>
    </row>
    <row r="908" ht="15.75" customHeight="1">
      <c r="A908" s="84"/>
      <c r="B908" s="84"/>
      <c r="C908" s="84"/>
      <c r="D908" s="84"/>
      <c r="E908" s="84"/>
      <c r="F908" s="84"/>
      <c r="G908" s="84"/>
      <c r="H908" s="84"/>
      <c r="I908" s="84"/>
      <c r="J908" s="84"/>
    </row>
    <row r="909" ht="15.75" customHeight="1">
      <c r="A909" s="84"/>
      <c r="B909" s="84"/>
      <c r="C909" s="84"/>
      <c r="D909" s="84"/>
      <c r="E909" s="84"/>
      <c r="F909" s="84"/>
      <c r="G909" s="84"/>
      <c r="H909" s="84"/>
      <c r="I909" s="84"/>
      <c r="J909" s="84"/>
    </row>
    <row r="910" ht="15.75" customHeight="1">
      <c r="A910" s="84"/>
      <c r="B910" s="84"/>
      <c r="C910" s="84"/>
      <c r="D910" s="84"/>
      <c r="E910" s="84"/>
      <c r="F910" s="84"/>
      <c r="G910" s="84"/>
      <c r="H910" s="84"/>
      <c r="I910" s="84"/>
      <c r="J910" s="84"/>
    </row>
    <row r="911" ht="15.75" customHeight="1">
      <c r="A911" s="84"/>
      <c r="B911" s="84"/>
      <c r="C911" s="84"/>
      <c r="D911" s="84"/>
      <c r="E911" s="84"/>
      <c r="F911" s="84"/>
      <c r="G911" s="84"/>
      <c r="H911" s="84"/>
      <c r="I911" s="84"/>
      <c r="J911" s="84"/>
    </row>
    <row r="912" ht="15.75" customHeight="1">
      <c r="A912" s="84"/>
      <c r="B912" s="84"/>
      <c r="C912" s="84"/>
      <c r="D912" s="84"/>
      <c r="E912" s="84"/>
      <c r="F912" s="84"/>
      <c r="G912" s="84"/>
      <c r="H912" s="84"/>
      <c r="I912" s="84"/>
      <c r="J912" s="84"/>
    </row>
    <row r="913" ht="15.75" customHeight="1">
      <c r="A913" s="84"/>
      <c r="B913" s="84"/>
      <c r="C913" s="84"/>
      <c r="D913" s="84"/>
      <c r="E913" s="84"/>
      <c r="F913" s="84"/>
      <c r="G913" s="84"/>
      <c r="H913" s="84"/>
      <c r="I913" s="84"/>
      <c r="J913" s="84"/>
    </row>
    <row r="914" ht="15.75" customHeight="1">
      <c r="A914" s="84"/>
      <c r="B914" s="84"/>
      <c r="C914" s="84"/>
      <c r="D914" s="84"/>
      <c r="E914" s="84"/>
      <c r="F914" s="84"/>
      <c r="G914" s="84"/>
      <c r="H914" s="84"/>
      <c r="I914" s="84"/>
      <c r="J914" s="84"/>
    </row>
    <row r="915" ht="15.75" customHeight="1">
      <c r="A915" s="84"/>
      <c r="B915" s="84"/>
      <c r="C915" s="84"/>
      <c r="D915" s="84"/>
      <c r="E915" s="84"/>
      <c r="F915" s="84"/>
      <c r="G915" s="84"/>
      <c r="H915" s="84"/>
      <c r="I915" s="84"/>
      <c r="J915" s="84"/>
    </row>
    <row r="916" ht="15.75" customHeight="1">
      <c r="A916" s="84"/>
      <c r="B916" s="84"/>
      <c r="C916" s="84"/>
      <c r="D916" s="84"/>
      <c r="E916" s="84"/>
      <c r="F916" s="84"/>
      <c r="G916" s="84"/>
      <c r="H916" s="84"/>
      <c r="I916" s="84"/>
      <c r="J916" s="84"/>
    </row>
    <row r="917" ht="15.75" customHeight="1">
      <c r="A917" s="84"/>
      <c r="B917" s="84"/>
      <c r="C917" s="84"/>
      <c r="D917" s="84"/>
      <c r="E917" s="84"/>
      <c r="F917" s="84"/>
      <c r="G917" s="84"/>
      <c r="H917" s="84"/>
      <c r="I917" s="84"/>
      <c r="J917" s="84"/>
    </row>
    <row r="918" ht="15.75" customHeight="1">
      <c r="A918" s="84"/>
      <c r="B918" s="84"/>
      <c r="C918" s="84"/>
      <c r="D918" s="84"/>
      <c r="E918" s="84"/>
      <c r="F918" s="84"/>
      <c r="G918" s="84"/>
      <c r="H918" s="84"/>
      <c r="I918" s="84"/>
      <c r="J918" s="84"/>
    </row>
    <row r="919" ht="15.75" customHeight="1">
      <c r="A919" s="84"/>
      <c r="B919" s="84"/>
      <c r="C919" s="84"/>
      <c r="D919" s="84"/>
      <c r="E919" s="84"/>
      <c r="F919" s="84"/>
      <c r="G919" s="84"/>
      <c r="H919" s="84"/>
      <c r="I919" s="84"/>
      <c r="J919" s="84"/>
    </row>
    <row r="920" ht="15.75" customHeight="1">
      <c r="A920" s="84"/>
      <c r="B920" s="84"/>
      <c r="C920" s="84"/>
      <c r="D920" s="84"/>
      <c r="E920" s="84"/>
      <c r="F920" s="84"/>
      <c r="G920" s="84"/>
      <c r="H920" s="84"/>
      <c r="I920" s="84"/>
      <c r="J920" s="84"/>
    </row>
    <row r="921" ht="15.75" customHeight="1">
      <c r="A921" s="84"/>
      <c r="B921" s="84"/>
      <c r="C921" s="84"/>
      <c r="D921" s="84"/>
      <c r="E921" s="84"/>
      <c r="F921" s="84"/>
      <c r="G921" s="84"/>
      <c r="H921" s="84"/>
      <c r="I921" s="84"/>
      <c r="J921" s="84"/>
    </row>
    <row r="922" ht="15.75" customHeight="1">
      <c r="A922" s="84"/>
      <c r="B922" s="84"/>
      <c r="C922" s="84"/>
      <c r="D922" s="84"/>
      <c r="E922" s="84"/>
      <c r="F922" s="84"/>
      <c r="G922" s="84"/>
      <c r="H922" s="84"/>
      <c r="I922" s="84"/>
      <c r="J922" s="84"/>
    </row>
    <row r="923" ht="15.75" customHeight="1">
      <c r="A923" s="84"/>
      <c r="B923" s="84"/>
      <c r="C923" s="84"/>
      <c r="D923" s="84"/>
      <c r="E923" s="84"/>
      <c r="F923" s="84"/>
      <c r="G923" s="84"/>
      <c r="H923" s="84"/>
      <c r="I923" s="84"/>
      <c r="J923" s="84"/>
    </row>
    <row r="924" ht="15.75" customHeight="1">
      <c r="A924" s="84"/>
      <c r="B924" s="84"/>
      <c r="C924" s="84"/>
      <c r="D924" s="84"/>
      <c r="E924" s="84"/>
      <c r="F924" s="84"/>
      <c r="G924" s="84"/>
      <c r="H924" s="84"/>
      <c r="I924" s="84"/>
      <c r="J924" s="84"/>
    </row>
    <row r="925" ht="15.75" customHeight="1">
      <c r="A925" s="84"/>
      <c r="B925" s="84"/>
      <c r="C925" s="84"/>
      <c r="D925" s="84"/>
      <c r="E925" s="84"/>
      <c r="F925" s="84"/>
      <c r="G925" s="84"/>
      <c r="H925" s="84"/>
      <c r="I925" s="84"/>
      <c r="J925" s="84"/>
    </row>
    <row r="926" ht="15.75" customHeight="1">
      <c r="A926" s="84"/>
      <c r="B926" s="84"/>
      <c r="C926" s="84"/>
      <c r="D926" s="84"/>
      <c r="E926" s="84"/>
      <c r="F926" s="84"/>
      <c r="G926" s="84"/>
      <c r="H926" s="84"/>
      <c r="I926" s="84"/>
      <c r="J926" s="84"/>
    </row>
    <row r="927" ht="15.75" customHeight="1">
      <c r="A927" s="84"/>
      <c r="B927" s="84"/>
      <c r="C927" s="84"/>
      <c r="D927" s="84"/>
      <c r="E927" s="84"/>
      <c r="F927" s="84"/>
      <c r="G927" s="84"/>
      <c r="H927" s="84"/>
      <c r="I927" s="84"/>
      <c r="J927" s="84"/>
    </row>
    <row r="928" ht="15.75" customHeight="1">
      <c r="A928" s="84"/>
      <c r="B928" s="84"/>
      <c r="C928" s="84"/>
      <c r="D928" s="84"/>
      <c r="E928" s="84"/>
      <c r="F928" s="84"/>
      <c r="G928" s="84"/>
      <c r="H928" s="84"/>
      <c r="I928" s="84"/>
      <c r="J928" s="84"/>
    </row>
    <row r="929" ht="15.75" customHeight="1">
      <c r="A929" s="84"/>
      <c r="B929" s="84"/>
      <c r="C929" s="84"/>
      <c r="D929" s="84"/>
      <c r="E929" s="84"/>
      <c r="F929" s="84"/>
      <c r="G929" s="84"/>
      <c r="H929" s="84"/>
      <c r="I929" s="84"/>
      <c r="J929" s="84"/>
    </row>
    <row r="930" ht="15.75" customHeight="1">
      <c r="A930" s="84"/>
      <c r="B930" s="84"/>
      <c r="C930" s="84"/>
      <c r="D930" s="84"/>
      <c r="E930" s="84"/>
      <c r="F930" s="84"/>
      <c r="G930" s="84"/>
      <c r="H930" s="84"/>
      <c r="I930" s="84"/>
      <c r="J930" s="84"/>
    </row>
    <row r="931" ht="15.75" customHeight="1">
      <c r="A931" s="84"/>
      <c r="B931" s="84"/>
      <c r="C931" s="84"/>
      <c r="D931" s="84"/>
      <c r="E931" s="84"/>
      <c r="F931" s="84"/>
      <c r="G931" s="84"/>
      <c r="H931" s="84"/>
      <c r="I931" s="84"/>
      <c r="J931" s="84"/>
    </row>
    <row r="932" ht="15.75" customHeight="1">
      <c r="A932" s="84"/>
      <c r="B932" s="84"/>
      <c r="C932" s="84"/>
      <c r="D932" s="84"/>
      <c r="E932" s="84"/>
      <c r="F932" s="84"/>
      <c r="G932" s="84"/>
      <c r="H932" s="84"/>
      <c r="I932" s="84"/>
      <c r="J932" s="84"/>
    </row>
    <row r="933" ht="15.75" customHeight="1">
      <c r="A933" s="84"/>
      <c r="B933" s="84"/>
      <c r="C933" s="84"/>
      <c r="D933" s="84"/>
      <c r="E933" s="84"/>
      <c r="F933" s="84"/>
      <c r="G933" s="84"/>
      <c r="H933" s="84"/>
      <c r="I933" s="84"/>
      <c r="J933" s="84"/>
    </row>
    <row r="934" ht="15.75" customHeight="1">
      <c r="A934" s="84"/>
      <c r="B934" s="84"/>
      <c r="C934" s="84"/>
      <c r="D934" s="84"/>
      <c r="E934" s="84"/>
      <c r="F934" s="84"/>
      <c r="G934" s="84"/>
      <c r="H934" s="84"/>
      <c r="I934" s="84"/>
      <c r="J934" s="84"/>
    </row>
    <row r="935" ht="15.75" customHeight="1">
      <c r="A935" s="84"/>
      <c r="B935" s="84"/>
      <c r="C935" s="84"/>
      <c r="D935" s="84"/>
      <c r="E935" s="84"/>
      <c r="F935" s="84"/>
      <c r="G935" s="84"/>
      <c r="H935" s="84"/>
      <c r="I935" s="84"/>
      <c r="J935" s="84"/>
    </row>
    <row r="936" ht="15.75" customHeight="1">
      <c r="A936" s="84"/>
      <c r="B936" s="84"/>
      <c r="C936" s="84"/>
      <c r="D936" s="84"/>
      <c r="E936" s="84"/>
      <c r="F936" s="84"/>
      <c r="G936" s="84"/>
      <c r="H936" s="84"/>
      <c r="I936" s="84"/>
      <c r="J936" s="84"/>
    </row>
    <row r="937" ht="15.75" customHeight="1">
      <c r="A937" s="84"/>
      <c r="B937" s="84"/>
      <c r="C937" s="84"/>
      <c r="D937" s="84"/>
      <c r="E937" s="84"/>
      <c r="F937" s="84"/>
      <c r="G937" s="84"/>
      <c r="H937" s="84"/>
      <c r="I937" s="84"/>
      <c r="J937" s="84"/>
    </row>
    <row r="938" ht="15.75" customHeight="1">
      <c r="A938" s="84"/>
      <c r="B938" s="84"/>
      <c r="C938" s="84"/>
      <c r="D938" s="84"/>
      <c r="E938" s="84"/>
      <c r="F938" s="84"/>
      <c r="G938" s="84"/>
      <c r="H938" s="84"/>
      <c r="I938" s="84"/>
      <c r="J938" s="84"/>
    </row>
    <row r="939" ht="15.75" customHeight="1">
      <c r="A939" s="84"/>
      <c r="B939" s="84"/>
      <c r="C939" s="84"/>
      <c r="D939" s="84"/>
      <c r="E939" s="84"/>
      <c r="F939" s="84"/>
      <c r="G939" s="84"/>
      <c r="H939" s="84"/>
      <c r="I939" s="84"/>
      <c r="J939" s="84"/>
    </row>
    <row r="940" ht="15.75" customHeight="1">
      <c r="A940" s="84"/>
      <c r="B940" s="84"/>
      <c r="C940" s="84"/>
      <c r="D940" s="84"/>
      <c r="E940" s="84"/>
      <c r="F940" s="84"/>
      <c r="G940" s="84"/>
      <c r="H940" s="84"/>
      <c r="I940" s="84"/>
      <c r="J940" s="84"/>
    </row>
    <row r="941" ht="15.75" customHeight="1">
      <c r="A941" s="84"/>
      <c r="B941" s="84"/>
      <c r="C941" s="84"/>
      <c r="D941" s="84"/>
      <c r="E941" s="84"/>
      <c r="F941" s="84"/>
      <c r="G941" s="84"/>
      <c r="H941" s="84"/>
      <c r="I941" s="84"/>
      <c r="J941" s="84"/>
    </row>
    <row r="942" ht="15.75" customHeight="1">
      <c r="A942" s="84"/>
      <c r="B942" s="84"/>
      <c r="C942" s="84"/>
      <c r="D942" s="84"/>
      <c r="E942" s="84"/>
      <c r="F942" s="84"/>
      <c r="G942" s="84"/>
      <c r="H942" s="84"/>
      <c r="I942" s="84"/>
      <c r="J942" s="84"/>
    </row>
    <row r="943" ht="15.75" customHeight="1">
      <c r="A943" s="84"/>
      <c r="B943" s="84"/>
      <c r="C943" s="84"/>
      <c r="D943" s="84"/>
      <c r="E943" s="84"/>
      <c r="F943" s="84"/>
      <c r="G943" s="84"/>
      <c r="H943" s="84"/>
      <c r="I943" s="84"/>
      <c r="J943" s="84"/>
    </row>
    <row r="944" ht="15.75" customHeight="1">
      <c r="A944" s="84"/>
      <c r="B944" s="84"/>
      <c r="C944" s="84"/>
      <c r="D944" s="84"/>
      <c r="E944" s="84"/>
      <c r="F944" s="84"/>
      <c r="G944" s="84"/>
      <c r="H944" s="84"/>
      <c r="I944" s="84"/>
      <c r="J944" s="84"/>
    </row>
    <row r="945" ht="15.75" customHeight="1">
      <c r="A945" s="84"/>
      <c r="B945" s="84"/>
      <c r="C945" s="84"/>
      <c r="D945" s="84"/>
      <c r="E945" s="84"/>
      <c r="F945" s="84"/>
      <c r="G945" s="84"/>
      <c r="H945" s="84"/>
      <c r="I945" s="84"/>
      <c r="J945" s="84"/>
    </row>
    <row r="946" ht="15.75" customHeight="1">
      <c r="A946" s="84"/>
      <c r="B946" s="84"/>
      <c r="C946" s="84"/>
      <c r="D946" s="84"/>
      <c r="E946" s="84"/>
      <c r="F946" s="84"/>
      <c r="G946" s="84"/>
      <c r="H946" s="84"/>
      <c r="I946" s="84"/>
      <c r="J946" s="84"/>
    </row>
    <row r="947" ht="15.75" customHeight="1">
      <c r="A947" s="84"/>
      <c r="B947" s="84"/>
      <c r="C947" s="84"/>
      <c r="D947" s="84"/>
      <c r="E947" s="84"/>
      <c r="F947" s="84"/>
      <c r="G947" s="84"/>
      <c r="H947" s="84"/>
      <c r="I947" s="84"/>
      <c r="J947" s="84"/>
    </row>
    <row r="948" ht="15.75" customHeight="1">
      <c r="A948" s="84"/>
      <c r="B948" s="84"/>
      <c r="C948" s="84"/>
      <c r="D948" s="84"/>
      <c r="E948" s="84"/>
      <c r="F948" s="84"/>
      <c r="G948" s="84"/>
      <c r="H948" s="84"/>
      <c r="I948" s="84"/>
      <c r="J948" s="84"/>
    </row>
    <row r="949" ht="15.75" customHeight="1">
      <c r="A949" s="84"/>
      <c r="B949" s="84"/>
      <c r="C949" s="84"/>
      <c r="D949" s="84"/>
      <c r="E949" s="84"/>
      <c r="F949" s="84"/>
      <c r="G949" s="84"/>
      <c r="H949" s="84"/>
      <c r="I949" s="84"/>
      <c r="J949" s="84"/>
    </row>
    <row r="950" ht="15.75" customHeight="1">
      <c r="A950" s="84"/>
      <c r="B950" s="84"/>
      <c r="C950" s="84"/>
      <c r="D950" s="84"/>
      <c r="E950" s="84"/>
      <c r="F950" s="84"/>
      <c r="G950" s="84"/>
      <c r="H950" s="84"/>
      <c r="I950" s="84"/>
      <c r="J950" s="84"/>
    </row>
    <row r="951" ht="15.75" customHeight="1">
      <c r="A951" s="84"/>
      <c r="B951" s="84"/>
      <c r="C951" s="84"/>
      <c r="D951" s="84"/>
      <c r="E951" s="84"/>
      <c r="F951" s="84"/>
      <c r="G951" s="84"/>
      <c r="H951" s="84"/>
      <c r="I951" s="84"/>
      <c r="J951" s="84"/>
    </row>
    <row r="952" ht="15.75" customHeight="1">
      <c r="A952" s="84"/>
      <c r="B952" s="84"/>
      <c r="C952" s="84"/>
      <c r="D952" s="84"/>
      <c r="E952" s="84"/>
      <c r="F952" s="84"/>
      <c r="G952" s="84"/>
      <c r="H952" s="84"/>
      <c r="I952" s="84"/>
      <c r="J952" s="84"/>
    </row>
    <row r="953" ht="15.75" customHeight="1">
      <c r="A953" s="84"/>
      <c r="B953" s="84"/>
      <c r="C953" s="84"/>
      <c r="D953" s="84"/>
      <c r="E953" s="84"/>
      <c r="F953" s="84"/>
      <c r="G953" s="84"/>
      <c r="H953" s="84"/>
      <c r="I953" s="84"/>
      <c r="J953" s="84"/>
    </row>
    <row r="954" ht="15.75" customHeight="1">
      <c r="A954" s="84"/>
      <c r="B954" s="84"/>
      <c r="C954" s="84"/>
      <c r="D954" s="84"/>
      <c r="E954" s="84"/>
      <c r="F954" s="84"/>
      <c r="G954" s="84"/>
      <c r="H954" s="84"/>
      <c r="I954" s="84"/>
      <c r="J954" s="84"/>
    </row>
    <row r="955" ht="15.75" customHeight="1">
      <c r="A955" s="84"/>
      <c r="B955" s="84"/>
      <c r="C955" s="84"/>
      <c r="D955" s="84"/>
      <c r="E955" s="84"/>
      <c r="F955" s="84"/>
      <c r="G955" s="84"/>
      <c r="H955" s="84"/>
      <c r="I955" s="84"/>
      <c r="J955" s="84"/>
    </row>
    <row r="956" ht="15.75" customHeight="1">
      <c r="A956" s="84"/>
      <c r="B956" s="84"/>
      <c r="C956" s="84"/>
      <c r="D956" s="84"/>
      <c r="E956" s="84"/>
      <c r="F956" s="84"/>
      <c r="G956" s="84"/>
      <c r="H956" s="84"/>
      <c r="I956" s="84"/>
      <c r="J956" s="84"/>
    </row>
    <row r="957" ht="15.75" customHeight="1">
      <c r="A957" s="84"/>
      <c r="B957" s="84"/>
      <c r="C957" s="84"/>
      <c r="D957" s="84"/>
      <c r="E957" s="84"/>
      <c r="F957" s="84"/>
      <c r="G957" s="84"/>
      <c r="H957" s="84"/>
      <c r="I957" s="84"/>
      <c r="J957" s="84"/>
    </row>
    <row r="958" ht="15.75" customHeight="1">
      <c r="A958" s="84"/>
      <c r="B958" s="84"/>
      <c r="C958" s="84"/>
      <c r="D958" s="84"/>
      <c r="E958" s="84"/>
      <c r="F958" s="84"/>
      <c r="G958" s="84"/>
      <c r="H958" s="84"/>
      <c r="I958" s="84"/>
      <c r="J958" s="84"/>
    </row>
    <row r="959" ht="15.75" customHeight="1">
      <c r="A959" s="84"/>
      <c r="B959" s="84"/>
      <c r="C959" s="84"/>
      <c r="D959" s="84"/>
      <c r="E959" s="84"/>
      <c r="F959" s="84"/>
      <c r="G959" s="84"/>
      <c r="H959" s="84"/>
      <c r="I959" s="84"/>
      <c r="J959" s="84"/>
    </row>
    <row r="960" ht="15.75" customHeight="1">
      <c r="A960" s="84"/>
      <c r="B960" s="84"/>
      <c r="C960" s="84"/>
      <c r="D960" s="84"/>
      <c r="E960" s="84"/>
      <c r="F960" s="84"/>
      <c r="G960" s="84"/>
      <c r="H960" s="84"/>
      <c r="I960" s="84"/>
      <c r="J960" s="84"/>
    </row>
    <row r="961" ht="15.75" customHeight="1">
      <c r="A961" s="84"/>
      <c r="B961" s="84"/>
      <c r="C961" s="84"/>
      <c r="D961" s="84"/>
      <c r="E961" s="84"/>
      <c r="F961" s="84"/>
      <c r="G961" s="84"/>
      <c r="H961" s="84"/>
      <c r="I961" s="84"/>
      <c r="J961" s="84"/>
    </row>
    <row r="962" ht="15.75" customHeight="1">
      <c r="A962" s="84"/>
      <c r="B962" s="84"/>
      <c r="C962" s="84"/>
      <c r="D962" s="84"/>
      <c r="E962" s="84"/>
      <c r="F962" s="84"/>
      <c r="G962" s="84"/>
      <c r="H962" s="84"/>
      <c r="I962" s="84"/>
      <c r="J962" s="84"/>
    </row>
    <row r="963" ht="15.75" customHeight="1">
      <c r="A963" s="84"/>
      <c r="B963" s="84"/>
      <c r="C963" s="84"/>
      <c r="D963" s="84"/>
      <c r="E963" s="84"/>
      <c r="F963" s="84"/>
      <c r="G963" s="84"/>
      <c r="H963" s="84"/>
      <c r="I963" s="84"/>
      <c r="J963" s="84"/>
    </row>
    <row r="964" ht="15.75" customHeight="1">
      <c r="A964" s="84"/>
      <c r="B964" s="84"/>
      <c r="C964" s="84"/>
      <c r="D964" s="84"/>
      <c r="E964" s="84"/>
      <c r="F964" s="84"/>
      <c r="G964" s="84"/>
      <c r="H964" s="84"/>
      <c r="I964" s="84"/>
      <c r="J964" s="84"/>
    </row>
    <row r="965" ht="15.75" customHeight="1">
      <c r="A965" s="84"/>
      <c r="B965" s="84"/>
      <c r="C965" s="84"/>
      <c r="D965" s="84"/>
      <c r="E965" s="84"/>
      <c r="F965" s="84"/>
      <c r="G965" s="84"/>
      <c r="H965" s="84"/>
      <c r="I965" s="84"/>
      <c r="J965" s="84"/>
    </row>
    <row r="966" ht="15.75" customHeight="1">
      <c r="A966" s="84"/>
      <c r="B966" s="84"/>
      <c r="C966" s="84"/>
      <c r="D966" s="84"/>
      <c r="E966" s="84"/>
      <c r="F966" s="84"/>
      <c r="G966" s="84"/>
      <c r="H966" s="84"/>
      <c r="I966" s="84"/>
      <c r="J966" s="84"/>
    </row>
    <row r="967" ht="15.75" customHeight="1">
      <c r="A967" s="84"/>
      <c r="B967" s="84"/>
      <c r="C967" s="84"/>
      <c r="D967" s="84"/>
      <c r="E967" s="84"/>
      <c r="F967" s="84"/>
      <c r="G967" s="84"/>
      <c r="H967" s="84"/>
      <c r="I967" s="84"/>
      <c r="J967" s="84"/>
    </row>
    <row r="968" ht="15.75" customHeight="1">
      <c r="A968" s="84"/>
      <c r="B968" s="84"/>
      <c r="C968" s="84"/>
      <c r="D968" s="84"/>
      <c r="E968" s="84"/>
      <c r="F968" s="84"/>
      <c r="G968" s="84"/>
      <c r="H968" s="84"/>
      <c r="I968" s="84"/>
      <c r="J968" s="84"/>
    </row>
    <row r="969" ht="15.75" customHeight="1">
      <c r="A969" s="84"/>
      <c r="B969" s="84"/>
      <c r="C969" s="84"/>
      <c r="D969" s="84"/>
      <c r="E969" s="84"/>
      <c r="F969" s="84"/>
      <c r="G969" s="84"/>
      <c r="H969" s="84"/>
      <c r="I969" s="84"/>
      <c r="J969" s="84"/>
    </row>
    <row r="970" ht="15.75" customHeight="1">
      <c r="A970" s="84"/>
      <c r="B970" s="84"/>
      <c r="C970" s="84"/>
      <c r="D970" s="84"/>
      <c r="E970" s="84"/>
      <c r="F970" s="84"/>
      <c r="G970" s="84"/>
      <c r="H970" s="84"/>
      <c r="I970" s="84"/>
      <c r="J970" s="84"/>
    </row>
    <row r="971" ht="15.75" customHeight="1">
      <c r="A971" s="84"/>
      <c r="B971" s="84"/>
      <c r="C971" s="84"/>
      <c r="D971" s="84"/>
      <c r="E971" s="84"/>
      <c r="F971" s="84"/>
      <c r="G971" s="84"/>
      <c r="H971" s="84"/>
      <c r="I971" s="84"/>
      <c r="J971" s="84"/>
    </row>
    <row r="972" ht="15.75" customHeight="1">
      <c r="A972" s="84"/>
      <c r="B972" s="84"/>
      <c r="C972" s="84"/>
      <c r="D972" s="84"/>
      <c r="E972" s="84"/>
      <c r="F972" s="84"/>
      <c r="G972" s="84"/>
      <c r="H972" s="84"/>
      <c r="I972" s="84"/>
      <c r="J972" s="84"/>
    </row>
    <row r="973" ht="15.75" customHeight="1">
      <c r="A973" s="84"/>
      <c r="B973" s="84"/>
      <c r="C973" s="84"/>
      <c r="D973" s="84"/>
      <c r="E973" s="84"/>
      <c r="F973" s="84"/>
      <c r="G973" s="84"/>
      <c r="H973" s="84"/>
      <c r="I973" s="84"/>
      <c r="J973" s="84"/>
    </row>
    <row r="974" ht="15.75" customHeight="1">
      <c r="A974" s="84"/>
      <c r="B974" s="84"/>
      <c r="C974" s="84"/>
      <c r="D974" s="84"/>
      <c r="E974" s="84"/>
      <c r="F974" s="84"/>
      <c r="G974" s="84"/>
      <c r="H974" s="84"/>
      <c r="I974" s="84"/>
      <c r="J974" s="84"/>
    </row>
    <row r="975" ht="15.75" customHeight="1">
      <c r="A975" s="84"/>
      <c r="B975" s="84"/>
      <c r="C975" s="84"/>
      <c r="D975" s="84"/>
      <c r="E975" s="84"/>
      <c r="F975" s="84"/>
      <c r="G975" s="84"/>
      <c r="H975" s="84"/>
      <c r="I975" s="84"/>
      <c r="J975" s="84"/>
    </row>
    <row r="976" ht="15.75" customHeight="1">
      <c r="A976" s="84"/>
      <c r="B976" s="84"/>
      <c r="C976" s="84"/>
      <c r="D976" s="84"/>
      <c r="E976" s="84"/>
      <c r="F976" s="84"/>
      <c r="G976" s="84"/>
      <c r="H976" s="84"/>
      <c r="I976" s="84"/>
      <c r="J976" s="84"/>
    </row>
    <row r="977" ht="15.75" customHeight="1">
      <c r="A977" s="84"/>
      <c r="B977" s="84"/>
      <c r="C977" s="84"/>
      <c r="D977" s="84"/>
      <c r="E977" s="84"/>
      <c r="F977" s="84"/>
      <c r="G977" s="84"/>
      <c r="H977" s="84"/>
      <c r="I977" s="84"/>
      <c r="J977" s="84"/>
    </row>
    <row r="978" ht="15.75" customHeight="1">
      <c r="A978" s="84"/>
      <c r="B978" s="84"/>
      <c r="C978" s="84"/>
      <c r="D978" s="84"/>
      <c r="E978" s="84"/>
      <c r="F978" s="84"/>
      <c r="G978" s="84"/>
      <c r="H978" s="84"/>
      <c r="I978" s="84"/>
      <c r="J978" s="84"/>
    </row>
    <row r="979" ht="15.75" customHeight="1">
      <c r="A979" s="84"/>
      <c r="B979" s="84"/>
      <c r="C979" s="84"/>
      <c r="D979" s="84"/>
      <c r="E979" s="84"/>
      <c r="F979" s="84"/>
      <c r="G979" s="84"/>
      <c r="H979" s="84"/>
      <c r="I979" s="84"/>
      <c r="J979" s="84"/>
    </row>
    <row r="980" ht="15.75" customHeight="1">
      <c r="A980" s="84"/>
      <c r="B980" s="84"/>
      <c r="C980" s="84"/>
      <c r="D980" s="84"/>
      <c r="E980" s="84"/>
      <c r="F980" s="84"/>
      <c r="G980" s="84"/>
      <c r="H980" s="84"/>
      <c r="I980" s="84"/>
      <c r="J980" s="84"/>
    </row>
    <row r="981" ht="15.75" customHeight="1">
      <c r="A981" s="84"/>
      <c r="B981" s="84"/>
      <c r="C981" s="84"/>
      <c r="D981" s="84"/>
      <c r="E981" s="84"/>
      <c r="F981" s="84"/>
      <c r="G981" s="84"/>
      <c r="H981" s="84"/>
      <c r="I981" s="84"/>
      <c r="J981" s="84"/>
    </row>
    <row r="982" ht="15.75" customHeight="1">
      <c r="A982" s="84"/>
      <c r="B982" s="84"/>
      <c r="C982" s="84"/>
      <c r="D982" s="84"/>
      <c r="E982" s="84"/>
      <c r="F982" s="84"/>
      <c r="G982" s="84"/>
      <c r="H982" s="84"/>
      <c r="I982" s="84"/>
      <c r="J982" s="84"/>
    </row>
    <row r="983" ht="15.75" customHeight="1">
      <c r="A983" s="84"/>
      <c r="B983" s="84"/>
      <c r="C983" s="84"/>
      <c r="D983" s="84"/>
      <c r="E983" s="84"/>
      <c r="F983" s="84"/>
      <c r="G983" s="84"/>
      <c r="H983" s="84"/>
      <c r="I983" s="84"/>
      <c r="J983" s="84"/>
    </row>
    <row r="984" ht="15.75" customHeight="1">
      <c r="A984" s="84"/>
      <c r="B984" s="84"/>
      <c r="C984" s="84"/>
      <c r="D984" s="84"/>
      <c r="E984" s="84"/>
      <c r="F984" s="84"/>
      <c r="G984" s="84"/>
      <c r="H984" s="84"/>
      <c r="I984" s="84"/>
      <c r="J984" s="84"/>
    </row>
    <row r="985" ht="15.75" customHeight="1">
      <c r="A985" s="84"/>
      <c r="B985" s="84"/>
      <c r="C985" s="84"/>
      <c r="D985" s="84"/>
      <c r="E985" s="84"/>
      <c r="F985" s="84"/>
      <c r="G985" s="84"/>
      <c r="H985" s="84"/>
      <c r="I985" s="84"/>
      <c r="J985" s="84"/>
    </row>
    <row r="986" ht="15.75" customHeight="1">
      <c r="A986" s="84"/>
      <c r="B986" s="84"/>
      <c r="C986" s="84"/>
      <c r="D986" s="84"/>
      <c r="E986" s="84"/>
      <c r="F986" s="84"/>
      <c r="G986" s="84"/>
      <c r="H986" s="84"/>
      <c r="I986" s="84"/>
      <c r="J986" s="84"/>
    </row>
    <row r="987" ht="15.75" customHeight="1">
      <c r="A987" s="84"/>
      <c r="B987" s="84"/>
      <c r="C987" s="84"/>
      <c r="D987" s="84"/>
      <c r="E987" s="84"/>
      <c r="F987" s="84"/>
      <c r="G987" s="84"/>
      <c r="H987" s="84"/>
      <c r="I987" s="84"/>
      <c r="J987" s="84"/>
    </row>
    <row r="988" ht="15.75" customHeight="1">
      <c r="A988" s="84"/>
      <c r="B988" s="84"/>
      <c r="C988" s="84"/>
      <c r="D988" s="84"/>
      <c r="E988" s="84"/>
      <c r="F988" s="84"/>
      <c r="G988" s="84"/>
      <c r="H988" s="84"/>
      <c r="I988" s="84"/>
      <c r="J988" s="84"/>
    </row>
    <row r="989" ht="15.75" customHeight="1">
      <c r="A989" s="84"/>
      <c r="B989" s="84"/>
      <c r="C989" s="84"/>
      <c r="D989" s="84"/>
      <c r="E989" s="84"/>
      <c r="F989" s="84"/>
      <c r="G989" s="84"/>
      <c r="H989" s="84"/>
      <c r="I989" s="84"/>
      <c r="J989" s="84"/>
    </row>
    <row r="990" ht="15.75" customHeight="1">
      <c r="A990" s="84"/>
      <c r="B990" s="84"/>
      <c r="C990" s="84"/>
      <c r="D990" s="84"/>
      <c r="E990" s="84"/>
      <c r="F990" s="84"/>
      <c r="G990" s="84"/>
      <c r="H990" s="84"/>
      <c r="I990" s="84"/>
      <c r="J990" s="84"/>
    </row>
    <row r="991" ht="15.75" customHeight="1">
      <c r="A991" s="84"/>
      <c r="B991" s="84"/>
      <c r="C991" s="84"/>
      <c r="D991" s="84"/>
      <c r="E991" s="84"/>
      <c r="F991" s="84"/>
      <c r="G991" s="84"/>
      <c r="H991" s="84"/>
      <c r="I991" s="84"/>
      <c r="J991" s="84"/>
    </row>
    <row r="992" ht="15.75" customHeight="1">
      <c r="A992" s="84"/>
      <c r="B992" s="84"/>
      <c r="C992" s="84"/>
      <c r="D992" s="84"/>
      <c r="E992" s="84"/>
      <c r="F992" s="84"/>
      <c r="G992" s="84"/>
      <c r="H992" s="84"/>
      <c r="I992" s="84"/>
      <c r="J992" s="84"/>
    </row>
    <row r="993" ht="15.75" customHeight="1">
      <c r="A993" s="84"/>
      <c r="B993" s="84"/>
      <c r="C993" s="84"/>
      <c r="D993" s="84"/>
      <c r="E993" s="84"/>
      <c r="F993" s="84"/>
      <c r="G993" s="84"/>
      <c r="H993" s="84"/>
      <c r="I993" s="84"/>
      <c r="J993" s="84"/>
    </row>
    <row r="994" ht="15.75" customHeight="1">
      <c r="A994" s="84"/>
      <c r="B994" s="84"/>
      <c r="C994" s="84"/>
      <c r="D994" s="84"/>
      <c r="E994" s="84"/>
      <c r="F994" s="84"/>
      <c r="G994" s="84"/>
      <c r="H994" s="84"/>
      <c r="I994" s="84"/>
      <c r="J994" s="84"/>
    </row>
    <row r="995" ht="15.75" customHeight="1">
      <c r="A995" s="84"/>
      <c r="B995" s="84"/>
      <c r="C995" s="84"/>
      <c r="D995" s="84"/>
      <c r="E995" s="84"/>
      <c r="F995" s="84"/>
      <c r="G995" s="84"/>
      <c r="H995" s="84"/>
      <c r="I995" s="84"/>
      <c r="J995" s="84"/>
    </row>
    <row r="996" ht="15.75" customHeight="1">
      <c r="A996" s="84"/>
      <c r="B996" s="84"/>
      <c r="C996" s="84"/>
      <c r="D996" s="84"/>
      <c r="E996" s="84"/>
      <c r="F996" s="84"/>
      <c r="G996" s="84"/>
      <c r="H996" s="84"/>
      <c r="I996" s="84"/>
      <c r="J996" s="84"/>
    </row>
    <row r="997" ht="15.75" customHeight="1">
      <c r="A997" s="84"/>
      <c r="B997" s="84"/>
      <c r="C997" s="84"/>
      <c r="D997" s="84"/>
      <c r="E997" s="84"/>
      <c r="F997" s="84"/>
      <c r="G997" s="84"/>
      <c r="H997" s="84"/>
      <c r="I997" s="84"/>
      <c r="J997" s="84"/>
    </row>
    <row r="998" ht="15.75" customHeight="1">
      <c r="A998" s="84"/>
      <c r="B998" s="84"/>
      <c r="C998" s="84"/>
      <c r="D998" s="84"/>
      <c r="E998" s="84"/>
      <c r="F998" s="84"/>
      <c r="G998" s="84"/>
      <c r="H998" s="84"/>
      <c r="I998" s="84"/>
      <c r="J998" s="84"/>
    </row>
    <row r="999" ht="15.75" customHeight="1">
      <c r="A999" s="84"/>
      <c r="B999" s="84"/>
      <c r="C999" s="84"/>
      <c r="D999" s="84"/>
      <c r="E999" s="84"/>
      <c r="F999" s="84"/>
      <c r="G999" s="84"/>
      <c r="H999" s="84"/>
      <c r="I999" s="84"/>
      <c r="J999" s="84"/>
    </row>
    <row r="1000" ht="15.75" customHeight="1">
      <c r="A1000" s="84"/>
      <c r="B1000" s="84"/>
      <c r="C1000" s="84"/>
      <c r="D1000" s="84"/>
      <c r="E1000" s="84"/>
      <c r="F1000" s="84"/>
      <c r="G1000" s="84"/>
      <c r="H1000" s="84"/>
      <c r="I1000" s="84"/>
      <c r="J1000" s="84"/>
    </row>
  </sheetData>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6.0"/>
    <col customWidth="1" min="2" max="2" width="30.0"/>
    <col customWidth="1" min="3" max="3" width="96.0"/>
    <col customWidth="1" min="4" max="4" width="36.0"/>
    <col customWidth="1" min="5" max="5" width="10.0"/>
    <col customWidth="1" min="6" max="6" width="8.71"/>
  </cols>
  <sheetData>
    <row r="1" ht="21.0" customHeight="1">
      <c r="A1" s="1" t="s">
        <v>1686</v>
      </c>
      <c r="B1" s="3"/>
      <c r="C1" s="3"/>
      <c r="D1" s="3"/>
      <c r="E1" s="3"/>
      <c r="F1" s="3"/>
      <c r="G1" s="3"/>
      <c r="H1" s="3"/>
      <c r="I1" s="3"/>
      <c r="J1" s="3"/>
      <c r="K1" s="3"/>
      <c r="L1" s="3"/>
      <c r="M1" s="3"/>
      <c r="N1" s="3"/>
      <c r="O1" s="3"/>
      <c r="P1" s="3"/>
      <c r="Q1" s="3"/>
      <c r="R1" s="3"/>
      <c r="S1" s="3"/>
      <c r="T1" s="3"/>
      <c r="U1" s="3"/>
      <c r="V1" s="3"/>
      <c r="W1" s="3"/>
      <c r="X1" s="3"/>
      <c r="Y1" s="3"/>
      <c r="Z1" s="3"/>
    </row>
    <row r="2" ht="15.0" customHeight="1">
      <c r="A2" s="17" t="s">
        <v>1696</v>
      </c>
      <c r="B2" s="3"/>
      <c r="C2" s="3"/>
      <c r="D2" s="3"/>
      <c r="E2" s="3"/>
      <c r="F2" s="3"/>
      <c r="G2" s="3"/>
      <c r="H2" s="3"/>
      <c r="I2" s="3"/>
      <c r="J2" s="3"/>
      <c r="K2" s="3"/>
      <c r="L2" s="3"/>
      <c r="M2" s="3"/>
      <c r="N2" s="3"/>
      <c r="O2" s="3"/>
      <c r="P2" s="3"/>
      <c r="Q2" s="3"/>
      <c r="R2" s="3"/>
      <c r="S2" s="3"/>
      <c r="T2" s="3"/>
      <c r="U2" s="3"/>
      <c r="V2" s="3"/>
      <c r="W2" s="3"/>
      <c r="X2" s="3"/>
      <c r="Y2" s="3"/>
      <c r="Z2" s="3"/>
    </row>
    <row r="3" ht="15.0" customHeight="1">
      <c r="A3" s="3"/>
      <c r="B3" s="3"/>
      <c r="C3" s="3"/>
      <c r="D3" s="3"/>
      <c r="E3" s="3"/>
      <c r="F3" s="3"/>
      <c r="G3" s="3"/>
      <c r="H3" s="3"/>
      <c r="I3" s="3"/>
      <c r="J3" s="3"/>
      <c r="K3" s="3"/>
      <c r="L3" s="3"/>
      <c r="M3" s="3"/>
      <c r="N3" s="3"/>
      <c r="O3" s="3"/>
      <c r="P3" s="3"/>
      <c r="Q3" s="3"/>
      <c r="R3" s="3"/>
      <c r="S3" s="3"/>
      <c r="T3" s="3"/>
      <c r="U3" s="3"/>
      <c r="V3" s="3"/>
      <c r="W3" s="3"/>
      <c r="X3" s="3"/>
      <c r="Y3" s="3"/>
      <c r="Z3" s="3"/>
    </row>
    <row r="4" ht="17.25" customHeight="1">
      <c r="A4" s="10" t="s">
        <v>1704</v>
      </c>
      <c r="B4" s="10" t="s">
        <v>1706</v>
      </c>
      <c r="C4" s="10" t="s">
        <v>1707</v>
      </c>
      <c r="D4" s="10" t="s">
        <v>1708</v>
      </c>
      <c r="E4" s="15"/>
      <c r="F4" s="15"/>
      <c r="G4" s="15"/>
      <c r="H4" s="15"/>
      <c r="I4" s="15"/>
      <c r="J4" s="15"/>
      <c r="K4" s="15"/>
      <c r="L4" s="15"/>
      <c r="M4" s="15"/>
      <c r="N4" s="15"/>
      <c r="O4" s="15"/>
      <c r="P4" s="15"/>
      <c r="Q4" s="15"/>
      <c r="R4" s="15"/>
      <c r="S4" s="15"/>
      <c r="T4" s="15"/>
      <c r="U4" s="15"/>
      <c r="V4" s="15"/>
      <c r="W4" s="15"/>
      <c r="X4" s="15"/>
      <c r="Y4" s="15"/>
      <c r="Z4" s="15"/>
    </row>
    <row r="5" ht="31.5" customHeight="1">
      <c r="A5" s="28" t="s">
        <v>1714</v>
      </c>
      <c r="B5" s="32" t="s">
        <v>1715</v>
      </c>
      <c r="C5" s="28" t="s">
        <v>1718</v>
      </c>
      <c r="D5" s="28" t="s">
        <v>1719</v>
      </c>
      <c r="E5" s="180"/>
      <c r="F5" s="180"/>
      <c r="G5" s="15"/>
      <c r="H5" s="15"/>
      <c r="I5" s="15"/>
      <c r="J5" s="15"/>
      <c r="K5" s="15"/>
      <c r="L5" s="15"/>
      <c r="M5" s="15"/>
      <c r="N5" s="15"/>
      <c r="O5" s="15"/>
      <c r="P5" s="15"/>
      <c r="Q5" s="15"/>
      <c r="R5" s="15"/>
      <c r="S5" s="15"/>
      <c r="T5" s="15"/>
      <c r="U5" s="15"/>
      <c r="V5" s="15"/>
      <c r="W5" s="15"/>
      <c r="X5" s="15"/>
      <c r="Y5" s="15"/>
      <c r="Z5" s="15"/>
    </row>
    <row r="6" ht="31.5" customHeight="1">
      <c r="A6" s="28" t="s">
        <v>1727</v>
      </c>
      <c r="B6" s="32" t="s">
        <v>1730</v>
      </c>
      <c r="C6" s="28" t="s">
        <v>1732</v>
      </c>
      <c r="D6" s="28" t="s">
        <v>1733</v>
      </c>
      <c r="E6" s="180"/>
      <c r="F6" s="180"/>
      <c r="G6" s="15"/>
      <c r="H6" s="15"/>
      <c r="I6" s="15"/>
      <c r="J6" s="15"/>
      <c r="K6" s="15"/>
      <c r="L6" s="15"/>
      <c r="M6" s="15"/>
      <c r="N6" s="15"/>
      <c r="O6" s="15"/>
      <c r="P6" s="15"/>
      <c r="Q6" s="15"/>
      <c r="R6" s="15"/>
      <c r="S6" s="15"/>
      <c r="T6" s="15"/>
      <c r="U6" s="15"/>
      <c r="V6" s="15"/>
      <c r="W6" s="15"/>
      <c r="X6" s="15"/>
      <c r="Y6" s="15"/>
      <c r="Z6" s="15"/>
    </row>
    <row r="7" ht="31.5" customHeight="1">
      <c r="A7" s="28" t="s">
        <v>1737</v>
      </c>
      <c r="B7" s="32" t="s">
        <v>366</v>
      </c>
      <c r="C7" s="28" t="s">
        <v>1740</v>
      </c>
      <c r="D7" s="28" t="s">
        <v>1742</v>
      </c>
      <c r="E7" s="180"/>
      <c r="F7" s="180"/>
      <c r="G7" s="15"/>
      <c r="H7" s="15"/>
      <c r="I7" s="15"/>
      <c r="J7" s="15"/>
      <c r="K7" s="15"/>
      <c r="L7" s="15"/>
      <c r="M7" s="15"/>
      <c r="N7" s="15"/>
      <c r="O7" s="15"/>
      <c r="P7" s="15"/>
      <c r="Q7" s="15"/>
      <c r="R7" s="15"/>
      <c r="S7" s="15"/>
      <c r="T7" s="15"/>
      <c r="U7" s="15"/>
      <c r="V7" s="15"/>
      <c r="W7" s="15"/>
      <c r="X7" s="15"/>
      <c r="Y7" s="15"/>
      <c r="Z7" s="15"/>
    </row>
    <row r="8" ht="31.5" customHeight="1">
      <c r="A8" s="28" t="s">
        <v>1744</v>
      </c>
      <c r="B8" s="32" t="s">
        <v>393</v>
      </c>
      <c r="C8" s="28" t="s">
        <v>1746</v>
      </c>
      <c r="D8" s="28" t="s">
        <v>1748</v>
      </c>
      <c r="E8" s="180"/>
      <c r="F8" s="180"/>
      <c r="G8" s="15"/>
      <c r="H8" s="15"/>
      <c r="I8" s="15"/>
      <c r="J8" s="15"/>
      <c r="K8" s="15"/>
      <c r="L8" s="15"/>
      <c r="M8" s="15"/>
      <c r="N8" s="15"/>
      <c r="O8" s="15"/>
      <c r="P8" s="15"/>
      <c r="Q8" s="15"/>
      <c r="R8" s="15"/>
      <c r="S8" s="15"/>
      <c r="T8" s="15"/>
      <c r="U8" s="15"/>
      <c r="V8" s="15"/>
      <c r="W8" s="15"/>
      <c r="X8" s="15"/>
      <c r="Y8" s="15"/>
      <c r="Z8" s="15"/>
    </row>
    <row r="9" ht="31.5" customHeight="1">
      <c r="A9" s="28" t="s">
        <v>1752</v>
      </c>
      <c r="B9" s="32" t="s">
        <v>417</v>
      </c>
      <c r="C9" s="32" t="s">
        <v>1753</v>
      </c>
      <c r="D9" s="28" t="s">
        <v>1754</v>
      </c>
      <c r="E9" s="180"/>
      <c r="F9" s="180"/>
      <c r="G9" s="15"/>
      <c r="H9" s="15"/>
      <c r="I9" s="15"/>
      <c r="J9" s="15"/>
      <c r="K9" s="15"/>
      <c r="L9" s="15"/>
      <c r="M9" s="15"/>
      <c r="N9" s="15"/>
      <c r="O9" s="15"/>
      <c r="P9" s="15"/>
      <c r="Q9" s="15"/>
      <c r="R9" s="15"/>
      <c r="S9" s="15"/>
      <c r="T9" s="15"/>
      <c r="U9" s="15"/>
      <c r="V9" s="15"/>
      <c r="W9" s="15"/>
      <c r="X9" s="15"/>
      <c r="Y9" s="15"/>
      <c r="Z9" s="15"/>
    </row>
    <row r="10" ht="31.5" customHeight="1">
      <c r="A10" s="28" t="s">
        <v>1757</v>
      </c>
      <c r="B10" s="32" t="s">
        <v>1758</v>
      </c>
      <c r="C10" s="28" t="s">
        <v>1759</v>
      </c>
      <c r="D10" s="28" t="s">
        <v>472</v>
      </c>
      <c r="E10" s="180"/>
      <c r="F10" s="180"/>
      <c r="G10" s="15"/>
      <c r="H10" s="15"/>
      <c r="I10" s="15"/>
      <c r="J10" s="15"/>
      <c r="K10" s="15"/>
      <c r="L10" s="15"/>
      <c r="M10" s="15"/>
      <c r="N10" s="15"/>
      <c r="O10" s="15"/>
      <c r="P10" s="15"/>
      <c r="Q10" s="15"/>
      <c r="R10" s="15"/>
      <c r="S10" s="15"/>
      <c r="T10" s="15"/>
      <c r="U10" s="15"/>
      <c r="V10" s="15"/>
      <c r="W10" s="15"/>
      <c r="X10" s="15"/>
      <c r="Y10" s="15"/>
      <c r="Z10" s="15"/>
    </row>
    <row r="11" ht="17.25" customHeight="1">
      <c r="A11" s="28" t="s">
        <v>1764</v>
      </c>
      <c r="B11" s="28" t="s">
        <v>1765</v>
      </c>
      <c r="C11" s="28" t="s">
        <v>1766</v>
      </c>
      <c r="D11" s="28" t="s">
        <v>1767</v>
      </c>
      <c r="E11" s="180"/>
      <c r="F11" s="180"/>
      <c r="G11" s="15"/>
      <c r="H11" s="15"/>
      <c r="I11" s="15"/>
      <c r="J11" s="15"/>
      <c r="K11" s="15"/>
      <c r="L11" s="15"/>
      <c r="M11" s="15"/>
      <c r="N11" s="15"/>
      <c r="O11" s="15"/>
      <c r="P11" s="15"/>
      <c r="Q11" s="15"/>
      <c r="R11" s="15"/>
      <c r="S11" s="15"/>
      <c r="T11" s="15"/>
      <c r="U11" s="15"/>
      <c r="V11" s="15"/>
      <c r="W11" s="15"/>
      <c r="X11" s="15"/>
      <c r="Y11" s="15"/>
      <c r="Z11" s="15"/>
    </row>
    <row r="12" ht="31.5" customHeight="1">
      <c r="A12" s="28" t="s">
        <v>1769</v>
      </c>
      <c r="B12" s="28" t="s">
        <v>1770</v>
      </c>
      <c r="C12" s="28" t="s">
        <v>1771</v>
      </c>
      <c r="D12" s="28" t="s">
        <v>472</v>
      </c>
      <c r="E12" s="180"/>
      <c r="F12" s="180"/>
      <c r="G12" s="15"/>
      <c r="H12" s="15"/>
      <c r="I12" s="15"/>
      <c r="J12" s="15"/>
      <c r="K12" s="15"/>
      <c r="L12" s="15"/>
      <c r="M12" s="15"/>
      <c r="N12" s="15"/>
      <c r="O12" s="15"/>
      <c r="P12" s="15"/>
      <c r="Q12" s="15"/>
      <c r="R12" s="15"/>
      <c r="S12" s="15"/>
      <c r="T12" s="15"/>
      <c r="U12" s="15"/>
      <c r="V12" s="15"/>
      <c r="W12" s="15"/>
      <c r="X12" s="15"/>
      <c r="Y12" s="15"/>
      <c r="Z12" s="15"/>
    </row>
    <row r="13" ht="17.25" customHeight="1">
      <c r="A13" s="24"/>
      <c r="B13" s="24"/>
      <c r="C13" s="24"/>
      <c r="D13" s="18"/>
      <c r="E13" s="15"/>
      <c r="F13" s="15"/>
      <c r="G13" s="15"/>
      <c r="H13" s="15"/>
      <c r="I13" s="15"/>
      <c r="J13" s="15"/>
      <c r="K13" s="15"/>
      <c r="L13" s="15"/>
      <c r="M13" s="15"/>
      <c r="N13" s="15"/>
      <c r="O13" s="15"/>
      <c r="P13" s="15"/>
      <c r="Q13" s="15"/>
      <c r="R13" s="15"/>
      <c r="S13" s="15"/>
      <c r="T13" s="15"/>
      <c r="U13" s="15"/>
      <c r="V13" s="15"/>
      <c r="W13" s="15"/>
      <c r="X13" s="15"/>
      <c r="Y13" s="15"/>
      <c r="Z13" s="15"/>
    </row>
    <row r="14" ht="17.25" customHeight="1">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row>
    <row r="15" ht="100.5" customHeight="1">
      <c r="A15" s="185" t="s">
        <v>1783</v>
      </c>
      <c r="B15" s="180"/>
      <c r="C15" s="180"/>
      <c r="D15" s="180"/>
      <c r="E15" s="15"/>
      <c r="F15" s="15"/>
      <c r="G15" s="15"/>
      <c r="H15" s="15"/>
      <c r="I15" s="15"/>
      <c r="J15" s="15"/>
      <c r="K15" s="15"/>
      <c r="L15" s="15"/>
      <c r="M15" s="15"/>
      <c r="N15" s="15"/>
      <c r="O15" s="15"/>
      <c r="P15" s="15"/>
      <c r="Q15" s="15"/>
      <c r="R15" s="15"/>
      <c r="S15" s="15"/>
      <c r="T15" s="15"/>
      <c r="U15" s="15"/>
      <c r="V15" s="15"/>
      <c r="W15" s="15"/>
      <c r="X15" s="15"/>
      <c r="Y15" s="15"/>
      <c r="Z15" s="15"/>
    </row>
    <row r="16" ht="321.0" customHeight="1">
      <c r="A16" s="186" t="s">
        <v>1790</v>
      </c>
      <c r="B16" s="187"/>
      <c r="C16" s="187"/>
      <c r="D16" s="187"/>
      <c r="E16" s="187"/>
      <c r="F16" s="15"/>
      <c r="G16" s="15"/>
      <c r="H16" s="15"/>
      <c r="I16" s="15"/>
      <c r="J16" s="15"/>
      <c r="K16" s="15"/>
      <c r="L16" s="15"/>
      <c r="M16" s="15"/>
      <c r="N16" s="15"/>
      <c r="O16" s="15"/>
      <c r="P16" s="15"/>
      <c r="Q16" s="15"/>
      <c r="R16" s="15"/>
      <c r="S16" s="15"/>
      <c r="T16" s="15"/>
      <c r="U16" s="15"/>
      <c r="V16" s="15"/>
      <c r="W16" s="15"/>
      <c r="X16" s="15"/>
      <c r="Y16" s="15"/>
      <c r="Z16" s="15"/>
    </row>
    <row r="17" ht="17.25" customHeight="1">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row>
    <row r="18" ht="31.5" customHeight="1">
      <c r="A18" s="188" t="s">
        <v>1801</v>
      </c>
      <c r="B18" s="190" t="s">
        <v>1803</v>
      </c>
      <c r="C18" s="190" t="s">
        <v>1804</v>
      </c>
      <c r="D18" s="188" t="s">
        <v>1805</v>
      </c>
      <c r="E18" s="15"/>
      <c r="F18" s="15"/>
      <c r="G18" s="15"/>
      <c r="H18" s="15"/>
      <c r="I18" s="15"/>
      <c r="J18" s="15"/>
      <c r="K18" s="15"/>
      <c r="L18" s="15"/>
      <c r="M18" s="15"/>
      <c r="N18" s="15"/>
      <c r="O18" s="15"/>
      <c r="P18" s="15"/>
      <c r="Q18" s="15"/>
      <c r="R18" s="15"/>
      <c r="S18" s="15"/>
      <c r="T18" s="15"/>
      <c r="U18" s="15"/>
      <c r="V18" s="15"/>
      <c r="W18" s="15"/>
      <c r="X18" s="15"/>
      <c r="Y18" s="15"/>
      <c r="Z18" s="15"/>
    </row>
    <row r="19" ht="17.25" customHeight="1">
      <c r="A19" s="28" t="s">
        <v>1806</v>
      </c>
      <c r="B19" s="32" t="s">
        <v>1807</v>
      </c>
      <c r="C19" s="32" t="s">
        <v>294</v>
      </c>
      <c r="D19" s="28"/>
      <c r="E19" s="15"/>
      <c r="F19" s="15"/>
      <c r="G19" s="15"/>
      <c r="H19" s="15"/>
      <c r="I19" s="15"/>
      <c r="J19" s="15"/>
      <c r="K19" s="15"/>
      <c r="L19" s="15"/>
      <c r="M19" s="15"/>
      <c r="N19" s="15"/>
      <c r="O19" s="15"/>
      <c r="P19" s="15"/>
      <c r="Q19" s="15"/>
      <c r="R19" s="15"/>
      <c r="S19" s="15"/>
      <c r="T19" s="15"/>
      <c r="U19" s="15"/>
      <c r="V19" s="15"/>
      <c r="W19" s="15"/>
      <c r="X19" s="15"/>
      <c r="Y19" s="15"/>
      <c r="Z19" s="15"/>
    </row>
    <row r="20" ht="17.25" customHeight="1">
      <c r="A20" s="28" t="s">
        <v>1812</v>
      </c>
      <c r="B20" s="32" t="s">
        <v>1813</v>
      </c>
      <c r="C20" s="32" t="s">
        <v>332</v>
      </c>
      <c r="D20" s="28" t="s">
        <v>1814</v>
      </c>
      <c r="E20" s="15"/>
      <c r="F20" s="15"/>
      <c r="G20" s="15"/>
      <c r="H20" s="15"/>
      <c r="I20" s="15"/>
      <c r="J20" s="15"/>
      <c r="K20" s="15"/>
      <c r="L20" s="15"/>
      <c r="M20" s="15"/>
      <c r="N20" s="15"/>
      <c r="O20" s="15"/>
      <c r="P20" s="15"/>
      <c r="Q20" s="15"/>
      <c r="R20" s="15"/>
      <c r="S20" s="15"/>
      <c r="T20" s="15"/>
      <c r="U20" s="15"/>
      <c r="V20" s="15"/>
      <c r="W20" s="15"/>
      <c r="X20" s="15"/>
      <c r="Y20" s="15"/>
      <c r="Z20" s="15"/>
    </row>
    <row r="21" ht="17.25" customHeight="1">
      <c r="A21" s="28" t="s">
        <v>1817</v>
      </c>
      <c r="B21" s="32" t="s">
        <v>1818</v>
      </c>
      <c r="C21" s="32" t="s">
        <v>359</v>
      </c>
      <c r="D21" s="28"/>
      <c r="E21" s="15"/>
      <c r="F21" s="15"/>
      <c r="G21" s="15"/>
      <c r="H21" s="15"/>
      <c r="I21" s="15"/>
      <c r="J21" s="15"/>
      <c r="K21" s="15"/>
      <c r="L21" s="15"/>
      <c r="M21" s="15"/>
      <c r="N21" s="15"/>
      <c r="O21" s="15"/>
      <c r="P21" s="15"/>
      <c r="Q21" s="15"/>
      <c r="R21" s="15"/>
      <c r="S21" s="15"/>
      <c r="T21" s="15"/>
      <c r="U21" s="15"/>
      <c r="V21" s="15"/>
      <c r="W21" s="15"/>
      <c r="X21" s="15"/>
      <c r="Y21" s="15"/>
      <c r="Z21" s="15"/>
    </row>
    <row r="22" ht="17.25" customHeight="1">
      <c r="A22" s="28" t="s">
        <v>1822</v>
      </c>
      <c r="B22" s="32" t="s">
        <v>1813</v>
      </c>
      <c r="C22" s="32" t="s">
        <v>386</v>
      </c>
      <c r="D22" s="28" t="s">
        <v>1814</v>
      </c>
      <c r="E22" s="15"/>
      <c r="F22" s="15"/>
      <c r="G22" s="15"/>
      <c r="H22" s="15"/>
      <c r="I22" s="15"/>
      <c r="J22" s="15"/>
      <c r="K22" s="15"/>
      <c r="L22" s="15"/>
      <c r="M22" s="15"/>
      <c r="N22" s="15"/>
      <c r="O22" s="15"/>
      <c r="P22" s="15"/>
      <c r="Q22" s="15"/>
      <c r="R22" s="15"/>
      <c r="S22" s="15"/>
      <c r="T22" s="15"/>
      <c r="U22" s="15"/>
      <c r="V22" s="15"/>
      <c r="W22" s="15"/>
      <c r="X22" s="15"/>
      <c r="Y22" s="15"/>
      <c r="Z22" s="15"/>
    </row>
    <row r="23" ht="17.25" customHeight="1">
      <c r="A23" s="28" t="s">
        <v>413</v>
      </c>
      <c r="B23" s="32" t="s">
        <v>1818</v>
      </c>
      <c r="C23" s="32" t="s">
        <v>411</v>
      </c>
      <c r="D23" s="28"/>
      <c r="E23" s="15"/>
      <c r="F23" s="15"/>
      <c r="G23" s="15"/>
      <c r="H23" s="15"/>
      <c r="I23" s="15"/>
      <c r="J23" s="15"/>
      <c r="K23" s="15"/>
      <c r="L23" s="15"/>
      <c r="M23" s="15"/>
      <c r="N23" s="15"/>
      <c r="O23" s="15"/>
      <c r="P23" s="15"/>
      <c r="Q23" s="15"/>
      <c r="R23" s="15"/>
      <c r="S23" s="15"/>
      <c r="T23" s="15"/>
      <c r="U23" s="15"/>
      <c r="V23" s="15"/>
      <c r="W23" s="15"/>
      <c r="X23" s="15"/>
      <c r="Y23" s="15"/>
      <c r="Z23" s="15"/>
    </row>
    <row r="24" ht="17.25" customHeight="1">
      <c r="A24" s="28" t="s">
        <v>1831</v>
      </c>
      <c r="B24" s="32" t="s">
        <v>1832</v>
      </c>
      <c r="C24" s="32" t="s">
        <v>436</v>
      </c>
      <c r="D24" s="28"/>
      <c r="E24" s="15"/>
      <c r="F24" s="15"/>
      <c r="G24" s="15"/>
      <c r="H24" s="15"/>
      <c r="I24" s="15"/>
      <c r="J24" s="15"/>
      <c r="K24" s="15"/>
      <c r="L24" s="15"/>
      <c r="M24" s="15"/>
      <c r="N24" s="15"/>
      <c r="O24" s="15"/>
      <c r="P24" s="15"/>
      <c r="Q24" s="15"/>
      <c r="R24" s="15"/>
      <c r="S24" s="15"/>
      <c r="T24" s="15"/>
      <c r="U24" s="15"/>
      <c r="V24" s="15"/>
      <c r="W24" s="15"/>
      <c r="X24" s="15"/>
      <c r="Y24" s="15"/>
      <c r="Z24" s="15"/>
    </row>
    <row r="25" ht="17.25" customHeight="1">
      <c r="A25" s="28" t="s">
        <v>1838</v>
      </c>
      <c r="B25" s="32" t="s">
        <v>1839</v>
      </c>
      <c r="C25" s="28" t="s">
        <v>1841</v>
      </c>
      <c r="D25" s="28" t="s">
        <v>1842</v>
      </c>
      <c r="E25" s="15"/>
      <c r="F25" s="15"/>
      <c r="G25" s="15"/>
      <c r="H25" s="15"/>
      <c r="I25" s="15"/>
      <c r="J25" s="15"/>
      <c r="K25" s="15"/>
      <c r="L25" s="15"/>
      <c r="M25" s="15"/>
      <c r="N25" s="15"/>
      <c r="O25" s="15"/>
      <c r="P25" s="15"/>
      <c r="Q25" s="15"/>
      <c r="R25" s="15"/>
      <c r="S25" s="15"/>
      <c r="T25" s="15"/>
      <c r="U25" s="15"/>
      <c r="V25" s="15"/>
      <c r="W25" s="15"/>
      <c r="X25" s="15"/>
      <c r="Y25" s="15"/>
      <c r="Z25" s="15"/>
    </row>
    <row r="26" ht="17.25" customHeight="1">
      <c r="A26" s="28" t="s">
        <v>1846</v>
      </c>
      <c r="B26" s="32" t="s">
        <v>1848</v>
      </c>
      <c r="C26" s="28" t="s">
        <v>1849</v>
      </c>
      <c r="D26" s="28"/>
      <c r="E26" s="15"/>
      <c r="F26" s="15"/>
      <c r="G26" s="15"/>
      <c r="H26" s="15"/>
      <c r="I26" s="15"/>
      <c r="J26" s="15"/>
      <c r="K26" s="15"/>
      <c r="L26" s="15"/>
      <c r="M26" s="15"/>
      <c r="N26" s="15"/>
      <c r="O26" s="15"/>
      <c r="P26" s="15"/>
      <c r="Q26" s="15"/>
      <c r="R26" s="15"/>
      <c r="S26" s="15"/>
      <c r="T26" s="15"/>
      <c r="U26" s="15"/>
      <c r="V26" s="15"/>
      <c r="W26" s="15"/>
      <c r="X26" s="15"/>
      <c r="Y26" s="15"/>
      <c r="Z26" s="15"/>
    </row>
    <row r="27" ht="17.25" customHeight="1">
      <c r="A27" s="24"/>
      <c r="B27" s="18"/>
      <c r="C27" s="24"/>
      <c r="D27" s="24"/>
      <c r="E27" s="15"/>
      <c r="F27" s="15"/>
      <c r="G27" s="15"/>
      <c r="H27" s="15"/>
      <c r="I27" s="15"/>
      <c r="J27" s="15"/>
      <c r="K27" s="15"/>
      <c r="L27" s="15"/>
      <c r="M27" s="15"/>
      <c r="N27" s="15"/>
      <c r="O27" s="15"/>
      <c r="P27" s="15"/>
      <c r="Q27" s="15"/>
      <c r="R27" s="15"/>
      <c r="S27" s="15"/>
      <c r="T27" s="15"/>
      <c r="U27" s="15"/>
      <c r="V27" s="15"/>
      <c r="W27" s="15"/>
      <c r="X27" s="15"/>
      <c r="Y27" s="15"/>
      <c r="Z27" s="15"/>
    </row>
    <row r="28" ht="58.5" customHeight="1">
      <c r="A28" s="185" t="s">
        <v>1861</v>
      </c>
      <c r="B28" s="180"/>
      <c r="C28" s="180"/>
      <c r="D28" s="180"/>
      <c r="E28" s="15"/>
      <c r="F28" s="15"/>
      <c r="G28" s="15"/>
      <c r="H28" s="15"/>
      <c r="I28" s="15"/>
      <c r="J28" s="15"/>
      <c r="K28" s="15"/>
      <c r="L28" s="15"/>
      <c r="M28" s="15"/>
      <c r="N28" s="15"/>
      <c r="O28" s="15"/>
      <c r="P28" s="15"/>
      <c r="Q28" s="15"/>
      <c r="R28" s="15"/>
      <c r="S28" s="15"/>
      <c r="T28" s="15"/>
      <c r="U28" s="15"/>
      <c r="V28" s="15"/>
      <c r="W28" s="15"/>
      <c r="X28" s="15"/>
      <c r="Y28" s="15"/>
      <c r="Z28" s="15"/>
    </row>
    <row r="29" ht="17.25" customHeight="1">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row>
    <row r="30" ht="86.25" customHeight="1">
      <c r="A30" s="198" t="s">
        <v>1872</v>
      </c>
      <c r="B30" s="180"/>
      <c r="C30" s="180"/>
      <c r="D30" s="180"/>
      <c r="E30" s="180"/>
      <c r="F30" s="180"/>
      <c r="G30" s="15"/>
      <c r="H30" s="15"/>
      <c r="I30" s="15"/>
      <c r="J30" s="15"/>
      <c r="K30" s="15"/>
      <c r="L30" s="15"/>
      <c r="M30" s="15"/>
      <c r="N30" s="15"/>
      <c r="O30" s="15"/>
      <c r="P30" s="15"/>
      <c r="Q30" s="15"/>
      <c r="R30" s="15"/>
      <c r="S30" s="15"/>
      <c r="T30" s="15"/>
      <c r="U30" s="15"/>
      <c r="V30" s="15"/>
      <c r="W30" s="15"/>
      <c r="X30" s="15"/>
      <c r="Y30" s="15"/>
      <c r="Z30" s="15"/>
    </row>
    <row r="31" ht="17.25" customHeight="1">
      <c r="A31" s="200" t="s">
        <v>1879</v>
      </c>
      <c r="B31" s="200" t="s">
        <v>1881</v>
      </c>
      <c r="C31" s="200" t="s">
        <v>1882</v>
      </c>
      <c r="D31" s="200" t="s">
        <v>1883</v>
      </c>
      <c r="E31" s="15"/>
      <c r="F31" s="15"/>
      <c r="G31" s="15"/>
      <c r="H31" s="15"/>
      <c r="I31" s="15"/>
      <c r="J31" s="15"/>
      <c r="K31" s="15"/>
      <c r="L31" s="15"/>
      <c r="M31" s="15"/>
      <c r="N31" s="15"/>
      <c r="O31" s="15"/>
      <c r="P31" s="15"/>
      <c r="Q31" s="15"/>
      <c r="R31" s="15"/>
      <c r="S31" s="15"/>
      <c r="T31" s="15"/>
      <c r="U31" s="15"/>
      <c r="V31" s="15"/>
      <c r="W31" s="15"/>
      <c r="X31" s="15"/>
      <c r="Y31" s="15"/>
      <c r="Z31" s="15"/>
    </row>
    <row r="32" ht="31.5" customHeight="1">
      <c r="A32" s="202" t="s">
        <v>1890</v>
      </c>
      <c r="B32" s="203" t="s">
        <v>1891</v>
      </c>
      <c r="C32" s="203" t="s">
        <v>1893</v>
      </c>
      <c r="D32" s="203" t="s">
        <v>1894</v>
      </c>
      <c r="E32" s="180"/>
      <c r="F32" s="180"/>
      <c r="G32" s="15"/>
      <c r="H32" s="15"/>
      <c r="I32" s="15"/>
      <c r="J32" s="15"/>
      <c r="K32" s="15"/>
      <c r="L32" s="15"/>
      <c r="M32" s="15"/>
      <c r="N32" s="15"/>
      <c r="O32" s="15"/>
      <c r="P32" s="15"/>
      <c r="Q32" s="15"/>
      <c r="R32" s="15"/>
      <c r="S32" s="15"/>
      <c r="T32" s="15"/>
      <c r="U32" s="15"/>
      <c r="V32" s="15"/>
      <c r="W32" s="15"/>
      <c r="X32" s="15"/>
      <c r="Y32" s="15"/>
      <c r="Z32" s="15"/>
    </row>
    <row r="33" ht="31.5" customHeight="1">
      <c r="A33" s="202" t="s">
        <v>1897</v>
      </c>
      <c r="B33" s="203" t="s">
        <v>472</v>
      </c>
      <c r="C33" s="203" t="s">
        <v>1899</v>
      </c>
      <c r="D33" s="203" t="s">
        <v>1901</v>
      </c>
      <c r="E33" s="180"/>
      <c r="F33" s="180"/>
      <c r="G33" s="15"/>
      <c r="H33" s="15"/>
      <c r="I33" s="15"/>
      <c r="J33" s="15"/>
      <c r="K33" s="15"/>
      <c r="L33" s="15"/>
      <c r="M33" s="15"/>
      <c r="N33" s="15"/>
      <c r="O33" s="15"/>
      <c r="P33" s="15"/>
      <c r="Q33" s="15"/>
      <c r="R33" s="15"/>
      <c r="S33" s="15"/>
      <c r="T33" s="15"/>
      <c r="U33" s="15"/>
      <c r="V33" s="15"/>
      <c r="W33" s="15"/>
      <c r="X33" s="15"/>
      <c r="Y33" s="15"/>
      <c r="Z33" s="15"/>
    </row>
    <row r="34" ht="31.5" customHeight="1">
      <c r="A34" s="203" t="s">
        <v>1905</v>
      </c>
      <c r="B34" s="203" t="s">
        <v>1906</v>
      </c>
      <c r="C34" s="203" t="s">
        <v>1908</v>
      </c>
      <c r="D34" s="203" t="s">
        <v>1909</v>
      </c>
      <c r="E34" s="180"/>
      <c r="F34" s="180"/>
      <c r="G34" s="15"/>
      <c r="H34" s="15"/>
      <c r="I34" s="15"/>
      <c r="J34" s="15"/>
      <c r="K34" s="15"/>
      <c r="L34" s="15"/>
      <c r="M34" s="15"/>
      <c r="N34" s="15"/>
      <c r="O34" s="15"/>
      <c r="P34" s="15"/>
      <c r="Q34" s="15"/>
      <c r="R34" s="15"/>
      <c r="S34" s="15"/>
      <c r="T34" s="15"/>
      <c r="U34" s="15"/>
      <c r="V34" s="15"/>
      <c r="W34" s="15"/>
      <c r="X34" s="15"/>
      <c r="Y34" s="15"/>
      <c r="Z34" s="15"/>
    </row>
    <row r="35" ht="17.25" customHeight="1">
      <c r="A35" s="46"/>
      <c r="B35" s="46"/>
      <c r="C35" s="44"/>
      <c r="D35" s="44"/>
      <c r="E35" s="15"/>
      <c r="F35" s="15"/>
      <c r="G35" s="15"/>
      <c r="H35" s="15"/>
      <c r="I35" s="15"/>
      <c r="J35" s="15"/>
      <c r="K35" s="15"/>
      <c r="L35" s="15"/>
      <c r="M35" s="15"/>
      <c r="N35" s="15"/>
      <c r="O35" s="15"/>
      <c r="P35" s="15"/>
      <c r="Q35" s="15"/>
      <c r="R35" s="15"/>
      <c r="S35" s="15"/>
      <c r="T35" s="15"/>
      <c r="U35" s="15"/>
      <c r="V35" s="15"/>
      <c r="W35" s="15"/>
      <c r="X35" s="15"/>
      <c r="Y35" s="15"/>
      <c r="Z35" s="15"/>
    </row>
    <row r="36" ht="17.25" customHeight="1">
      <c r="A36" s="44"/>
      <c r="B36" s="44"/>
      <c r="C36" s="44"/>
      <c r="D36" s="44"/>
      <c r="E36" s="15"/>
      <c r="F36" s="15"/>
      <c r="G36" s="15"/>
      <c r="H36" s="15"/>
      <c r="I36" s="15"/>
      <c r="J36" s="15"/>
      <c r="K36" s="15"/>
      <c r="L36" s="15"/>
      <c r="M36" s="15"/>
      <c r="N36" s="15"/>
      <c r="O36" s="15"/>
      <c r="P36" s="15"/>
      <c r="Q36" s="15"/>
      <c r="R36" s="15"/>
      <c r="S36" s="15"/>
      <c r="T36" s="15"/>
      <c r="U36" s="15"/>
      <c r="V36" s="15"/>
      <c r="W36" s="15"/>
      <c r="X36" s="15"/>
      <c r="Y36" s="15"/>
      <c r="Z36" s="15"/>
    </row>
    <row r="37" ht="17.25" customHeight="1">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r="38" ht="86.25" customHeight="1">
      <c r="A38" s="210" t="s">
        <v>1923</v>
      </c>
      <c r="B38" s="180"/>
      <c r="C38" s="180"/>
      <c r="D38" s="180"/>
      <c r="E38" s="180"/>
      <c r="F38" s="180"/>
      <c r="G38" s="15"/>
      <c r="H38" s="15"/>
      <c r="I38" s="15"/>
      <c r="J38" s="15"/>
      <c r="K38" s="15"/>
      <c r="L38" s="15"/>
      <c r="M38" s="15"/>
      <c r="N38" s="15"/>
      <c r="O38" s="15"/>
      <c r="P38" s="15"/>
      <c r="Q38" s="15"/>
      <c r="R38" s="15"/>
      <c r="S38" s="15"/>
      <c r="T38" s="15"/>
      <c r="U38" s="15"/>
      <c r="V38" s="15"/>
      <c r="W38" s="15"/>
      <c r="X38" s="15"/>
      <c r="Y38" s="15"/>
      <c r="Z38" s="15"/>
    </row>
    <row r="39" ht="17.25" customHeight="1">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row>
    <row r="40" ht="17.25" customHeight="1">
      <c r="A40" s="211" t="s">
        <v>1935</v>
      </c>
      <c r="B40" s="15"/>
      <c r="C40" s="15"/>
      <c r="D40" s="15"/>
      <c r="E40" s="15"/>
      <c r="F40" s="15"/>
      <c r="G40" s="15"/>
      <c r="H40" s="15"/>
      <c r="I40" s="15"/>
      <c r="J40" s="15"/>
      <c r="K40" s="15"/>
      <c r="L40" s="15"/>
      <c r="M40" s="15"/>
      <c r="N40" s="15"/>
      <c r="O40" s="15"/>
      <c r="P40" s="15"/>
      <c r="Q40" s="15"/>
      <c r="R40" s="15"/>
      <c r="S40" s="15"/>
      <c r="T40" s="15"/>
      <c r="U40" s="15"/>
      <c r="V40" s="15"/>
      <c r="W40" s="15"/>
      <c r="X40" s="15"/>
      <c r="Y40" s="15"/>
      <c r="Z40" s="15"/>
    </row>
    <row r="41" ht="31.5" customHeight="1">
      <c r="A41" s="200" t="s">
        <v>1940</v>
      </c>
      <c r="B41" s="200" t="s">
        <v>1942</v>
      </c>
      <c r="C41" s="200" t="s">
        <v>1943</v>
      </c>
      <c r="D41" s="200" t="s">
        <v>30</v>
      </c>
      <c r="E41" s="200" t="s">
        <v>1946</v>
      </c>
      <c r="F41" s="15"/>
      <c r="G41" s="15"/>
      <c r="H41" s="15"/>
      <c r="I41" s="15"/>
      <c r="J41" s="15"/>
      <c r="K41" s="15"/>
      <c r="L41" s="15"/>
      <c r="M41" s="15"/>
      <c r="N41" s="15"/>
      <c r="O41" s="15"/>
      <c r="P41" s="15"/>
      <c r="Q41" s="15"/>
      <c r="R41" s="15"/>
      <c r="S41" s="15"/>
      <c r="T41" s="15"/>
      <c r="U41" s="15"/>
      <c r="V41" s="15"/>
      <c r="W41" s="15"/>
      <c r="X41" s="15"/>
      <c r="Y41" s="15"/>
      <c r="Z41" s="15"/>
    </row>
    <row r="42" ht="17.25" customHeight="1">
      <c r="A42" s="46" t="s">
        <v>1949</v>
      </c>
      <c r="B42" s="44" t="s">
        <v>1951</v>
      </c>
      <c r="C42" s="44" t="s">
        <v>1952</v>
      </c>
      <c r="D42" s="46" t="s">
        <v>1011</v>
      </c>
      <c r="E42" s="46"/>
      <c r="F42" s="15"/>
      <c r="G42" s="15"/>
      <c r="H42" s="15"/>
      <c r="I42" s="15"/>
      <c r="J42" s="15"/>
      <c r="K42" s="15"/>
      <c r="L42" s="15"/>
      <c r="M42" s="15"/>
      <c r="N42" s="15"/>
      <c r="O42" s="15"/>
      <c r="P42" s="15"/>
      <c r="Q42" s="15"/>
      <c r="R42" s="15"/>
      <c r="S42" s="15"/>
      <c r="T42" s="15"/>
      <c r="U42" s="15"/>
      <c r="V42" s="15"/>
      <c r="W42" s="15"/>
      <c r="X42" s="15"/>
      <c r="Y42" s="15"/>
      <c r="Z42" s="15"/>
    </row>
    <row r="43" ht="31.5" customHeight="1">
      <c r="A43" s="46" t="s">
        <v>1027</v>
      </c>
      <c r="B43" s="44" t="s">
        <v>1958</v>
      </c>
      <c r="C43" s="44" t="s">
        <v>1960</v>
      </c>
      <c r="D43" s="46" t="s">
        <v>1961</v>
      </c>
      <c r="E43" s="46"/>
      <c r="F43" s="15"/>
      <c r="G43" s="15"/>
      <c r="H43" s="15"/>
      <c r="I43" s="15"/>
      <c r="J43" s="15"/>
      <c r="K43" s="15"/>
      <c r="L43" s="15"/>
      <c r="M43" s="15"/>
      <c r="N43" s="15"/>
      <c r="O43" s="15"/>
      <c r="P43" s="15"/>
      <c r="Q43" s="15"/>
      <c r="R43" s="15"/>
      <c r="S43" s="15"/>
      <c r="T43" s="15"/>
      <c r="U43" s="15"/>
      <c r="V43" s="15"/>
      <c r="W43" s="15"/>
      <c r="X43" s="15"/>
      <c r="Y43" s="15"/>
      <c r="Z43" s="15"/>
    </row>
    <row r="44" ht="31.5" customHeight="1">
      <c r="A44" s="46" t="s">
        <v>1967</v>
      </c>
      <c r="B44" s="44" t="s">
        <v>1968</v>
      </c>
      <c r="C44" s="44" t="s">
        <v>1969</v>
      </c>
      <c r="D44" s="46" t="s">
        <v>1570</v>
      </c>
      <c r="E44" s="46"/>
      <c r="F44" s="15"/>
      <c r="G44" s="15"/>
      <c r="H44" s="15"/>
      <c r="I44" s="15"/>
      <c r="J44" s="15"/>
      <c r="K44" s="15"/>
      <c r="L44" s="15"/>
      <c r="M44" s="15"/>
      <c r="N44" s="15"/>
      <c r="O44" s="15"/>
      <c r="P44" s="15"/>
      <c r="Q44" s="15"/>
      <c r="R44" s="15"/>
      <c r="S44" s="15"/>
      <c r="T44" s="15"/>
      <c r="U44" s="15"/>
      <c r="V44" s="15"/>
      <c r="W44" s="15"/>
      <c r="X44" s="15"/>
      <c r="Y44" s="15"/>
      <c r="Z44" s="15"/>
    </row>
    <row r="45" ht="17.25" customHeight="1">
      <c r="A45" s="46" t="s">
        <v>1974</v>
      </c>
      <c r="B45" s="44" t="s">
        <v>1976</v>
      </c>
      <c r="C45" s="44" t="s">
        <v>1977</v>
      </c>
      <c r="D45" s="46" t="s">
        <v>713</v>
      </c>
      <c r="E45" s="46"/>
      <c r="F45" s="15"/>
      <c r="G45" s="15"/>
      <c r="H45" s="15"/>
      <c r="I45" s="15"/>
      <c r="J45" s="15"/>
      <c r="K45" s="15"/>
      <c r="L45" s="15"/>
      <c r="M45" s="15"/>
      <c r="N45" s="15"/>
      <c r="O45" s="15"/>
      <c r="P45" s="15"/>
      <c r="Q45" s="15"/>
      <c r="R45" s="15"/>
      <c r="S45" s="15"/>
      <c r="T45" s="15"/>
      <c r="U45" s="15"/>
      <c r="V45" s="15"/>
      <c r="W45" s="15"/>
      <c r="X45" s="15"/>
      <c r="Y45" s="15"/>
      <c r="Z45" s="15"/>
    </row>
    <row r="46" ht="17.25" customHeight="1">
      <c r="A46" s="46" t="s">
        <v>1978</v>
      </c>
      <c r="B46" s="44" t="s">
        <v>1979</v>
      </c>
      <c r="C46" s="44" t="s">
        <v>1980</v>
      </c>
      <c r="D46" s="46" t="s">
        <v>206</v>
      </c>
      <c r="E46" s="46"/>
      <c r="F46" s="15"/>
      <c r="G46" s="15"/>
      <c r="H46" s="15"/>
      <c r="I46" s="15"/>
      <c r="J46" s="15"/>
      <c r="K46" s="15"/>
      <c r="L46" s="15"/>
      <c r="M46" s="15"/>
      <c r="N46" s="15"/>
      <c r="O46" s="15"/>
      <c r="P46" s="15"/>
      <c r="Q46" s="15"/>
      <c r="R46" s="15"/>
      <c r="S46" s="15"/>
      <c r="T46" s="15"/>
      <c r="U46" s="15"/>
      <c r="V46" s="15"/>
      <c r="W46" s="15"/>
      <c r="X46" s="15"/>
      <c r="Y46" s="15"/>
      <c r="Z46" s="15"/>
    </row>
    <row r="47" ht="31.5" customHeight="1">
      <c r="A47" s="46" t="s">
        <v>1983</v>
      </c>
      <c r="B47" s="44" t="s">
        <v>1985</v>
      </c>
      <c r="C47" s="44" t="s">
        <v>1987</v>
      </c>
      <c r="D47" s="46" t="s">
        <v>1988</v>
      </c>
      <c r="E47" s="44" t="s">
        <v>1989</v>
      </c>
      <c r="F47" s="15"/>
      <c r="G47" s="15"/>
      <c r="H47" s="15"/>
      <c r="I47" s="15"/>
      <c r="J47" s="15"/>
      <c r="K47" s="15"/>
      <c r="L47" s="15"/>
      <c r="M47" s="15"/>
      <c r="N47" s="15"/>
      <c r="O47" s="15"/>
      <c r="P47" s="15"/>
      <c r="Q47" s="15"/>
      <c r="R47" s="15"/>
      <c r="S47" s="15"/>
      <c r="T47" s="15"/>
      <c r="U47" s="15"/>
      <c r="V47" s="15"/>
      <c r="W47" s="15"/>
      <c r="X47" s="15"/>
      <c r="Y47" s="15"/>
      <c r="Z47" s="15"/>
    </row>
    <row r="48" ht="45.0" customHeight="1">
      <c r="A48" s="46" t="s">
        <v>1990</v>
      </c>
      <c r="B48" s="44" t="s">
        <v>1991</v>
      </c>
      <c r="C48" s="44" t="s">
        <v>1992</v>
      </c>
      <c r="D48" s="46" t="s">
        <v>1993</v>
      </c>
      <c r="E48" s="46"/>
      <c r="F48" s="15"/>
      <c r="G48" s="15"/>
      <c r="H48" s="15"/>
      <c r="I48" s="15"/>
      <c r="J48" s="15"/>
      <c r="K48" s="15"/>
      <c r="L48" s="15"/>
      <c r="M48" s="15"/>
      <c r="N48" s="15"/>
      <c r="O48" s="15"/>
      <c r="P48" s="15"/>
      <c r="Q48" s="15"/>
      <c r="R48" s="15"/>
      <c r="S48" s="15"/>
      <c r="T48" s="15"/>
      <c r="U48" s="15"/>
      <c r="V48" s="15"/>
      <c r="W48" s="15"/>
      <c r="X48" s="15"/>
      <c r="Y48" s="15"/>
      <c r="Z48" s="15"/>
    </row>
    <row r="49" ht="45.0" customHeight="1">
      <c r="A49" s="202" t="s">
        <v>1237</v>
      </c>
      <c r="B49" s="203" t="s">
        <v>1999</v>
      </c>
      <c r="C49" s="203" t="s">
        <v>2001</v>
      </c>
      <c r="D49" s="202" t="s">
        <v>2002</v>
      </c>
      <c r="E49" s="202" t="s">
        <v>2004</v>
      </c>
      <c r="F49" s="15"/>
      <c r="G49" s="15"/>
      <c r="H49" s="15"/>
      <c r="I49" s="15"/>
      <c r="J49" s="15"/>
      <c r="K49" s="15"/>
      <c r="L49" s="15"/>
      <c r="M49" s="15"/>
      <c r="N49" s="15"/>
      <c r="O49" s="15"/>
      <c r="P49" s="15"/>
      <c r="Q49" s="15"/>
      <c r="R49" s="15"/>
      <c r="S49" s="15"/>
      <c r="T49" s="15"/>
      <c r="U49" s="15"/>
      <c r="V49" s="15"/>
      <c r="W49" s="15"/>
      <c r="X49" s="15"/>
      <c r="Y49" s="15"/>
      <c r="Z49" s="15"/>
    </row>
    <row r="50" ht="72.75" customHeight="1">
      <c r="A50" s="202" t="s">
        <v>2008</v>
      </c>
      <c r="B50" s="203" t="s">
        <v>2010</v>
      </c>
      <c r="C50" s="203" t="s">
        <v>2012</v>
      </c>
      <c r="D50" s="202" t="s">
        <v>2013</v>
      </c>
      <c r="E50" s="203" t="s">
        <v>2015</v>
      </c>
      <c r="F50" s="15"/>
      <c r="G50" s="15"/>
      <c r="H50" s="15"/>
      <c r="I50" s="15"/>
      <c r="J50" s="15"/>
      <c r="K50" s="15"/>
      <c r="L50" s="15"/>
      <c r="M50" s="15"/>
      <c r="N50" s="15"/>
      <c r="O50" s="15"/>
      <c r="P50" s="15"/>
      <c r="Q50" s="15"/>
      <c r="R50" s="15"/>
      <c r="S50" s="15"/>
      <c r="T50" s="15"/>
      <c r="U50" s="15"/>
      <c r="V50" s="15"/>
      <c r="W50" s="15"/>
      <c r="X50" s="15"/>
      <c r="Y50" s="15"/>
      <c r="Z50" s="15"/>
    </row>
    <row r="51" ht="45.0" customHeight="1">
      <c r="A51" s="46" t="s">
        <v>1642</v>
      </c>
      <c r="B51" s="44" t="s">
        <v>2021</v>
      </c>
      <c r="C51" s="44" t="s">
        <v>2022</v>
      </c>
      <c r="D51" s="46" t="s">
        <v>2023</v>
      </c>
      <c r="E51" s="46"/>
      <c r="F51" s="15"/>
      <c r="G51" s="15"/>
      <c r="H51" s="15"/>
      <c r="I51" s="15"/>
      <c r="J51" s="15"/>
      <c r="K51" s="15"/>
      <c r="L51" s="15"/>
      <c r="M51" s="15"/>
      <c r="N51" s="15"/>
      <c r="O51" s="15"/>
      <c r="P51" s="15"/>
      <c r="Q51" s="15"/>
      <c r="R51" s="15"/>
      <c r="S51" s="15"/>
      <c r="T51" s="15"/>
      <c r="U51" s="15"/>
      <c r="V51" s="15"/>
      <c r="W51" s="15"/>
      <c r="X51" s="15"/>
      <c r="Y51" s="15"/>
      <c r="Z51" s="15"/>
    </row>
    <row r="52" ht="72.75" customHeight="1">
      <c r="A52" s="39" t="s">
        <v>2028</v>
      </c>
      <c r="B52" s="39" t="s">
        <v>2029</v>
      </c>
      <c r="C52" s="39" t="s">
        <v>2031</v>
      </c>
      <c r="D52" s="39" t="s">
        <v>2033</v>
      </c>
      <c r="E52" s="39" t="s">
        <v>2034</v>
      </c>
      <c r="F52" s="15"/>
      <c r="G52" s="15"/>
      <c r="H52" s="15"/>
      <c r="I52" s="15"/>
      <c r="J52" s="15"/>
      <c r="K52" s="15"/>
      <c r="L52" s="15"/>
      <c r="M52" s="15"/>
      <c r="N52" s="15"/>
      <c r="O52" s="15"/>
      <c r="P52" s="15"/>
      <c r="Q52" s="15"/>
      <c r="R52" s="15"/>
      <c r="S52" s="15"/>
      <c r="T52" s="15"/>
      <c r="U52" s="15"/>
      <c r="V52" s="15"/>
      <c r="W52" s="15"/>
      <c r="X52" s="15"/>
      <c r="Y52" s="15"/>
      <c r="Z52" s="15"/>
    </row>
    <row r="53" ht="100.5" customHeight="1">
      <c r="A53" s="202" t="s">
        <v>2038</v>
      </c>
      <c r="B53" s="203" t="s">
        <v>2039</v>
      </c>
      <c r="C53" s="203" t="s">
        <v>2041</v>
      </c>
      <c r="D53" s="202" t="s">
        <v>2042</v>
      </c>
      <c r="E53" s="203" t="s">
        <v>2043</v>
      </c>
      <c r="F53" s="15"/>
      <c r="G53" s="15"/>
      <c r="H53" s="15"/>
      <c r="I53" s="15"/>
      <c r="J53" s="15"/>
      <c r="K53" s="15"/>
      <c r="L53" s="15"/>
      <c r="M53" s="15"/>
      <c r="N53" s="15"/>
      <c r="O53" s="15"/>
      <c r="P53" s="15"/>
      <c r="Q53" s="15"/>
      <c r="R53" s="15"/>
      <c r="S53" s="15"/>
      <c r="T53" s="15"/>
      <c r="U53" s="15"/>
      <c r="V53" s="15"/>
      <c r="W53" s="15"/>
      <c r="X53" s="15"/>
      <c r="Y53" s="15"/>
      <c r="Z53" s="15"/>
    </row>
    <row r="54" ht="45.0" customHeight="1">
      <c r="A54" s="46" t="s">
        <v>2045</v>
      </c>
      <c r="B54" s="44" t="s">
        <v>2046</v>
      </c>
      <c r="C54" s="44" t="s">
        <v>2047</v>
      </c>
      <c r="D54" s="46" t="s">
        <v>2049</v>
      </c>
      <c r="E54" s="44" t="s">
        <v>1989</v>
      </c>
      <c r="F54" s="15"/>
      <c r="G54" s="15"/>
      <c r="H54" s="15"/>
      <c r="I54" s="15"/>
      <c r="J54" s="15"/>
      <c r="K54" s="15"/>
      <c r="L54" s="15"/>
      <c r="M54" s="15"/>
      <c r="N54" s="15"/>
      <c r="O54" s="15"/>
      <c r="P54" s="15"/>
      <c r="Q54" s="15"/>
      <c r="R54" s="15"/>
      <c r="S54" s="15"/>
      <c r="T54" s="15"/>
      <c r="U54" s="15"/>
      <c r="V54" s="15"/>
      <c r="W54" s="15"/>
      <c r="X54" s="15"/>
      <c r="Y54" s="15"/>
      <c r="Z54" s="15"/>
    </row>
    <row r="55" ht="45.0" customHeight="1">
      <c r="A55" s="46" t="s">
        <v>2055</v>
      </c>
      <c r="B55" s="44" t="s">
        <v>2056</v>
      </c>
      <c r="C55" s="46" t="s">
        <v>2057</v>
      </c>
      <c r="D55" s="46" t="s">
        <v>2058</v>
      </c>
      <c r="E55" s="44" t="s">
        <v>1582</v>
      </c>
      <c r="F55" s="15"/>
      <c r="G55" s="15"/>
      <c r="H55" s="15"/>
      <c r="I55" s="15"/>
      <c r="J55" s="15"/>
      <c r="K55" s="15"/>
      <c r="L55" s="15"/>
      <c r="M55" s="15"/>
      <c r="N55" s="15"/>
      <c r="O55" s="15"/>
      <c r="P55" s="15"/>
      <c r="Q55" s="15"/>
      <c r="R55" s="15"/>
      <c r="S55" s="15"/>
      <c r="T55" s="15"/>
      <c r="U55" s="15"/>
      <c r="V55" s="15"/>
      <c r="W55" s="15"/>
      <c r="X55" s="15"/>
      <c r="Y55" s="15"/>
      <c r="Z55" s="15"/>
    </row>
    <row r="56" ht="58.5" customHeight="1">
      <c r="A56" s="221" t="s">
        <v>2063</v>
      </c>
      <c r="B56" s="222" t="s">
        <v>2067</v>
      </c>
      <c r="C56" s="222" t="s">
        <v>2068</v>
      </c>
      <c r="D56" s="221" t="s">
        <v>2069</v>
      </c>
      <c r="E56" s="222" t="s">
        <v>1545</v>
      </c>
      <c r="F56" s="15"/>
      <c r="G56" s="15"/>
      <c r="H56" s="15"/>
      <c r="I56" s="15"/>
      <c r="J56" s="15"/>
      <c r="K56" s="15"/>
      <c r="L56" s="15"/>
      <c r="M56" s="15"/>
      <c r="N56" s="15"/>
      <c r="O56" s="15"/>
      <c r="P56" s="15"/>
      <c r="Q56" s="15"/>
      <c r="R56" s="15"/>
      <c r="S56" s="15"/>
      <c r="T56" s="15"/>
      <c r="U56" s="15"/>
      <c r="V56" s="15"/>
      <c r="W56" s="15"/>
      <c r="X56" s="15"/>
      <c r="Y56" s="15"/>
      <c r="Z56" s="15"/>
    </row>
    <row r="57" ht="86.25" customHeight="1">
      <c r="A57" s="202" t="s">
        <v>2074</v>
      </c>
      <c r="B57" s="203" t="s">
        <v>2076</v>
      </c>
      <c r="C57" s="203" t="s">
        <v>2078</v>
      </c>
      <c r="D57" s="202" t="s">
        <v>2079</v>
      </c>
      <c r="E57" s="203" t="s">
        <v>2080</v>
      </c>
      <c r="F57" s="15"/>
      <c r="G57" s="15"/>
      <c r="H57" s="15"/>
      <c r="I57" s="15"/>
      <c r="J57" s="15"/>
      <c r="K57" s="15"/>
      <c r="L57" s="15"/>
      <c r="M57" s="15"/>
      <c r="N57" s="15"/>
      <c r="O57" s="15"/>
      <c r="P57" s="15"/>
      <c r="Q57" s="15"/>
      <c r="R57" s="15"/>
      <c r="S57" s="15"/>
      <c r="T57" s="15"/>
      <c r="U57" s="15"/>
      <c r="V57" s="15"/>
      <c r="W57" s="15"/>
      <c r="X57" s="15"/>
      <c r="Y57" s="15"/>
      <c r="Z57" s="15"/>
    </row>
    <row r="58" ht="45.0" customHeight="1">
      <c r="A58" s="46" t="s">
        <v>2085</v>
      </c>
      <c r="B58" s="44" t="s">
        <v>2087</v>
      </c>
      <c r="C58" s="46" t="s">
        <v>2089</v>
      </c>
      <c r="D58" s="46" t="s">
        <v>2090</v>
      </c>
      <c r="E58" s="44" t="s">
        <v>1582</v>
      </c>
      <c r="F58" s="15"/>
      <c r="G58" s="15"/>
      <c r="H58" s="15"/>
      <c r="I58" s="15"/>
      <c r="J58" s="15"/>
      <c r="K58" s="15"/>
      <c r="L58" s="15"/>
      <c r="M58" s="15"/>
      <c r="N58" s="15"/>
      <c r="O58" s="15"/>
      <c r="P58" s="15"/>
      <c r="Q58" s="15"/>
      <c r="R58" s="15"/>
      <c r="S58" s="15"/>
      <c r="T58" s="15"/>
      <c r="U58" s="15"/>
      <c r="V58" s="15"/>
      <c r="W58" s="15"/>
      <c r="X58" s="15"/>
      <c r="Y58" s="15"/>
      <c r="Z58" s="15"/>
    </row>
    <row r="59" ht="58.5" customHeight="1">
      <c r="A59" s="18" t="s">
        <v>2095</v>
      </c>
      <c r="B59" s="24" t="s">
        <v>2097</v>
      </c>
      <c r="C59" s="24" t="s">
        <v>2098</v>
      </c>
      <c r="D59" s="18" t="s">
        <v>2099</v>
      </c>
      <c r="E59" s="24" t="s">
        <v>1582</v>
      </c>
      <c r="F59" s="15"/>
      <c r="G59" s="15"/>
      <c r="H59" s="15"/>
      <c r="I59" s="15"/>
      <c r="J59" s="15"/>
      <c r="K59" s="15"/>
      <c r="L59" s="15"/>
      <c r="M59" s="15"/>
      <c r="N59" s="15"/>
      <c r="O59" s="15"/>
      <c r="P59" s="15"/>
      <c r="Q59" s="15"/>
      <c r="R59" s="15"/>
      <c r="S59" s="15"/>
      <c r="T59" s="15"/>
      <c r="U59" s="15"/>
      <c r="V59" s="15"/>
      <c r="W59" s="15"/>
      <c r="X59" s="15"/>
      <c r="Y59" s="15"/>
      <c r="Z59" s="15"/>
    </row>
    <row r="60" ht="86.25" customHeight="1">
      <c r="A60" s="32" t="s">
        <v>2105</v>
      </c>
      <c r="B60" s="28" t="s">
        <v>2106</v>
      </c>
      <c r="C60" s="28" t="s">
        <v>2107</v>
      </c>
      <c r="D60" s="32" t="s">
        <v>2108</v>
      </c>
      <c r="E60" s="32" t="s">
        <v>2109</v>
      </c>
      <c r="F60" s="15"/>
      <c r="G60" s="15"/>
      <c r="H60" s="15"/>
      <c r="I60" s="15"/>
      <c r="J60" s="15"/>
      <c r="K60" s="15"/>
      <c r="L60" s="15"/>
      <c r="M60" s="15"/>
      <c r="N60" s="15"/>
      <c r="O60" s="15"/>
      <c r="P60" s="15"/>
      <c r="Q60" s="15"/>
      <c r="R60" s="15"/>
      <c r="S60" s="15"/>
      <c r="T60" s="15"/>
      <c r="U60" s="15"/>
      <c r="V60" s="15"/>
      <c r="W60" s="15"/>
      <c r="X60" s="15"/>
      <c r="Y60" s="15"/>
      <c r="Z60" s="15"/>
    </row>
    <row r="61" ht="58.5" customHeight="1">
      <c r="A61" s="32" t="s">
        <v>2116</v>
      </c>
      <c r="B61" s="28" t="s">
        <v>2117</v>
      </c>
      <c r="C61" s="28" t="s">
        <v>2118</v>
      </c>
      <c r="D61" s="32" t="s">
        <v>2119</v>
      </c>
      <c r="E61" s="32" t="s">
        <v>2120</v>
      </c>
      <c r="F61" s="15"/>
      <c r="G61" s="15"/>
      <c r="H61" s="15"/>
      <c r="I61" s="15"/>
      <c r="J61" s="15"/>
      <c r="K61" s="15"/>
      <c r="L61" s="15"/>
      <c r="M61" s="15"/>
      <c r="N61" s="15"/>
      <c r="O61" s="15"/>
      <c r="P61" s="15"/>
      <c r="Q61" s="15"/>
      <c r="R61" s="15"/>
      <c r="S61" s="15"/>
      <c r="T61" s="15"/>
      <c r="U61" s="15"/>
      <c r="V61" s="15"/>
      <c r="W61" s="15"/>
      <c r="X61" s="15"/>
      <c r="Y61" s="15"/>
      <c r="Z61" s="15"/>
    </row>
    <row r="62" ht="127.5" customHeight="1">
      <c r="A62" s="32" t="s">
        <v>2127</v>
      </c>
      <c r="B62" s="28" t="s">
        <v>2128</v>
      </c>
      <c r="C62" s="28" t="s">
        <v>2129</v>
      </c>
      <c r="D62" s="32" t="s">
        <v>2131</v>
      </c>
      <c r="E62" s="32" t="s">
        <v>896</v>
      </c>
      <c r="F62" s="15"/>
      <c r="G62" s="15"/>
      <c r="H62" s="15"/>
      <c r="I62" s="15"/>
      <c r="J62" s="15"/>
      <c r="K62" s="15"/>
      <c r="L62" s="15"/>
      <c r="M62" s="15"/>
      <c r="N62" s="15"/>
      <c r="O62" s="15"/>
      <c r="P62" s="15"/>
      <c r="Q62" s="15"/>
      <c r="R62" s="15"/>
      <c r="S62" s="15"/>
      <c r="T62" s="15"/>
      <c r="U62" s="15"/>
      <c r="V62" s="15"/>
      <c r="W62" s="15"/>
      <c r="X62" s="15"/>
      <c r="Y62" s="15"/>
      <c r="Z62" s="15"/>
    </row>
    <row r="63" ht="141.75" customHeight="1">
      <c r="A63" s="56" t="s">
        <v>2138</v>
      </c>
      <c r="B63" s="55" t="s">
        <v>2141</v>
      </c>
      <c r="C63" s="55" t="s">
        <v>2144</v>
      </c>
      <c r="D63" s="56" t="s">
        <v>2145</v>
      </c>
      <c r="E63" s="56" t="s">
        <v>1827</v>
      </c>
      <c r="F63" s="15"/>
      <c r="G63" s="15"/>
      <c r="H63" s="15"/>
      <c r="I63" s="15"/>
      <c r="J63" s="15"/>
      <c r="K63" s="15"/>
      <c r="L63" s="15"/>
      <c r="M63" s="15"/>
      <c r="N63" s="15"/>
      <c r="O63" s="15"/>
      <c r="P63" s="15"/>
      <c r="Q63" s="15"/>
      <c r="R63" s="15"/>
      <c r="S63" s="15"/>
      <c r="T63" s="15"/>
      <c r="U63" s="15"/>
      <c r="V63" s="15"/>
      <c r="W63" s="15"/>
      <c r="X63" s="15"/>
      <c r="Y63" s="15"/>
      <c r="Z63" s="15"/>
    </row>
    <row r="64" ht="45.0" customHeight="1">
      <c r="A64" s="61" t="s">
        <v>2151</v>
      </c>
      <c r="B64" s="62" t="s">
        <v>2152</v>
      </c>
      <c r="C64" s="62" t="s">
        <v>2153</v>
      </c>
      <c r="D64" s="61" t="s">
        <v>2154</v>
      </c>
      <c r="E64" s="61" t="s">
        <v>947</v>
      </c>
      <c r="F64" s="15"/>
      <c r="G64" s="15"/>
      <c r="H64" s="15"/>
      <c r="I64" s="15"/>
      <c r="J64" s="15"/>
      <c r="K64" s="15"/>
      <c r="L64" s="15"/>
      <c r="M64" s="15"/>
      <c r="N64" s="15"/>
      <c r="O64" s="15"/>
      <c r="P64" s="15"/>
      <c r="Q64" s="15"/>
      <c r="R64" s="15"/>
      <c r="S64" s="15"/>
      <c r="T64" s="15"/>
      <c r="U64" s="15"/>
      <c r="V64" s="15"/>
      <c r="W64" s="15"/>
      <c r="X64" s="15"/>
      <c r="Y64" s="15"/>
      <c r="Z64" s="15"/>
    </row>
    <row r="65">
      <c r="A65" s="61" t="s">
        <v>2161</v>
      </c>
      <c r="B65" s="62" t="s">
        <v>2162</v>
      </c>
      <c r="C65" s="62" t="s">
        <v>2163</v>
      </c>
      <c r="D65" s="61" t="s">
        <v>2165</v>
      </c>
      <c r="E65" s="61" t="s">
        <v>947</v>
      </c>
      <c r="F65" s="15"/>
      <c r="G65" s="15"/>
      <c r="H65" s="15"/>
      <c r="I65" s="15"/>
      <c r="J65" s="15"/>
      <c r="K65" s="15"/>
      <c r="L65" s="15"/>
      <c r="M65" s="15"/>
      <c r="N65" s="15"/>
      <c r="O65" s="15"/>
      <c r="P65" s="15"/>
      <c r="Q65" s="15"/>
      <c r="R65" s="15"/>
      <c r="S65" s="15"/>
      <c r="T65" s="15"/>
      <c r="U65" s="15"/>
      <c r="V65" s="15"/>
      <c r="W65" s="15"/>
      <c r="X65" s="15"/>
      <c r="Y65" s="15"/>
      <c r="Z65" s="15"/>
    </row>
    <row r="66" ht="86.25" customHeight="1">
      <c r="A66" s="180" t="s">
        <v>2171</v>
      </c>
      <c r="B66" s="225" t="s">
        <v>2172</v>
      </c>
      <c r="C66" s="225" t="s">
        <v>2176</v>
      </c>
      <c r="D66" s="180" t="s">
        <v>2177</v>
      </c>
      <c r="E66" s="180" t="s">
        <v>2178</v>
      </c>
      <c r="F66" s="15"/>
      <c r="G66" s="15"/>
      <c r="H66" s="15"/>
      <c r="I66" s="15"/>
      <c r="J66" s="15"/>
      <c r="K66" s="15"/>
      <c r="L66" s="15"/>
      <c r="M66" s="15"/>
      <c r="N66" s="15"/>
      <c r="O66" s="15"/>
      <c r="P66" s="15"/>
      <c r="Q66" s="15"/>
      <c r="R66" s="15"/>
      <c r="S66" s="15"/>
      <c r="T66" s="15"/>
      <c r="U66" s="15"/>
      <c r="V66" s="15"/>
      <c r="W66" s="15"/>
      <c r="X66" s="15"/>
      <c r="Y66" s="15"/>
      <c r="Z66" s="15"/>
    </row>
    <row r="67" ht="17.25" customHeight="1">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ht="141.75" customHeight="1">
      <c r="A68" s="226" t="s">
        <v>2186</v>
      </c>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ht="15.75" customHeight="1">
      <c r="A69" s="84"/>
      <c r="B69" s="84"/>
      <c r="C69" s="84"/>
      <c r="D69" s="84"/>
      <c r="E69" s="84"/>
      <c r="F69" s="84"/>
      <c r="G69" s="84"/>
      <c r="H69" s="84"/>
      <c r="I69" s="84"/>
      <c r="J69" s="84"/>
      <c r="K69" s="84"/>
      <c r="L69" s="84"/>
      <c r="M69" s="84"/>
      <c r="N69" s="84"/>
      <c r="O69" s="84"/>
      <c r="P69" s="84"/>
      <c r="Q69" s="84"/>
      <c r="R69" s="84"/>
      <c r="S69" s="84"/>
      <c r="T69" s="84"/>
      <c r="U69" s="84"/>
      <c r="V69" s="84"/>
      <c r="W69" s="84"/>
      <c r="X69" s="84"/>
      <c r="Y69" s="84"/>
      <c r="Z69" s="84"/>
    </row>
    <row r="70" ht="15.75" customHeight="1">
      <c r="A70" s="84"/>
      <c r="B70" s="84"/>
      <c r="C70" s="84"/>
      <c r="D70" s="84"/>
      <c r="E70" s="84"/>
      <c r="F70" s="84"/>
      <c r="G70" s="84"/>
      <c r="H70" s="84"/>
      <c r="I70" s="84"/>
      <c r="J70" s="84"/>
      <c r="K70" s="84"/>
      <c r="L70" s="84"/>
      <c r="M70" s="84"/>
      <c r="N70" s="84"/>
      <c r="O70" s="84"/>
      <c r="P70" s="84"/>
      <c r="Q70" s="84"/>
      <c r="R70" s="84"/>
      <c r="S70" s="84"/>
      <c r="T70" s="84"/>
      <c r="U70" s="84"/>
      <c r="V70" s="84"/>
      <c r="W70" s="84"/>
      <c r="X70" s="84"/>
      <c r="Y70" s="84"/>
      <c r="Z70" s="84"/>
    </row>
    <row r="71" ht="15.75" customHeight="1">
      <c r="A71" s="84"/>
      <c r="B71" s="84"/>
      <c r="C71" s="84"/>
      <c r="D71" s="84"/>
      <c r="E71" s="84"/>
      <c r="F71" s="84"/>
      <c r="G71" s="84"/>
      <c r="H71" s="84"/>
      <c r="I71" s="84"/>
      <c r="J71" s="84"/>
      <c r="K71" s="84"/>
      <c r="L71" s="84"/>
      <c r="M71" s="84"/>
      <c r="N71" s="84"/>
      <c r="O71" s="84"/>
      <c r="P71" s="84"/>
      <c r="Q71" s="84"/>
      <c r="R71" s="84"/>
      <c r="S71" s="84"/>
      <c r="T71" s="84"/>
      <c r="U71" s="84"/>
      <c r="V71" s="84"/>
      <c r="W71" s="84"/>
      <c r="X71" s="84"/>
      <c r="Y71" s="84"/>
      <c r="Z71" s="84"/>
    </row>
    <row r="72" ht="15.75" customHeight="1">
      <c r="A72" s="84"/>
      <c r="B72" s="84"/>
      <c r="C72" s="84"/>
      <c r="D72" s="84"/>
      <c r="E72" s="84"/>
      <c r="F72" s="84"/>
      <c r="G72" s="84"/>
      <c r="H72" s="84"/>
      <c r="I72" s="84"/>
      <c r="J72" s="84"/>
      <c r="K72" s="84"/>
      <c r="L72" s="84"/>
      <c r="M72" s="84"/>
      <c r="N72" s="84"/>
      <c r="O72" s="84"/>
      <c r="P72" s="84"/>
      <c r="Q72" s="84"/>
      <c r="R72" s="84"/>
      <c r="S72" s="84"/>
      <c r="T72" s="84"/>
      <c r="U72" s="84"/>
      <c r="V72" s="84"/>
      <c r="W72" s="84"/>
      <c r="X72" s="84"/>
      <c r="Y72" s="84"/>
      <c r="Z72" s="84"/>
    </row>
    <row r="73" ht="15.75" customHeight="1">
      <c r="A73" s="84"/>
      <c r="B73" s="84"/>
      <c r="C73" s="84"/>
      <c r="D73" s="84"/>
      <c r="E73" s="84"/>
      <c r="F73" s="84"/>
      <c r="G73" s="84"/>
      <c r="H73" s="84"/>
      <c r="I73" s="84"/>
      <c r="J73" s="84"/>
      <c r="K73" s="84"/>
      <c r="L73" s="84"/>
      <c r="M73" s="84"/>
      <c r="N73" s="84"/>
      <c r="O73" s="84"/>
      <c r="P73" s="84"/>
      <c r="Q73" s="84"/>
      <c r="R73" s="84"/>
      <c r="S73" s="84"/>
      <c r="T73" s="84"/>
      <c r="U73" s="84"/>
      <c r="V73" s="84"/>
      <c r="W73" s="84"/>
      <c r="X73" s="84"/>
      <c r="Y73" s="84"/>
      <c r="Z73" s="84"/>
    </row>
    <row r="74" ht="15.75" customHeight="1">
      <c r="A74" s="84"/>
      <c r="B74" s="84"/>
      <c r="C74" s="84"/>
      <c r="D74" s="84"/>
      <c r="E74" s="84"/>
      <c r="F74" s="84"/>
      <c r="G74" s="84"/>
      <c r="H74" s="84"/>
      <c r="I74" s="84"/>
      <c r="J74" s="84"/>
      <c r="K74" s="84"/>
      <c r="L74" s="84"/>
      <c r="M74" s="84"/>
      <c r="N74" s="84"/>
      <c r="O74" s="84"/>
      <c r="P74" s="84"/>
      <c r="Q74" s="84"/>
      <c r="R74" s="84"/>
      <c r="S74" s="84"/>
      <c r="T74" s="84"/>
      <c r="U74" s="84"/>
      <c r="V74" s="84"/>
      <c r="W74" s="84"/>
      <c r="X74" s="84"/>
      <c r="Y74" s="84"/>
      <c r="Z74" s="84"/>
    </row>
    <row r="75" ht="15.75" customHeight="1">
      <c r="A75" s="84"/>
      <c r="B75" s="84"/>
      <c r="C75" s="84"/>
      <c r="D75" s="84"/>
      <c r="E75" s="84"/>
      <c r="F75" s="84"/>
      <c r="G75" s="84"/>
      <c r="H75" s="84"/>
      <c r="I75" s="84"/>
      <c r="J75" s="84"/>
      <c r="K75" s="84"/>
      <c r="L75" s="84"/>
      <c r="M75" s="84"/>
      <c r="N75" s="84"/>
      <c r="O75" s="84"/>
      <c r="P75" s="84"/>
      <c r="Q75" s="84"/>
      <c r="R75" s="84"/>
      <c r="S75" s="84"/>
      <c r="T75" s="84"/>
      <c r="U75" s="84"/>
      <c r="V75" s="84"/>
      <c r="W75" s="84"/>
      <c r="X75" s="84"/>
      <c r="Y75" s="84"/>
      <c r="Z75" s="84"/>
    </row>
    <row r="76" ht="15.75" customHeight="1">
      <c r="A76" s="84"/>
      <c r="B76" s="84"/>
      <c r="C76" s="84"/>
      <c r="D76" s="84"/>
      <c r="E76" s="84"/>
      <c r="F76" s="84"/>
      <c r="G76" s="84"/>
      <c r="H76" s="84"/>
      <c r="I76" s="84"/>
      <c r="J76" s="84"/>
      <c r="K76" s="84"/>
      <c r="L76" s="84"/>
      <c r="M76" s="84"/>
      <c r="N76" s="84"/>
      <c r="O76" s="84"/>
      <c r="P76" s="84"/>
      <c r="Q76" s="84"/>
      <c r="R76" s="84"/>
      <c r="S76" s="84"/>
      <c r="T76" s="84"/>
      <c r="U76" s="84"/>
      <c r="V76" s="84"/>
      <c r="W76" s="84"/>
      <c r="X76" s="84"/>
      <c r="Y76" s="84"/>
      <c r="Z76" s="84"/>
    </row>
    <row r="77" ht="15.75" customHeight="1">
      <c r="A77" s="84"/>
      <c r="B77" s="84"/>
      <c r="C77" s="84"/>
      <c r="D77" s="84"/>
      <c r="E77" s="84"/>
      <c r="F77" s="84"/>
      <c r="G77" s="84"/>
      <c r="H77" s="84"/>
      <c r="I77" s="84"/>
      <c r="J77" s="84"/>
      <c r="K77" s="84"/>
      <c r="L77" s="84"/>
      <c r="M77" s="84"/>
      <c r="N77" s="84"/>
      <c r="O77" s="84"/>
      <c r="P77" s="84"/>
      <c r="Q77" s="84"/>
      <c r="R77" s="84"/>
      <c r="S77" s="84"/>
      <c r="T77" s="84"/>
      <c r="U77" s="84"/>
      <c r="V77" s="84"/>
      <c r="W77" s="84"/>
      <c r="X77" s="84"/>
      <c r="Y77" s="84"/>
      <c r="Z77" s="84"/>
    </row>
    <row r="78" ht="15.75" customHeight="1">
      <c r="A78" s="84"/>
      <c r="B78" s="84"/>
      <c r="C78" s="84"/>
      <c r="D78" s="84"/>
      <c r="E78" s="84"/>
      <c r="F78" s="84"/>
      <c r="G78" s="84"/>
      <c r="H78" s="84"/>
      <c r="I78" s="84"/>
      <c r="J78" s="84"/>
      <c r="K78" s="84"/>
      <c r="L78" s="84"/>
      <c r="M78" s="84"/>
      <c r="N78" s="84"/>
      <c r="O78" s="84"/>
      <c r="P78" s="84"/>
      <c r="Q78" s="84"/>
      <c r="R78" s="84"/>
      <c r="S78" s="84"/>
      <c r="T78" s="84"/>
      <c r="U78" s="84"/>
      <c r="V78" s="84"/>
      <c r="W78" s="84"/>
      <c r="X78" s="84"/>
      <c r="Y78" s="84"/>
      <c r="Z78" s="84"/>
    </row>
    <row r="79" ht="15.75" customHeight="1">
      <c r="A79" s="84"/>
      <c r="B79" s="84"/>
      <c r="C79" s="84"/>
      <c r="D79" s="84"/>
      <c r="E79" s="84"/>
      <c r="F79" s="84"/>
      <c r="G79" s="84"/>
      <c r="H79" s="84"/>
      <c r="I79" s="84"/>
      <c r="J79" s="84"/>
      <c r="K79" s="84"/>
      <c r="L79" s="84"/>
      <c r="M79" s="84"/>
      <c r="N79" s="84"/>
      <c r="O79" s="84"/>
      <c r="P79" s="84"/>
      <c r="Q79" s="84"/>
      <c r="R79" s="84"/>
      <c r="S79" s="84"/>
      <c r="T79" s="84"/>
      <c r="U79" s="84"/>
      <c r="V79" s="84"/>
      <c r="W79" s="84"/>
      <c r="X79" s="84"/>
      <c r="Y79" s="84"/>
      <c r="Z79" s="84"/>
    </row>
    <row r="80" ht="15.75" customHeight="1">
      <c r="A80" s="84"/>
      <c r="B80" s="84"/>
      <c r="C80" s="84"/>
      <c r="D80" s="84"/>
      <c r="E80" s="84"/>
      <c r="F80" s="84"/>
      <c r="G80" s="84"/>
      <c r="H80" s="84"/>
      <c r="I80" s="84"/>
      <c r="J80" s="84"/>
      <c r="K80" s="84"/>
      <c r="L80" s="84"/>
      <c r="M80" s="84"/>
      <c r="N80" s="84"/>
      <c r="O80" s="84"/>
      <c r="P80" s="84"/>
      <c r="Q80" s="84"/>
      <c r="R80" s="84"/>
      <c r="S80" s="84"/>
      <c r="T80" s="84"/>
      <c r="U80" s="84"/>
      <c r="V80" s="84"/>
      <c r="W80" s="84"/>
      <c r="X80" s="84"/>
      <c r="Y80" s="84"/>
      <c r="Z80" s="84"/>
    </row>
    <row r="81" ht="15.75" customHeight="1">
      <c r="A81" s="84"/>
      <c r="B81" s="84"/>
      <c r="C81" s="84"/>
      <c r="D81" s="84"/>
      <c r="E81" s="84"/>
      <c r="F81" s="84"/>
      <c r="G81" s="84"/>
      <c r="H81" s="84"/>
      <c r="I81" s="84"/>
      <c r="J81" s="84"/>
      <c r="K81" s="84"/>
      <c r="L81" s="84"/>
      <c r="M81" s="84"/>
      <c r="N81" s="84"/>
      <c r="O81" s="84"/>
      <c r="P81" s="84"/>
      <c r="Q81" s="84"/>
      <c r="R81" s="84"/>
      <c r="S81" s="84"/>
      <c r="T81" s="84"/>
      <c r="U81" s="84"/>
      <c r="V81" s="84"/>
      <c r="W81" s="84"/>
      <c r="X81" s="84"/>
      <c r="Y81" s="84"/>
      <c r="Z81" s="84"/>
    </row>
    <row r="82" ht="15.75" customHeight="1">
      <c r="A82" s="84"/>
      <c r="B82" s="84"/>
      <c r="C82" s="84"/>
      <c r="D82" s="84"/>
      <c r="E82" s="84"/>
      <c r="F82" s="84"/>
      <c r="G82" s="84"/>
      <c r="H82" s="84"/>
      <c r="I82" s="84"/>
      <c r="J82" s="84"/>
      <c r="K82" s="84"/>
      <c r="L82" s="84"/>
      <c r="M82" s="84"/>
      <c r="N82" s="84"/>
      <c r="O82" s="84"/>
      <c r="P82" s="84"/>
      <c r="Q82" s="84"/>
      <c r="R82" s="84"/>
      <c r="S82" s="84"/>
      <c r="T82" s="84"/>
      <c r="U82" s="84"/>
      <c r="V82" s="84"/>
      <c r="W82" s="84"/>
      <c r="X82" s="84"/>
      <c r="Y82" s="84"/>
      <c r="Z82" s="84"/>
    </row>
    <row r="83" ht="15.75" customHeight="1">
      <c r="A83" s="84"/>
      <c r="B83" s="84"/>
      <c r="C83" s="84"/>
      <c r="D83" s="84"/>
      <c r="E83" s="84"/>
      <c r="F83" s="84"/>
      <c r="G83" s="84"/>
      <c r="H83" s="84"/>
      <c r="I83" s="84"/>
      <c r="J83" s="84"/>
      <c r="K83" s="84"/>
      <c r="L83" s="84"/>
      <c r="M83" s="84"/>
      <c r="N83" s="84"/>
      <c r="O83" s="84"/>
      <c r="P83" s="84"/>
      <c r="Q83" s="84"/>
      <c r="R83" s="84"/>
      <c r="S83" s="84"/>
      <c r="T83" s="84"/>
      <c r="U83" s="84"/>
      <c r="V83" s="84"/>
      <c r="W83" s="84"/>
      <c r="X83" s="84"/>
      <c r="Y83" s="84"/>
      <c r="Z83" s="84"/>
    </row>
    <row r="84" ht="15.75" customHeight="1">
      <c r="A84" s="84"/>
      <c r="B84" s="84"/>
      <c r="C84" s="84"/>
      <c r="D84" s="84"/>
      <c r="E84" s="84"/>
      <c r="F84" s="84"/>
      <c r="G84" s="84"/>
      <c r="H84" s="84"/>
      <c r="I84" s="84"/>
      <c r="J84" s="84"/>
      <c r="K84" s="84"/>
      <c r="L84" s="84"/>
      <c r="M84" s="84"/>
      <c r="N84" s="84"/>
      <c r="O84" s="84"/>
      <c r="P84" s="84"/>
      <c r="Q84" s="84"/>
      <c r="R84" s="84"/>
      <c r="S84" s="84"/>
      <c r="T84" s="84"/>
      <c r="U84" s="84"/>
      <c r="V84" s="84"/>
      <c r="W84" s="84"/>
      <c r="X84" s="84"/>
      <c r="Y84" s="84"/>
      <c r="Z84" s="84"/>
    </row>
    <row r="85" ht="15.75" customHeight="1">
      <c r="A85" s="84"/>
      <c r="B85" s="84"/>
      <c r="C85" s="84"/>
      <c r="D85" s="84"/>
      <c r="E85" s="84"/>
      <c r="F85" s="84"/>
      <c r="G85" s="84"/>
      <c r="H85" s="84"/>
      <c r="I85" s="84"/>
      <c r="J85" s="84"/>
      <c r="K85" s="84"/>
      <c r="L85" s="84"/>
      <c r="M85" s="84"/>
      <c r="N85" s="84"/>
      <c r="O85" s="84"/>
      <c r="P85" s="84"/>
      <c r="Q85" s="84"/>
      <c r="R85" s="84"/>
      <c r="S85" s="84"/>
      <c r="T85" s="84"/>
      <c r="U85" s="84"/>
      <c r="V85" s="84"/>
      <c r="W85" s="84"/>
      <c r="X85" s="84"/>
      <c r="Y85" s="84"/>
      <c r="Z85" s="84"/>
    </row>
    <row r="86" ht="15.75" customHeight="1">
      <c r="A86" s="84"/>
      <c r="B86" s="84"/>
      <c r="C86" s="84"/>
      <c r="D86" s="84"/>
      <c r="E86" s="84"/>
      <c r="F86" s="84"/>
      <c r="G86" s="84"/>
      <c r="H86" s="84"/>
      <c r="I86" s="84"/>
      <c r="J86" s="84"/>
      <c r="K86" s="84"/>
      <c r="L86" s="84"/>
      <c r="M86" s="84"/>
      <c r="N86" s="84"/>
      <c r="O86" s="84"/>
      <c r="P86" s="84"/>
      <c r="Q86" s="84"/>
      <c r="R86" s="84"/>
      <c r="S86" s="84"/>
      <c r="T86" s="84"/>
      <c r="U86" s="84"/>
      <c r="V86" s="84"/>
      <c r="W86" s="84"/>
      <c r="X86" s="84"/>
      <c r="Y86" s="84"/>
      <c r="Z86" s="84"/>
    </row>
    <row r="87" ht="15.75" customHeight="1">
      <c r="A87" s="84"/>
      <c r="B87" s="84"/>
      <c r="C87" s="84"/>
      <c r="D87" s="84"/>
      <c r="E87" s="84"/>
      <c r="F87" s="84"/>
      <c r="G87" s="84"/>
      <c r="H87" s="84"/>
      <c r="I87" s="84"/>
      <c r="J87" s="84"/>
      <c r="K87" s="84"/>
      <c r="L87" s="84"/>
      <c r="M87" s="84"/>
      <c r="N87" s="84"/>
      <c r="O87" s="84"/>
      <c r="P87" s="84"/>
      <c r="Q87" s="84"/>
      <c r="R87" s="84"/>
      <c r="S87" s="84"/>
      <c r="T87" s="84"/>
      <c r="U87" s="84"/>
      <c r="V87" s="84"/>
      <c r="W87" s="84"/>
      <c r="X87" s="84"/>
      <c r="Y87" s="84"/>
      <c r="Z87" s="84"/>
    </row>
    <row r="88" ht="15.75" customHeight="1">
      <c r="A88" s="84"/>
      <c r="B88" s="84"/>
      <c r="C88" s="84"/>
      <c r="D88" s="84"/>
      <c r="E88" s="84"/>
      <c r="F88" s="84"/>
      <c r="G88" s="84"/>
      <c r="H88" s="84"/>
      <c r="I88" s="84"/>
      <c r="J88" s="84"/>
      <c r="K88" s="84"/>
      <c r="L88" s="84"/>
      <c r="M88" s="84"/>
      <c r="N88" s="84"/>
      <c r="O88" s="84"/>
      <c r="P88" s="84"/>
      <c r="Q88" s="84"/>
      <c r="R88" s="84"/>
      <c r="S88" s="84"/>
      <c r="T88" s="84"/>
      <c r="U88" s="84"/>
      <c r="V88" s="84"/>
      <c r="W88" s="84"/>
      <c r="X88" s="84"/>
      <c r="Y88" s="84"/>
      <c r="Z88" s="84"/>
    </row>
    <row r="89" ht="15.75" customHeight="1">
      <c r="A89" s="84"/>
      <c r="B89" s="84"/>
      <c r="C89" s="84"/>
      <c r="D89" s="84"/>
      <c r="E89" s="84"/>
      <c r="F89" s="84"/>
      <c r="G89" s="84"/>
      <c r="H89" s="84"/>
      <c r="I89" s="84"/>
      <c r="J89" s="84"/>
      <c r="K89" s="84"/>
      <c r="L89" s="84"/>
      <c r="M89" s="84"/>
      <c r="N89" s="84"/>
      <c r="O89" s="84"/>
      <c r="P89" s="84"/>
      <c r="Q89" s="84"/>
      <c r="R89" s="84"/>
      <c r="S89" s="84"/>
      <c r="T89" s="84"/>
      <c r="U89" s="84"/>
      <c r="V89" s="84"/>
      <c r="W89" s="84"/>
      <c r="X89" s="84"/>
      <c r="Y89" s="84"/>
      <c r="Z89" s="84"/>
    </row>
    <row r="90" ht="15.75" customHeight="1">
      <c r="A90" s="84"/>
      <c r="B90" s="84"/>
      <c r="C90" s="84"/>
      <c r="D90" s="84"/>
      <c r="E90" s="84"/>
      <c r="F90" s="84"/>
      <c r="G90" s="84"/>
      <c r="H90" s="84"/>
      <c r="I90" s="84"/>
      <c r="J90" s="84"/>
      <c r="K90" s="84"/>
      <c r="L90" s="84"/>
      <c r="M90" s="84"/>
      <c r="N90" s="84"/>
      <c r="O90" s="84"/>
      <c r="P90" s="84"/>
      <c r="Q90" s="84"/>
      <c r="R90" s="84"/>
      <c r="S90" s="84"/>
      <c r="T90" s="84"/>
      <c r="U90" s="84"/>
      <c r="V90" s="84"/>
      <c r="W90" s="84"/>
      <c r="X90" s="84"/>
      <c r="Y90" s="84"/>
      <c r="Z90" s="84"/>
    </row>
    <row r="91" ht="15.75" customHeight="1">
      <c r="A91" s="84"/>
      <c r="B91" s="84"/>
      <c r="C91" s="84"/>
      <c r="D91" s="84"/>
      <c r="E91" s="84"/>
      <c r="F91" s="84"/>
      <c r="G91" s="84"/>
      <c r="H91" s="84"/>
      <c r="I91" s="84"/>
      <c r="J91" s="84"/>
      <c r="K91" s="84"/>
      <c r="L91" s="84"/>
      <c r="M91" s="84"/>
      <c r="N91" s="84"/>
      <c r="O91" s="84"/>
      <c r="P91" s="84"/>
      <c r="Q91" s="84"/>
      <c r="R91" s="84"/>
      <c r="S91" s="84"/>
      <c r="T91" s="84"/>
      <c r="U91" s="84"/>
      <c r="V91" s="84"/>
      <c r="W91" s="84"/>
      <c r="X91" s="84"/>
      <c r="Y91" s="84"/>
      <c r="Z91" s="84"/>
    </row>
    <row r="92" ht="15.75" customHeight="1">
      <c r="A92" s="84"/>
      <c r="B92" s="84"/>
      <c r="C92" s="84"/>
      <c r="D92" s="84"/>
      <c r="E92" s="84"/>
      <c r="F92" s="84"/>
      <c r="G92" s="84"/>
      <c r="H92" s="84"/>
      <c r="I92" s="84"/>
      <c r="J92" s="84"/>
      <c r="K92" s="84"/>
      <c r="L92" s="84"/>
      <c r="M92" s="84"/>
      <c r="N92" s="84"/>
      <c r="O92" s="84"/>
      <c r="P92" s="84"/>
      <c r="Q92" s="84"/>
      <c r="R92" s="84"/>
      <c r="S92" s="84"/>
      <c r="T92" s="84"/>
      <c r="U92" s="84"/>
      <c r="V92" s="84"/>
      <c r="W92" s="84"/>
      <c r="X92" s="84"/>
      <c r="Y92" s="84"/>
      <c r="Z92" s="84"/>
    </row>
    <row r="93" ht="15.75" customHeight="1">
      <c r="A93" s="84"/>
      <c r="B93" s="84"/>
      <c r="C93" s="84"/>
      <c r="D93" s="84"/>
      <c r="E93" s="84"/>
      <c r="F93" s="84"/>
      <c r="G93" s="84"/>
      <c r="H93" s="84"/>
      <c r="I93" s="84"/>
      <c r="J93" s="84"/>
      <c r="K93" s="84"/>
      <c r="L93" s="84"/>
      <c r="M93" s="84"/>
      <c r="N93" s="84"/>
      <c r="O93" s="84"/>
      <c r="P93" s="84"/>
      <c r="Q93" s="84"/>
      <c r="R93" s="84"/>
      <c r="S93" s="84"/>
      <c r="T93" s="84"/>
      <c r="U93" s="84"/>
      <c r="V93" s="84"/>
      <c r="W93" s="84"/>
      <c r="X93" s="84"/>
      <c r="Y93" s="84"/>
      <c r="Z93" s="84"/>
    </row>
    <row r="94" ht="15.75" customHeight="1">
      <c r="A94" s="84"/>
      <c r="B94" s="84"/>
      <c r="C94" s="84"/>
      <c r="D94" s="84"/>
      <c r="E94" s="84"/>
      <c r="F94" s="84"/>
      <c r="G94" s="84"/>
      <c r="H94" s="84"/>
      <c r="I94" s="84"/>
      <c r="J94" s="84"/>
      <c r="K94" s="84"/>
      <c r="L94" s="84"/>
      <c r="M94" s="84"/>
      <c r="N94" s="84"/>
      <c r="O94" s="84"/>
      <c r="P94" s="84"/>
      <c r="Q94" s="84"/>
      <c r="R94" s="84"/>
      <c r="S94" s="84"/>
      <c r="T94" s="84"/>
      <c r="U94" s="84"/>
      <c r="V94" s="84"/>
      <c r="W94" s="84"/>
      <c r="X94" s="84"/>
      <c r="Y94" s="84"/>
      <c r="Z94" s="84"/>
    </row>
    <row r="95" ht="15.75" customHeight="1">
      <c r="A95" s="84"/>
      <c r="B95" s="84"/>
      <c r="C95" s="84"/>
      <c r="D95" s="84"/>
      <c r="E95" s="84"/>
      <c r="F95" s="84"/>
      <c r="G95" s="84"/>
      <c r="H95" s="84"/>
      <c r="I95" s="84"/>
      <c r="J95" s="84"/>
      <c r="K95" s="84"/>
      <c r="L95" s="84"/>
      <c r="M95" s="84"/>
      <c r="N95" s="84"/>
      <c r="O95" s="84"/>
      <c r="P95" s="84"/>
      <c r="Q95" s="84"/>
      <c r="R95" s="84"/>
      <c r="S95" s="84"/>
      <c r="T95" s="84"/>
      <c r="U95" s="84"/>
      <c r="V95" s="84"/>
      <c r="W95" s="84"/>
      <c r="X95" s="84"/>
      <c r="Y95" s="84"/>
      <c r="Z95" s="84"/>
    </row>
    <row r="96" ht="15.75" customHeight="1">
      <c r="A96" s="84"/>
      <c r="B96" s="84"/>
      <c r="C96" s="84"/>
      <c r="D96" s="84"/>
      <c r="E96" s="84"/>
      <c r="F96" s="84"/>
      <c r="G96" s="84"/>
      <c r="H96" s="84"/>
      <c r="I96" s="84"/>
      <c r="J96" s="84"/>
      <c r="K96" s="84"/>
      <c r="L96" s="84"/>
      <c r="M96" s="84"/>
      <c r="N96" s="84"/>
      <c r="O96" s="84"/>
      <c r="P96" s="84"/>
      <c r="Q96" s="84"/>
      <c r="R96" s="84"/>
      <c r="S96" s="84"/>
      <c r="T96" s="84"/>
      <c r="U96" s="84"/>
      <c r="V96" s="84"/>
      <c r="W96" s="84"/>
      <c r="X96" s="84"/>
      <c r="Y96" s="84"/>
      <c r="Z96" s="84"/>
    </row>
    <row r="97" ht="15.75" customHeight="1">
      <c r="A97" s="84"/>
      <c r="B97" s="84"/>
      <c r="C97" s="84"/>
      <c r="D97" s="84"/>
      <c r="E97" s="84"/>
      <c r="F97" s="84"/>
      <c r="G97" s="84"/>
      <c r="H97" s="84"/>
      <c r="I97" s="84"/>
      <c r="J97" s="84"/>
      <c r="K97" s="84"/>
      <c r="L97" s="84"/>
      <c r="M97" s="84"/>
      <c r="N97" s="84"/>
      <c r="O97" s="84"/>
      <c r="P97" s="84"/>
      <c r="Q97" s="84"/>
      <c r="R97" s="84"/>
      <c r="S97" s="84"/>
      <c r="T97" s="84"/>
      <c r="U97" s="84"/>
      <c r="V97" s="84"/>
      <c r="W97" s="84"/>
      <c r="X97" s="84"/>
      <c r="Y97" s="84"/>
      <c r="Z97" s="84"/>
    </row>
    <row r="98" ht="15.75" customHeight="1">
      <c r="A98" s="84"/>
      <c r="B98" s="84"/>
      <c r="C98" s="84"/>
      <c r="D98" s="84"/>
      <c r="E98" s="84"/>
      <c r="F98" s="84"/>
      <c r="G98" s="84"/>
      <c r="H98" s="84"/>
      <c r="I98" s="84"/>
      <c r="J98" s="84"/>
      <c r="K98" s="84"/>
      <c r="L98" s="84"/>
      <c r="M98" s="84"/>
      <c r="N98" s="84"/>
      <c r="O98" s="84"/>
      <c r="P98" s="84"/>
      <c r="Q98" s="84"/>
      <c r="R98" s="84"/>
      <c r="S98" s="84"/>
      <c r="T98" s="84"/>
      <c r="U98" s="84"/>
      <c r="V98" s="84"/>
      <c r="W98" s="84"/>
      <c r="X98" s="84"/>
      <c r="Y98" s="84"/>
      <c r="Z98" s="84"/>
    </row>
    <row r="99" ht="15.75" customHeight="1">
      <c r="A99" s="84"/>
      <c r="B99" s="84"/>
      <c r="C99" s="84"/>
      <c r="D99" s="84"/>
      <c r="E99" s="84"/>
      <c r="F99" s="84"/>
      <c r="G99" s="84"/>
      <c r="H99" s="84"/>
      <c r="I99" s="84"/>
      <c r="J99" s="84"/>
      <c r="K99" s="84"/>
      <c r="L99" s="84"/>
      <c r="M99" s="84"/>
      <c r="N99" s="84"/>
      <c r="O99" s="84"/>
      <c r="P99" s="84"/>
      <c r="Q99" s="84"/>
      <c r="R99" s="84"/>
      <c r="S99" s="84"/>
      <c r="T99" s="84"/>
      <c r="U99" s="84"/>
      <c r="V99" s="84"/>
      <c r="W99" s="84"/>
      <c r="X99" s="84"/>
      <c r="Y99" s="84"/>
      <c r="Z99" s="84"/>
    </row>
    <row r="100" ht="15.75" customHeight="1">
      <c r="A100" s="84"/>
      <c r="B100" s="84"/>
      <c r="C100" s="84"/>
      <c r="D100" s="84"/>
      <c r="E100" s="84"/>
      <c r="F100" s="84"/>
      <c r="G100" s="84"/>
      <c r="H100" s="84"/>
      <c r="I100" s="84"/>
      <c r="J100" s="84"/>
      <c r="K100" s="84"/>
      <c r="L100" s="84"/>
      <c r="M100" s="84"/>
      <c r="N100" s="84"/>
      <c r="O100" s="84"/>
      <c r="P100" s="84"/>
      <c r="Q100" s="84"/>
      <c r="R100" s="84"/>
      <c r="S100" s="84"/>
      <c r="T100" s="84"/>
      <c r="U100" s="84"/>
      <c r="V100" s="84"/>
      <c r="W100" s="84"/>
      <c r="X100" s="84"/>
      <c r="Y100" s="84"/>
      <c r="Z100" s="84"/>
    </row>
    <row r="101" ht="15.75" customHeight="1">
      <c r="A101" s="84"/>
      <c r="B101" s="84"/>
      <c r="C101" s="84"/>
      <c r="D101" s="84"/>
      <c r="E101" s="84"/>
      <c r="F101" s="84"/>
      <c r="G101" s="84"/>
      <c r="H101" s="84"/>
      <c r="I101" s="84"/>
      <c r="J101" s="84"/>
      <c r="K101" s="84"/>
      <c r="L101" s="84"/>
      <c r="M101" s="84"/>
      <c r="N101" s="84"/>
      <c r="O101" s="84"/>
      <c r="P101" s="84"/>
      <c r="Q101" s="84"/>
      <c r="R101" s="84"/>
      <c r="S101" s="84"/>
      <c r="T101" s="84"/>
      <c r="U101" s="84"/>
      <c r="V101" s="84"/>
      <c r="W101" s="84"/>
      <c r="X101" s="84"/>
      <c r="Y101" s="84"/>
      <c r="Z101" s="84"/>
    </row>
    <row r="102" ht="15.75" customHeight="1">
      <c r="A102" s="84"/>
      <c r="B102" s="84"/>
      <c r="C102" s="84"/>
      <c r="D102" s="84"/>
      <c r="E102" s="84"/>
      <c r="F102" s="84"/>
      <c r="G102" s="84"/>
      <c r="H102" s="84"/>
      <c r="I102" s="84"/>
      <c r="J102" s="84"/>
      <c r="K102" s="84"/>
      <c r="L102" s="84"/>
      <c r="M102" s="84"/>
      <c r="N102" s="84"/>
      <c r="O102" s="84"/>
      <c r="P102" s="84"/>
      <c r="Q102" s="84"/>
      <c r="R102" s="84"/>
      <c r="S102" s="84"/>
      <c r="T102" s="84"/>
      <c r="U102" s="84"/>
      <c r="V102" s="84"/>
      <c r="W102" s="84"/>
      <c r="X102" s="84"/>
      <c r="Y102" s="84"/>
      <c r="Z102" s="84"/>
    </row>
    <row r="103" ht="15.75" customHeight="1">
      <c r="A103" s="84"/>
      <c r="B103" s="84"/>
      <c r="C103" s="84"/>
      <c r="D103" s="84"/>
      <c r="E103" s="84"/>
      <c r="F103" s="84"/>
      <c r="G103" s="84"/>
      <c r="H103" s="84"/>
      <c r="I103" s="84"/>
      <c r="J103" s="84"/>
      <c r="K103" s="84"/>
      <c r="L103" s="84"/>
      <c r="M103" s="84"/>
      <c r="N103" s="84"/>
      <c r="O103" s="84"/>
      <c r="P103" s="84"/>
      <c r="Q103" s="84"/>
      <c r="R103" s="84"/>
      <c r="S103" s="84"/>
      <c r="T103" s="84"/>
      <c r="U103" s="84"/>
      <c r="V103" s="84"/>
      <c r="W103" s="84"/>
      <c r="X103" s="84"/>
      <c r="Y103" s="84"/>
      <c r="Z103" s="84"/>
    </row>
    <row r="104" ht="15.75" customHeight="1">
      <c r="A104" s="84"/>
      <c r="B104" s="84"/>
      <c r="C104" s="84"/>
      <c r="D104" s="84"/>
      <c r="E104" s="84"/>
      <c r="F104" s="84"/>
      <c r="G104" s="84"/>
      <c r="H104" s="84"/>
      <c r="I104" s="84"/>
      <c r="J104" s="84"/>
      <c r="K104" s="84"/>
      <c r="L104" s="84"/>
      <c r="M104" s="84"/>
      <c r="N104" s="84"/>
      <c r="O104" s="84"/>
      <c r="P104" s="84"/>
      <c r="Q104" s="84"/>
      <c r="R104" s="84"/>
      <c r="S104" s="84"/>
      <c r="T104" s="84"/>
      <c r="U104" s="84"/>
      <c r="V104" s="84"/>
      <c r="W104" s="84"/>
      <c r="X104" s="84"/>
      <c r="Y104" s="84"/>
      <c r="Z104" s="84"/>
    </row>
    <row r="105" ht="15.75" customHeight="1">
      <c r="A105" s="84"/>
      <c r="B105" s="84"/>
      <c r="C105" s="84"/>
      <c r="D105" s="84"/>
      <c r="E105" s="84"/>
      <c r="F105" s="84"/>
      <c r="G105" s="84"/>
      <c r="H105" s="84"/>
      <c r="I105" s="84"/>
      <c r="J105" s="84"/>
      <c r="K105" s="84"/>
      <c r="L105" s="84"/>
      <c r="M105" s="84"/>
      <c r="N105" s="84"/>
      <c r="O105" s="84"/>
      <c r="P105" s="84"/>
      <c r="Q105" s="84"/>
      <c r="R105" s="84"/>
      <c r="S105" s="84"/>
      <c r="T105" s="84"/>
      <c r="U105" s="84"/>
      <c r="V105" s="84"/>
      <c r="W105" s="84"/>
      <c r="X105" s="84"/>
      <c r="Y105" s="84"/>
      <c r="Z105" s="84"/>
    </row>
    <row r="106" ht="15.75" customHeight="1">
      <c r="A106" s="84"/>
      <c r="B106" s="84"/>
      <c r="C106" s="84"/>
      <c r="D106" s="84"/>
      <c r="E106" s="84"/>
      <c r="F106" s="84"/>
      <c r="G106" s="84"/>
      <c r="H106" s="84"/>
      <c r="I106" s="84"/>
      <c r="J106" s="84"/>
      <c r="K106" s="84"/>
      <c r="L106" s="84"/>
      <c r="M106" s="84"/>
      <c r="N106" s="84"/>
      <c r="O106" s="84"/>
      <c r="P106" s="84"/>
      <c r="Q106" s="84"/>
      <c r="R106" s="84"/>
      <c r="S106" s="84"/>
      <c r="T106" s="84"/>
      <c r="U106" s="84"/>
      <c r="V106" s="84"/>
      <c r="W106" s="84"/>
      <c r="X106" s="84"/>
      <c r="Y106" s="84"/>
      <c r="Z106" s="84"/>
    </row>
    <row r="107" ht="15.75" customHeight="1">
      <c r="A107" s="84"/>
      <c r="B107" s="84"/>
      <c r="C107" s="84"/>
      <c r="D107" s="84"/>
      <c r="E107" s="84"/>
      <c r="F107" s="84"/>
      <c r="G107" s="84"/>
      <c r="H107" s="84"/>
      <c r="I107" s="84"/>
      <c r="J107" s="84"/>
      <c r="K107" s="84"/>
      <c r="L107" s="84"/>
      <c r="M107" s="84"/>
      <c r="N107" s="84"/>
      <c r="O107" s="84"/>
      <c r="P107" s="84"/>
      <c r="Q107" s="84"/>
      <c r="R107" s="84"/>
      <c r="S107" s="84"/>
      <c r="T107" s="84"/>
      <c r="U107" s="84"/>
      <c r="V107" s="84"/>
      <c r="W107" s="84"/>
      <c r="X107" s="84"/>
      <c r="Y107" s="84"/>
      <c r="Z107" s="84"/>
    </row>
    <row r="108" ht="15.75" customHeight="1">
      <c r="A108" s="84"/>
      <c r="B108" s="84"/>
      <c r="C108" s="84"/>
      <c r="D108" s="84"/>
      <c r="E108" s="84"/>
      <c r="F108" s="84"/>
      <c r="G108" s="84"/>
      <c r="H108" s="84"/>
      <c r="I108" s="84"/>
      <c r="J108" s="84"/>
      <c r="K108" s="84"/>
      <c r="L108" s="84"/>
      <c r="M108" s="84"/>
      <c r="N108" s="84"/>
      <c r="O108" s="84"/>
      <c r="P108" s="84"/>
      <c r="Q108" s="84"/>
      <c r="R108" s="84"/>
      <c r="S108" s="84"/>
      <c r="T108" s="84"/>
      <c r="U108" s="84"/>
      <c r="V108" s="84"/>
      <c r="W108" s="84"/>
      <c r="X108" s="84"/>
      <c r="Y108" s="84"/>
      <c r="Z108" s="84"/>
    </row>
    <row r="109" ht="15.75" customHeight="1">
      <c r="A109" s="84"/>
      <c r="B109" s="84"/>
      <c r="C109" s="84"/>
      <c r="D109" s="84"/>
      <c r="E109" s="84"/>
      <c r="F109" s="84"/>
      <c r="G109" s="84"/>
      <c r="H109" s="84"/>
      <c r="I109" s="84"/>
      <c r="J109" s="84"/>
      <c r="K109" s="84"/>
      <c r="L109" s="84"/>
      <c r="M109" s="84"/>
      <c r="N109" s="84"/>
      <c r="O109" s="84"/>
      <c r="P109" s="84"/>
      <c r="Q109" s="84"/>
      <c r="R109" s="84"/>
      <c r="S109" s="84"/>
      <c r="T109" s="84"/>
      <c r="U109" s="84"/>
      <c r="V109" s="84"/>
      <c r="W109" s="84"/>
      <c r="X109" s="84"/>
      <c r="Y109" s="84"/>
      <c r="Z109" s="84"/>
    </row>
    <row r="110" ht="15.75" customHeight="1">
      <c r="A110" s="84"/>
      <c r="B110" s="84"/>
      <c r="C110" s="84"/>
      <c r="D110" s="84"/>
      <c r="E110" s="84"/>
      <c r="F110" s="84"/>
      <c r="G110" s="84"/>
      <c r="H110" s="84"/>
      <c r="I110" s="84"/>
      <c r="J110" s="84"/>
      <c r="K110" s="84"/>
      <c r="L110" s="84"/>
      <c r="M110" s="84"/>
      <c r="N110" s="84"/>
      <c r="O110" s="84"/>
      <c r="P110" s="84"/>
      <c r="Q110" s="84"/>
      <c r="R110" s="84"/>
      <c r="S110" s="84"/>
      <c r="T110" s="84"/>
      <c r="U110" s="84"/>
      <c r="V110" s="84"/>
      <c r="W110" s="84"/>
      <c r="X110" s="84"/>
      <c r="Y110" s="84"/>
      <c r="Z110" s="84"/>
    </row>
    <row r="111" ht="15.75" customHeight="1">
      <c r="A111" s="84"/>
      <c r="B111" s="84"/>
      <c r="C111" s="84"/>
      <c r="D111" s="84"/>
      <c r="E111" s="84"/>
      <c r="F111" s="84"/>
      <c r="G111" s="84"/>
      <c r="H111" s="84"/>
      <c r="I111" s="84"/>
      <c r="J111" s="84"/>
      <c r="K111" s="84"/>
      <c r="L111" s="84"/>
      <c r="M111" s="84"/>
      <c r="N111" s="84"/>
      <c r="O111" s="84"/>
      <c r="P111" s="84"/>
      <c r="Q111" s="84"/>
      <c r="R111" s="84"/>
      <c r="S111" s="84"/>
      <c r="T111" s="84"/>
      <c r="U111" s="84"/>
      <c r="V111" s="84"/>
      <c r="W111" s="84"/>
      <c r="X111" s="84"/>
      <c r="Y111" s="84"/>
      <c r="Z111" s="84"/>
    </row>
    <row r="112" ht="15.75" customHeight="1">
      <c r="A112" s="84"/>
      <c r="B112" s="84"/>
      <c r="C112" s="84"/>
      <c r="D112" s="84"/>
      <c r="E112" s="84"/>
      <c r="F112" s="84"/>
      <c r="G112" s="84"/>
      <c r="H112" s="84"/>
      <c r="I112" s="84"/>
      <c r="J112" s="84"/>
      <c r="K112" s="84"/>
      <c r="L112" s="84"/>
      <c r="M112" s="84"/>
      <c r="N112" s="84"/>
      <c r="O112" s="84"/>
      <c r="P112" s="84"/>
      <c r="Q112" s="84"/>
      <c r="R112" s="84"/>
      <c r="S112" s="84"/>
      <c r="T112" s="84"/>
      <c r="U112" s="84"/>
      <c r="V112" s="84"/>
      <c r="W112" s="84"/>
      <c r="X112" s="84"/>
      <c r="Y112" s="84"/>
      <c r="Z112" s="84"/>
    </row>
    <row r="113" ht="15.75" customHeight="1">
      <c r="A113" s="84"/>
      <c r="B113" s="84"/>
      <c r="C113" s="84"/>
      <c r="D113" s="84"/>
      <c r="E113" s="84"/>
      <c r="F113" s="84"/>
      <c r="G113" s="84"/>
      <c r="H113" s="84"/>
      <c r="I113" s="84"/>
      <c r="J113" s="84"/>
      <c r="K113" s="84"/>
      <c r="L113" s="84"/>
      <c r="M113" s="84"/>
      <c r="N113" s="84"/>
      <c r="O113" s="84"/>
      <c r="P113" s="84"/>
      <c r="Q113" s="84"/>
      <c r="R113" s="84"/>
      <c r="S113" s="84"/>
      <c r="T113" s="84"/>
      <c r="U113" s="84"/>
      <c r="V113" s="84"/>
      <c r="W113" s="84"/>
      <c r="X113" s="84"/>
      <c r="Y113" s="84"/>
      <c r="Z113" s="84"/>
    </row>
    <row r="114" ht="15.75" customHeight="1">
      <c r="A114" s="84"/>
      <c r="B114" s="84"/>
      <c r="C114" s="84"/>
      <c r="D114" s="84"/>
      <c r="E114" s="84"/>
      <c r="F114" s="84"/>
      <c r="G114" s="84"/>
      <c r="H114" s="84"/>
      <c r="I114" s="84"/>
      <c r="J114" s="84"/>
      <c r="K114" s="84"/>
      <c r="L114" s="84"/>
      <c r="M114" s="84"/>
      <c r="N114" s="84"/>
      <c r="O114" s="84"/>
      <c r="P114" s="84"/>
      <c r="Q114" s="84"/>
      <c r="R114" s="84"/>
      <c r="S114" s="84"/>
      <c r="T114" s="84"/>
      <c r="U114" s="84"/>
      <c r="V114" s="84"/>
      <c r="W114" s="84"/>
      <c r="X114" s="84"/>
      <c r="Y114" s="84"/>
      <c r="Z114" s="84"/>
    </row>
    <row r="115" ht="15.75" customHeight="1">
      <c r="A115" s="84"/>
      <c r="B115" s="84"/>
      <c r="C115" s="84"/>
      <c r="D115" s="84"/>
      <c r="E115" s="84"/>
      <c r="F115" s="84"/>
      <c r="G115" s="84"/>
      <c r="H115" s="84"/>
      <c r="I115" s="84"/>
      <c r="J115" s="84"/>
      <c r="K115" s="84"/>
      <c r="L115" s="84"/>
      <c r="M115" s="84"/>
      <c r="N115" s="84"/>
      <c r="O115" s="84"/>
      <c r="P115" s="84"/>
      <c r="Q115" s="84"/>
      <c r="R115" s="84"/>
      <c r="S115" s="84"/>
      <c r="T115" s="84"/>
      <c r="U115" s="84"/>
      <c r="V115" s="84"/>
      <c r="W115" s="84"/>
      <c r="X115" s="84"/>
      <c r="Y115" s="84"/>
      <c r="Z115" s="84"/>
    </row>
    <row r="116" ht="15.75" customHeight="1">
      <c r="A116" s="84"/>
      <c r="B116" s="84"/>
      <c r="C116" s="84"/>
      <c r="D116" s="84"/>
      <c r="E116" s="84"/>
      <c r="F116" s="84"/>
      <c r="G116" s="84"/>
      <c r="H116" s="84"/>
      <c r="I116" s="84"/>
      <c r="J116" s="84"/>
      <c r="K116" s="84"/>
      <c r="L116" s="84"/>
      <c r="M116" s="84"/>
      <c r="N116" s="84"/>
      <c r="O116" s="84"/>
      <c r="P116" s="84"/>
      <c r="Q116" s="84"/>
      <c r="R116" s="84"/>
      <c r="S116" s="84"/>
      <c r="T116" s="84"/>
      <c r="U116" s="84"/>
      <c r="V116" s="84"/>
      <c r="W116" s="84"/>
      <c r="X116" s="84"/>
      <c r="Y116" s="84"/>
      <c r="Z116" s="84"/>
    </row>
    <row r="117" ht="15.75" customHeight="1">
      <c r="A117" s="84"/>
      <c r="B117" s="84"/>
      <c r="C117" s="84"/>
      <c r="D117" s="84"/>
      <c r="E117" s="84"/>
      <c r="F117" s="84"/>
      <c r="G117" s="84"/>
      <c r="H117" s="84"/>
      <c r="I117" s="84"/>
      <c r="J117" s="84"/>
      <c r="K117" s="84"/>
      <c r="L117" s="84"/>
      <c r="M117" s="84"/>
      <c r="N117" s="84"/>
      <c r="O117" s="84"/>
      <c r="P117" s="84"/>
      <c r="Q117" s="84"/>
      <c r="R117" s="84"/>
      <c r="S117" s="84"/>
      <c r="T117" s="84"/>
      <c r="U117" s="84"/>
      <c r="V117" s="84"/>
      <c r="W117" s="84"/>
      <c r="X117" s="84"/>
      <c r="Y117" s="84"/>
      <c r="Z117" s="84"/>
    </row>
    <row r="118" ht="15.75" customHeight="1">
      <c r="A118" s="84"/>
      <c r="B118" s="84"/>
      <c r="C118" s="84"/>
      <c r="D118" s="84"/>
      <c r="E118" s="84"/>
      <c r="F118" s="84"/>
      <c r="G118" s="84"/>
      <c r="H118" s="84"/>
      <c r="I118" s="84"/>
      <c r="J118" s="84"/>
      <c r="K118" s="84"/>
      <c r="L118" s="84"/>
      <c r="M118" s="84"/>
      <c r="N118" s="84"/>
      <c r="O118" s="84"/>
      <c r="P118" s="84"/>
      <c r="Q118" s="84"/>
      <c r="R118" s="84"/>
      <c r="S118" s="84"/>
      <c r="T118" s="84"/>
      <c r="U118" s="84"/>
      <c r="V118" s="84"/>
      <c r="W118" s="84"/>
      <c r="X118" s="84"/>
      <c r="Y118" s="84"/>
      <c r="Z118" s="84"/>
    </row>
    <row r="119" ht="15.75" customHeight="1">
      <c r="A119" s="84"/>
      <c r="B119" s="84"/>
      <c r="C119" s="84"/>
      <c r="D119" s="84"/>
      <c r="E119" s="84"/>
      <c r="F119" s="84"/>
      <c r="G119" s="84"/>
      <c r="H119" s="84"/>
      <c r="I119" s="84"/>
      <c r="J119" s="84"/>
      <c r="K119" s="84"/>
      <c r="L119" s="84"/>
      <c r="M119" s="84"/>
      <c r="N119" s="84"/>
      <c r="O119" s="84"/>
      <c r="P119" s="84"/>
      <c r="Q119" s="84"/>
      <c r="R119" s="84"/>
      <c r="S119" s="84"/>
      <c r="T119" s="84"/>
      <c r="U119" s="84"/>
      <c r="V119" s="84"/>
      <c r="W119" s="84"/>
      <c r="X119" s="84"/>
      <c r="Y119" s="84"/>
      <c r="Z119" s="84"/>
    </row>
    <row r="120" ht="15.75" customHeight="1">
      <c r="A120" s="84"/>
      <c r="B120" s="84"/>
      <c r="C120" s="84"/>
      <c r="D120" s="84"/>
      <c r="E120" s="84"/>
      <c r="F120" s="84"/>
      <c r="G120" s="84"/>
      <c r="H120" s="84"/>
      <c r="I120" s="84"/>
      <c r="J120" s="84"/>
      <c r="K120" s="84"/>
      <c r="L120" s="84"/>
      <c r="M120" s="84"/>
      <c r="N120" s="84"/>
      <c r="O120" s="84"/>
      <c r="P120" s="84"/>
      <c r="Q120" s="84"/>
      <c r="R120" s="84"/>
      <c r="S120" s="84"/>
      <c r="T120" s="84"/>
      <c r="U120" s="84"/>
      <c r="V120" s="84"/>
      <c r="W120" s="84"/>
      <c r="X120" s="84"/>
      <c r="Y120" s="84"/>
      <c r="Z120" s="84"/>
    </row>
    <row r="121" ht="15.75" customHeight="1">
      <c r="A121" s="84"/>
      <c r="B121" s="84"/>
      <c r="C121" s="84"/>
      <c r="D121" s="84"/>
      <c r="E121" s="84"/>
      <c r="F121" s="84"/>
      <c r="G121" s="84"/>
      <c r="H121" s="84"/>
      <c r="I121" s="84"/>
      <c r="J121" s="84"/>
      <c r="K121" s="84"/>
      <c r="L121" s="84"/>
      <c r="M121" s="84"/>
      <c r="N121" s="84"/>
      <c r="O121" s="84"/>
      <c r="P121" s="84"/>
      <c r="Q121" s="84"/>
      <c r="R121" s="84"/>
      <c r="S121" s="84"/>
      <c r="T121" s="84"/>
      <c r="U121" s="84"/>
      <c r="V121" s="84"/>
      <c r="W121" s="84"/>
      <c r="X121" s="84"/>
      <c r="Y121" s="84"/>
      <c r="Z121" s="84"/>
    </row>
    <row r="122" ht="15.75" customHeight="1">
      <c r="A122" s="84"/>
      <c r="B122" s="84"/>
      <c r="C122" s="84"/>
      <c r="D122" s="84"/>
      <c r="E122" s="84"/>
      <c r="F122" s="84"/>
      <c r="G122" s="84"/>
      <c r="H122" s="84"/>
      <c r="I122" s="84"/>
      <c r="J122" s="84"/>
      <c r="K122" s="84"/>
      <c r="L122" s="84"/>
      <c r="M122" s="84"/>
      <c r="N122" s="84"/>
      <c r="O122" s="84"/>
      <c r="P122" s="84"/>
      <c r="Q122" s="84"/>
      <c r="R122" s="84"/>
      <c r="S122" s="84"/>
      <c r="T122" s="84"/>
      <c r="U122" s="84"/>
      <c r="V122" s="84"/>
      <c r="W122" s="84"/>
      <c r="X122" s="84"/>
      <c r="Y122" s="84"/>
      <c r="Z122" s="84"/>
    </row>
    <row r="123" ht="15.75" customHeight="1">
      <c r="A123" s="84"/>
      <c r="B123" s="84"/>
      <c r="C123" s="84"/>
      <c r="D123" s="84"/>
      <c r="E123" s="84"/>
      <c r="F123" s="84"/>
      <c r="G123" s="84"/>
      <c r="H123" s="84"/>
      <c r="I123" s="84"/>
      <c r="J123" s="84"/>
      <c r="K123" s="84"/>
      <c r="L123" s="84"/>
      <c r="M123" s="84"/>
      <c r="N123" s="84"/>
      <c r="O123" s="84"/>
      <c r="P123" s="84"/>
      <c r="Q123" s="84"/>
      <c r="R123" s="84"/>
      <c r="S123" s="84"/>
      <c r="T123" s="84"/>
      <c r="U123" s="84"/>
      <c r="V123" s="84"/>
      <c r="W123" s="84"/>
      <c r="X123" s="84"/>
      <c r="Y123" s="84"/>
      <c r="Z123" s="84"/>
    </row>
    <row r="124" ht="15.75" customHeight="1">
      <c r="A124" s="84"/>
      <c r="B124" s="84"/>
      <c r="C124" s="84"/>
      <c r="D124" s="84"/>
      <c r="E124" s="84"/>
      <c r="F124" s="84"/>
      <c r="G124" s="84"/>
      <c r="H124" s="84"/>
      <c r="I124" s="84"/>
      <c r="J124" s="84"/>
      <c r="K124" s="84"/>
      <c r="L124" s="84"/>
      <c r="M124" s="84"/>
      <c r="N124" s="84"/>
      <c r="O124" s="84"/>
      <c r="P124" s="84"/>
      <c r="Q124" s="84"/>
      <c r="R124" s="84"/>
      <c r="S124" s="84"/>
      <c r="T124" s="84"/>
      <c r="U124" s="84"/>
      <c r="V124" s="84"/>
      <c r="W124" s="84"/>
      <c r="X124" s="84"/>
      <c r="Y124" s="84"/>
      <c r="Z124" s="84"/>
    </row>
    <row r="125" ht="15.75" customHeight="1">
      <c r="A125" s="84"/>
      <c r="B125" s="84"/>
      <c r="C125" s="84"/>
      <c r="D125" s="84"/>
      <c r="E125" s="84"/>
      <c r="F125" s="84"/>
      <c r="G125" s="84"/>
      <c r="H125" s="84"/>
      <c r="I125" s="84"/>
      <c r="J125" s="84"/>
      <c r="K125" s="84"/>
      <c r="L125" s="84"/>
      <c r="M125" s="84"/>
      <c r="N125" s="84"/>
      <c r="O125" s="84"/>
      <c r="P125" s="84"/>
      <c r="Q125" s="84"/>
      <c r="R125" s="84"/>
      <c r="S125" s="84"/>
      <c r="T125" s="84"/>
      <c r="U125" s="84"/>
      <c r="V125" s="84"/>
      <c r="W125" s="84"/>
      <c r="X125" s="84"/>
      <c r="Y125" s="84"/>
      <c r="Z125" s="84"/>
    </row>
    <row r="126" ht="15.75" customHeight="1">
      <c r="A126" s="84"/>
      <c r="B126" s="84"/>
      <c r="C126" s="84"/>
      <c r="D126" s="84"/>
      <c r="E126" s="84"/>
      <c r="F126" s="84"/>
      <c r="G126" s="84"/>
      <c r="H126" s="84"/>
      <c r="I126" s="84"/>
      <c r="J126" s="84"/>
      <c r="K126" s="84"/>
      <c r="L126" s="84"/>
      <c r="M126" s="84"/>
      <c r="N126" s="84"/>
      <c r="O126" s="84"/>
      <c r="P126" s="84"/>
      <c r="Q126" s="84"/>
      <c r="R126" s="84"/>
      <c r="S126" s="84"/>
      <c r="T126" s="84"/>
      <c r="U126" s="84"/>
      <c r="V126" s="84"/>
      <c r="W126" s="84"/>
      <c r="X126" s="84"/>
      <c r="Y126" s="84"/>
      <c r="Z126" s="84"/>
    </row>
    <row r="127" ht="15.75" customHeight="1">
      <c r="A127" s="84"/>
      <c r="B127" s="84"/>
      <c r="C127" s="84"/>
      <c r="D127" s="84"/>
      <c r="E127" s="84"/>
      <c r="F127" s="84"/>
      <c r="G127" s="84"/>
      <c r="H127" s="84"/>
      <c r="I127" s="84"/>
      <c r="J127" s="84"/>
      <c r="K127" s="84"/>
      <c r="L127" s="84"/>
      <c r="M127" s="84"/>
      <c r="N127" s="84"/>
      <c r="O127" s="84"/>
      <c r="P127" s="84"/>
      <c r="Q127" s="84"/>
      <c r="R127" s="84"/>
      <c r="S127" s="84"/>
      <c r="T127" s="84"/>
      <c r="U127" s="84"/>
      <c r="V127" s="84"/>
      <c r="W127" s="84"/>
      <c r="X127" s="84"/>
      <c r="Y127" s="84"/>
      <c r="Z127" s="84"/>
    </row>
    <row r="128" ht="15.75" customHeight="1">
      <c r="A128" s="84"/>
      <c r="B128" s="84"/>
      <c r="C128" s="84"/>
      <c r="D128" s="84"/>
      <c r="E128" s="84"/>
      <c r="F128" s="84"/>
      <c r="G128" s="84"/>
      <c r="H128" s="84"/>
      <c r="I128" s="84"/>
      <c r="J128" s="84"/>
      <c r="K128" s="84"/>
      <c r="L128" s="84"/>
      <c r="M128" s="84"/>
      <c r="N128" s="84"/>
      <c r="O128" s="84"/>
      <c r="P128" s="84"/>
      <c r="Q128" s="84"/>
      <c r="R128" s="84"/>
      <c r="S128" s="84"/>
      <c r="T128" s="84"/>
      <c r="U128" s="84"/>
      <c r="V128" s="84"/>
      <c r="W128" s="84"/>
      <c r="X128" s="84"/>
      <c r="Y128" s="84"/>
      <c r="Z128" s="84"/>
    </row>
    <row r="129" ht="15.75" customHeight="1">
      <c r="A129" s="84"/>
      <c r="B129" s="84"/>
      <c r="C129" s="84"/>
      <c r="D129" s="84"/>
      <c r="E129" s="84"/>
      <c r="F129" s="84"/>
      <c r="G129" s="84"/>
      <c r="H129" s="84"/>
      <c r="I129" s="84"/>
      <c r="J129" s="84"/>
      <c r="K129" s="84"/>
      <c r="L129" s="84"/>
      <c r="M129" s="84"/>
      <c r="N129" s="84"/>
      <c r="O129" s="84"/>
      <c r="P129" s="84"/>
      <c r="Q129" s="84"/>
      <c r="R129" s="84"/>
      <c r="S129" s="84"/>
      <c r="T129" s="84"/>
      <c r="U129" s="84"/>
      <c r="V129" s="84"/>
      <c r="W129" s="84"/>
      <c r="X129" s="84"/>
      <c r="Y129" s="84"/>
      <c r="Z129" s="84"/>
    </row>
    <row r="130" ht="15.75" customHeight="1">
      <c r="A130" s="84"/>
      <c r="B130" s="84"/>
      <c r="C130" s="84"/>
      <c r="D130" s="84"/>
      <c r="E130" s="84"/>
      <c r="F130" s="84"/>
      <c r="G130" s="84"/>
      <c r="H130" s="84"/>
      <c r="I130" s="84"/>
      <c r="J130" s="84"/>
      <c r="K130" s="84"/>
      <c r="L130" s="84"/>
      <c r="M130" s="84"/>
      <c r="N130" s="84"/>
      <c r="O130" s="84"/>
      <c r="P130" s="84"/>
      <c r="Q130" s="84"/>
      <c r="R130" s="84"/>
      <c r="S130" s="84"/>
      <c r="T130" s="84"/>
      <c r="U130" s="84"/>
      <c r="V130" s="84"/>
      <c r="W130" s="84"/>
      <c r="X130" s="84"/>
      <c r="Y130" s="84"/>
      <c r="Z130" s="84"/>
    </row>
    <row r="131" ht="15.75" customHeight="1">
      <c r="A131" s="84"/>
      <c r="B131" s="84"/>
      <c r="C131" s="84"/>
      <c r="D131" s="84"/>
      <c r="E131" s="84"/>
      <c r="F131" s="84"/>
      <c r="G131" s="84"/>
      <c r="H131" s="84"/>
      <c r="I131" s="84"/>
      <c r="J131" s="84"/>
      <c r="K131" s="84"/>
      <c r="L131" s="84"/>
      <c r="M131" s="84"/>
      <c r="N131" s="84"/>
      <c r="O131" s="84"/>
      <c r="P131" s="84"/>
      <c r="Q131" s="84"/>
      <c r="R131" s="84"/>
      <c r="S131" s="84"/>
      <c r="T131" s="84"/>
      <c r="U131" s="84"/>
      <c r="V131" s="84"/>
      <c r="W131" s="84"/>
      <c r="X131" s="84"/>
      <c r="Y131" s="84"/>
      <c r="Z131" s="84"/>
    </row>
    <row r="132" ht="15.75" customHeight="1">
      <c r="A132" s="84"/>
      <c r="B132" s="84"/>
      <c r="C132" s="84"/>
      <c r="D132" s="84"/>
      <c r="E132" s="84"/>
      <c r="F132" s="84"/>
      <c r="G132" s="84"/>
      <c r="H132" s="84"/>
      <c r="I132" s="84"/>
      <c r="J132" s="84"/>
      <c r="K132" s="84"/>
      <c r="L132" s="84"/>
      <c r="M132" s="84"/>
      <c r="N132" s="84"/>
      <c r="O132" s="84"/>
      <c r="P132" s="84"/>
      <c r="Q132" s="84"/>
      <c r="R132" s="84"/>
      <c r="S132" s="84"/>
      <c r="T132" s="84"/>
      <c r="U132" s="84"/>
      <c r="V132" s="84"/>
      <c r="W132" s="84"/>
      <c r="X132" s="84"/>
      <c r="Y132" s="84"/>
      <c r="Z132" s="84"/>
    </row>
    <row r="133" ht="15.75" customHeight="1">
      <c r="A133" s="84"/>
      <c r="B133" s="84"/>
      <c r="C133" s="84"/>
      <c r="D133" s="84"/>
      <c r="E133" s="84"/>
      <c r="F133" s="84"/>
      <c r="G133" s="84"/>
      <c r="H133" s="84"/>
      <c r="I133" s="84"/>
      <c r="J133" s="84"/>
      <c r="K133" s="84"/>
      <c r="L133" s="84"/>
      <c r="M133" s="84"/>
      <c r="N133" s="84"/>
      <c r="O133" s="84"/>
      <c r="P133" s="84"/>
      <c r="Q133" s="84"/>
      <c r="R133" s="84"/>
      <c r="S133" s="84"/>
      <c r="T133" s="84"/>
      <c r="U133" s="84"/>
      <c r="V133" s="84"/>
      <c r="W133" s="84"/>
      <c r="X133" s="84"/>
      <c r="Y133" s="84"/>
      <c r="Z133" s="84"/>
    </row>
    <row r="134" ht="15.75" customHeight="1">
      <c r="A134" s="84"/>
      <c r="B134" s="84"/>
      <c r="C134" s="84"/>
      <c r="D134" s="84"/>
      <c r="E134" s="84"/>
      <c r="F134" s="84"/>
      <c r="G134" s="84"/>
      <c r="H134" s="84"/>
      <c r="I134" s="84"/>
      <c r="J134" s="84"/>
      <c r="K134" s="84"/>
      <c r="L134" s="84"/>
      <c r="M134" s="84"/>
      <c r="N134" s="84"/>
      <c r="O134" s="84"/>
      <c r="P134" s="84"/>
      <c r="Q134" s="84"/>
      <c r="R134" s="84"/>
      <c r="S134" s="84"/>
      <c r="T134" s="84"/>
      <c r="U134" s="84"/>
      <c r="V134" s="84"/>
      <c r="W134" s="84"/>
      <c r="X134" s="84"/>
      <c r="Y134" s="84"/>
      <c r="Z134" s="84"/>
    </row>
    <row r="135" ht="15.75" customHeight="1">
      <c r="A135" s="84"/>
      <c r="B135" s="84"/>
      <c r="C135" s="84"/>
      <c r="D135" s="84"/>
      <c r="E135" s="84"/>
      <c r="F135" s="84"/>
      <c r="G135" s="84"/>
      <c r="H135" s="84"/>
      <c r="I135" s="84"/>
      <c r="J135" s="84"/>
      <c r="K135" s="84"/>
      <c r="L135" s="84"/>
      <c r="M135" s="84"/>
      <c r="N135" s="84"/>
      <c r="O135" s="84"/>
      <c r="P135" s="84"/>
      <c r="Q135" s="84"/>
      <c r="R135" s="84"/>
      <c r="S135" s="84"/>
      <c r="T135" s="84"/>
      <c r="U135" s="84"/>
      <c r="V135" s="84"/>
      <c r="W135" s="84"/>
      <c r="X135" s="84"/>
      <c r="Y135" s="84"/>
      <c r="Z135" s="84"/>
    </row>
    <row r="136" ht="15.75" customHeight="1">
      <c r="A136" s="84"/>
      <c r="B136" s="84"/>
      <c r="C136" s="84"/>
      <c r="D136" s="84"/>
      <c r="E136" s="84"/>
      <c r="F136" s="84"/>
      <c r="G136" s="84"/>
      <c r="H136" s="84"/>
      <c r="I136" s="84"/>
      <c r="J136" s="84"/>
      <c r="K136" s="84"/>
      <c r="L136" s="84"/>
      <c r="M136" s="84"/>
      <c r="N136" s="84"/>
      <c r="O136" s="84"/>
      <c r="P136" s="84"/>
      <c r="Q136" s="84"/>
      <c r="R136" s="84"/>
      <c r="S136" s="84"/>
      <c r="T136" s="84"/>
      <c r="U136" s="84"/>
      <c r="V136" s="84"/>
      <c r="W136" s="84"/>
      <c r="X136" s="84"/>
      <c r="Y136" s="84"/>
      <c r="Z136" s="84"/>
    </row>
    <row r="137" ht="15.75" customHeight="1">
      <c r="A137" s="84"/>
      <c r="B137" s="84"/>
      <c r="C137" s="84"/>
      <c r="D137" s="84"/>
      <c r="E137" s="84"/>
      <c r="F137" s="84"/>
      <c r="G137" s="84"/>
      <c r="H137" s="84"/>
      <c r="I137" s="84"/>
      <c r="J137" s="84"/>
      <c r="K137" s="84"/>
      <c r="L137" s="84"/>
      <c r="M137" s="84"/>
      <c r="N137" s="84"/>
      <c r="O137" s="84"/>
      <c r="P137" s="84"/>
      <c r="Q137" s="84"/>
      <c r="R137" s="84"/>
      <c r="S137" s="84"/>
      <c r="T137" s="84"/>
      <c r="U137" s="84"/>
      <c r="V137" s="84"/>
      <c r="W137" s="84"/>
      <c r="X137" s="84"/>
      <c r="Y137" s="84"/>
      <c r="Z137" s="84"/>
    </row>
    <row r="138" ht="15.75" customHeight="1">
      <c r="A138" s="84"/>
      <c r="B138" s="84"/>
      <c r="C138" s="84"/>
      <c r="D138" s="84"/>
      <c r="E138" s="84"/>
      <c r="F138" s="84"/>
      <c r="G138" s="84"/>
      <c r="H138" s="84"/>
      <c r="I138" s="84"/>
      <c r="J138" s="84"/>
      <c r="K138" s="84"/>
      <c r="L138" s="84"/>
      <c r="M138" s="84"/>
      <c r="N138" s="84"/>
      <c r="O138" s="84"/>
      <c r="P138" s="84"/>
      <c r="Q138" s="84"/>
      <c r="R138" s="84"/>
      <c r="S138" s="84"/>
      <c r="T138" s="84"/>
      <c r="U138" s="84"/>
      <c r="V138" s="84"/>
      <c r="W138" s="84"/>
      <c r="X138" s="84"/>
      <c r="Y138" s="84"/>
      <c r="Z138" s="84"/>
    </row>
    <row r="139" ht="15.75" customHeight="1">
      <c r="A139" s="84"/>
      <c r="B139" s="84"/>
      <c r="C139" s="84"/>
      <c r="D139" s="84"/>
      <c r="E139" s="84"/>
      <c r="F139" s="84"/>
      <c r="G139" s="84"/>
      <c r="H139" s="84"/>
      <c r="I139" s="84"/>
      <c r="J139" s="84"/>
      <c r="K139" s="84"/>
      <c r="L139" s="84"/>
      <c r="M139" s="84"/>
      <c r="N139" s="84"/>
      <c r="O139" s="84"/>
      <c r="P139" s="84"/>
      <c r="Q139" s="84"/>
      <c r="R139" s="84"/>
      <c r="S139" s="84"/>
      <c r="T139" s="84"/>
      <c r="U139" s="84"/>
      <c r="V139" s="84"/>
      <c r="W139" s="84"/>
      <c r="X139" s="84"/>
      <c r="Y139" s="84"/>
      <c r="Z139" s="84"/>
    </row>
    <row r="140" ht="15.75" customHeight="1">
      <c r="A140" s="84"/>
      <c r="B140" s="84"/>
      <c r="C140" s="84"/>
      <c r="D140" s="84"/>
      <c r="E140" s="84"/>
      <c r="F140" s="84"/>
      <c r="G140" s="84"/>
      <c r="H140" s="84"/>
      <c r="I140" s="84"/>
      <c r="J140" s="84"/>
      <c r="K140" s="84"/>
      <c r="L140" s="84"/>
      <c r="M140" s="84"/>
      <c r="N140" s="84"/>
      <c r="O140" s="84"/>
      <c r="P140" s="84"/>
      <c r="Q140" s="84"/>
      <c r="R140" s="84"/>
      <c r="S140" s="84"/>
      <c r="T140" s="84"/>
      <c r="U140" s="84"/>
      <c r="V140" s="84"/>
      <c r="W140" s="84"/>
      <c r="X140" s="84"/>
      <c r="Y140" s="84"/>
      <c r="Z140" s="84"/>
    </row>
    <row r="141" ht="15.75" customHeight="1">
      <c r="A141" s="84"/>
      <c r="B141" s="84"/>
      <c r="C141" s="84"/>
      <c r="D141" s="84"/>
      <c r="E141" s="84"/>
      <c r="F141" s="84"/>
      <c r="G141" s="84"/>
      <c r="H141" s="84"/>
      <c r="I141" s="84"/>
      <c r="J141" s="84"/>
      <c r="K141" s="84"/>
      <c r="L141" s="84"/>
      <c r="M141" s="84"/>
      <c r="N141" s="84"/>
      <c r="O141" s="84"/>
      <c r="P141" s="84"/>
      <c r="Q141" s="84"/>
      <c r="R141" s="84"/>
      <c r="S141" s="84"/>
      <c r="T141" s="84"/>
      <c r="U141" s="84"/>
      <c r="V141" s="84"/>
      <c r="W141" s="84"/>
      <c r="X141" s="84"/>
      <c r="Y141" s="84"/>
      <c r="Z141" s="84"/>
    </row>
    <row r="142" ht="15.75" customHeight="1">
      <c r="A142" s="84"/>
      <c r="B142" s="84"/>
      <c r="C142" s="84"/>
      <c r="D142" s="84"/>
      <c r="E142" s="84"/>
      <c r="F142" s="84"/>
      <c r="G142" s="84"/>
      <c r="H142" s="84"/>
      <c r="I142" s="84"/>
      <c r="J142" s="84"/>
      <c r="K142" s="84"/>
      <c r="L142" s="84"/>
      <c r="M142" s="84"/>
      <c r="N142" s="84"/>
      <c r="O142" s="84"/>
      <c r="P142" s="84"/>
      <c r="Q142" s="84"/>
      <c r="R142" s="84"/>
      <c r="S142" s="84"/>
      <c r="T142" s="84"/>
      <c r="U142" s="84"/>
      <c r="V142" s="84"/>
      <c r="W142" s="84"/>
      <c r="X142" s="84"/>
      <c r="Y142" s="84"/>
      <c r="Z142" s="84"/>
    </row>
    <row r="143" ht="15.75" customHeight="1">
      <c r="A143" s="84"/>
      <c r="B143" s="84"/>
      <c r="C143" s="84"/>
      <c r="D143" s="84"/>
      <c r="E143" s="84"/>
      <c r="F143" s="84"/>
      <c r="G143" s="84"/>
      <c r="H143" s="84"/>
      <c r="I143" s="84"/>
      <c r="J143" s="84"/>
      <c r="K143" s="84"/>
      <c r="L143" s="84"/>
      <c r="M143" s="84"/>
      <c r="N143" s="84"/>
      <c r="O143" s="84"/>
      <c r="P143" s="84"/>
      <c r="Q143" s="84"/>
      <c r="R143" s="84"/>
      <c r="S143" s="84"/>
      <c r="T143" s="84"/>
      <c r="U143" s="84"/>
      <c r="V143" s="84"/>
      <c r="W143" s="84"/>
      <c r="X143" s="84"/>
      <c r="Y143" s="84"/>
      <c r="Z143" s="84"/>
    </row>
    <row r="144" ht="15.75" customHeight="1">
      <c r="A144" s="84"/>
      <c r="B144" s="84"/>
      <c r="C144" s="84"/>
      <c r="D144" s="84"/>
      <c r="E144" s="84"/>
      <c r="F144" s="84"/>
      <c r="G144" s="84"/>
      <c r="H144" s="84"/>
      <c r="I144" s="84"/>
      <c r="J144" s="84"/>
      <c r="K144" s="84"/>
      <c r="L144" s="84"/>
      <c r="M144" s="84"/>
      <c r="N144" s="84"/>
      <c r="O144" s="84"/>
      <c r="P144" s="84"/>
      <c r="Q144" s="84"/>
      <c r="R144" s="84"/>
      <c r="S144" s="84"/>
      <c r="T144" s="84"/>
      <c r="U144" s="84"/>
      <c r="V144" s="84"/>
      <c r="W144" s="84"/>
      <c r="X144" s="84"/>
      <c r="Y144" s="84"/>
      <c r="Z144" s="84"/>
    </row>
    <row r="145" ht="15.75" customHeight="1">
      <c r="A145" s="84"/>
      <c r="B145" s="84"/>
      <c r="C145" s="84"/>
      <c r="D145" s="84"/>
      <c r="E145" s="84"/>
      <c r="F145" s="84"/>
      <c r="G145" s="84"/>
      <c r="H145" s="84"/>
      <c r="I145" s="84"/>
      <c r="J145" s="84"/>
      <c r="K145" s="84"/>
      <c r="L145" s="84"/>
      <c r="M145" s="84"/>
      <c r="N145" s="84"/>
      <c r="O145" s="84"/>
      <c r="P145" s="84"/>
      <c r="Q145" s="84"/>
      <c r="R145" s="84"/>
      <c r="S145" s="84"/>
      <c r="T145" s="84"/>
      <c r="U145" s="84"/>
      <c r="V145" s="84"/>
      <c r="W145" s="84"/>
      <c r="X145" s="84"/>
      <c r="Y145" s="84"/>
      <c r="Z145" s="84"/>
    </row>
    <row r="146" ht="15.75" customHeight="1">
      <c r="A146" s="84"/>
      <c r="B146" s="84"/>
      <c r="C146" s="84"/>
      <c r="D146" s="84"/>
      <c r="E146" s="84"/>
      <c r="F146" s="84"/>
      <c r="G146" s="84"/>
      <c r="H146" s="84"/>
      <c r="I146" s="84"/>
      <c r="J146" s="84"/>
      <c r="K146" s="84"/>
      <c r="L146" s="84"/>
      <c r="M146" s="84"/>
      <c r="N146" s="84"/>
      <c r="O146" s="84"/>
      <c r="P146" s="84"/>
      <c r="Q146" s="84"/>
      <c r="R146" s="84"/>
      <c r="S146" s="84"/>
      <c r="T146" s="84"/>
      <c r="U146" s="84"/>
      <c r="V146" s="84"/>
      <c r="W146" s="84"/>
      <c r="X146" s="84"/>
      <c r="Y146" s="84"/>
      <c r="Z146" s="84"/>
    </row>
    <row r="147" ht="15.75" customHeight="1">
      <c r="A147" s="84"/>
      <c r="B147" s="84"/>
      <c r="C147" s="84"/>
      <c r="D147" s="84"/>
      <c r="E147" s="84"/>
      <c r="F147" s="84"/>
      <c r="G147" s="84"/>
      <c r="H147" s="84"/>
      <c r="I147" s="84"/>
      <c r="J147" s="84"/>
      <c r="K147" s="84"/>
      <c r="L147" s="84"/>
      <c r="M147" s="84"/>
      <c r="N147" s="84"/>
      <c r="O147" s="84"/>
      <c r="P147" s="84"/>
      <c r="Q147" s="84"/>
      <c r="R147" s="84"/>
      <c r="S147" s="84"/>
      <c r="T147" s="84"/>
      <c r="U147" s="84"/>
      <c r="V147" s="84"/>
      <c r="W147" s="84"/>
      <c r="X147" s="84"/>
      <c r="Y147" s="84"/>
      <c r="Z147" s="84"/>
    </row>
    <row r="148" ht="15.75" customHeight="1">
      <c r="A148" s="84"/>
      <c r="B148" s="84"/>
      <c r="C148" s="84"/>
      <c r="D148" s="84"/>
      <c r="E148" s="84"/>
      <c r="F148" s="84"/>
      <c r="G148" s="84"/>
      <c r="H148" s="84"/>
      <c r="I148" s="84"/>
      <c r="J148" s="84"/>
      <c r="K148" s="84"/>
      <c r="L148" s="84"/>
      <c r="M148" s="84"/>
      <c r="N148" s="84"/>
      <c r="O148" s="84"/>
      <c r="P148" s="84"/>
      <c r="Q148" s="84"/>
      <c r="R148" s="84"/>
      <c r="S148" s="84"/>
      <c r="T148" s="84"/>
      <c r="U148" s="84"/>
      <c r="V148" s="84"/>
      <c r="W148" s="84"/>
      <c r="X148" s="84"/>
      <c r="Y148" s="84"/>
      <c r="Z148" s="84"/>
    </row>
    <row r="149" ht="15.75" customHeight="1">
      <c r="A149" s="84"/>
      <c r="B149" s="84"/>
      <c r="C149" s="84"/>
      <c r="D149" s="84"/>
      <c r="E149" s="84"/>
      <c r="F149" s="84"/>
      <c r="G149" s="84"/>
      <c r="H149" s="84"/>
      <c r="I149" s="84"/>
      <c r="J149" s="84"/>
      <c r="K149" s="84"/>
      <c r="L149" s="84"/>
      <c r="M149" s="84"/>
      <c r="N149" s="84"/>
      <c r="O149" s="84"/>
      <c r="P149" s="84"/>
      <c r="Q149" s="84"/>
      <c r="R149" s="84"/>
      <c r="S149" s="84"/>
      <c r="T149" s="84"/>
      <c r="U149" s="84"/>
      <c r="V149" s="84"/>
      <c r="W149" s="84"/>
      <c r="X149" s="84"/>
      <c r="Y149" s="84"/>
      <c r="Z149" s="84"/>
    </row>
    <row r="150" ht="15.75" customHeight="1">
      <c r="A150" s="84"/>
      <c r="B150" s="84"/>
      <c r="C150" s="84"/>
      <c r="D150" s="84"/>
      <c r="E150" s="84"/>
      <c r="F150" s="84"/>
      <c r="G150" s="84"/>
      <c r="H150" s="84"/>
      <c r="I150" s="84"/>
      <c r="J150" s="84"/>
      <c r="K150" s="84"/>
      <c r="L150" s="84"/>
      <c r="M150" s="84"/>
      <c r="N150" s="84"/>
      <c r="O150" s="84"/>
      <c r="P150" s="84"/>
      <c r="Q150" s="84"/>
      <c r="R150" s="84"/>
      <c r="S150" s="84"/>
      <c r="T150" s="84"/>
      <c r="U150" s="84"/>
      <c r="V150" s="84"/>
      <c r="W150" s="84"/>
      <c r="X150" s="84"/>
      <c r="Y150" s="84"/>
      <c r="Z150" s="84"/>
    </row>
    <row r="151" ht="15.75" customHeight="1">
      <c r="A151" s="84"/>
      <c r="B151" s="84"/>
      <c r="C151" s="84"/>
      <c r="D151" s="84"/>
      <c r="E151" s="84"/>
      <c r="F151" s="84"/>
      <c r="G151" s="84"/>
      <c r="H151" s="84"/>
      <c r="I151" s="84"/>
      <c r="J151" s="84"/>
      <c r="K151" s="84"/>
      <c r="L151" s="84"/>
      <c r="M151" s="84"/>
      <c r="N151" s="84"/>
      <c r="O151" s="84"/>
      <c r="P151" s="84"/>
      <c r="Q151" s="84"/>
      <c r="R151" s="84"/>
      <c r="S151" s="84"/>
      <c r="T151" s="84"/>
      <c r="U151" s="84"/>
      <c r="V151" s="84"/>
      <c r="W151" s="84"/>
      <c r="X151" s="84"/>
      <c r="Y151" s="84"/>
      <c r="Z151" s="84"/>
    </row>
    <row r="152" ht="15.75" customHeight="1">
      <c r="A152" s="84"/>
      <c r="B152" s="84"/>
      <c r="C152" s="84"/>
      <c r="D152" s="84"/>
      <c r="E152" s="84"/>
      <c r="F152" s="84"/>
      <c r="G152" s="84"/>
      <c r="H152" s="84"/>
      <c r="I152" s="84"/>
      <c r="J152" s="84"/>
      <c r="K152" s="84"/>
      <c r="L152" s="84"/>
      <c r="M152" s="84"/>
      <c r="N152" s="84"/>
      <c r="O152" s="84"/>
      <c r="P152" s="84"/>
      <c r="Q152" s="84"/>
      <c r="R152" s="84"/>
      <c r="S152" s="84"/>
      <c r="T152" s="84"/>
      <c r="U152" s="84"/>
      <c r="V152" s="84"/>
      <c r="W152" s="84"/>
      <c r="X152" s="84"/>
      <c r="Y152" s="84"/>
      <c r="Z152" s="84"/>
    </row>
    <row r="153" ht="15.75" customHeight="1">
      <c r="A153" s="84"/>
      <c r="B153" s="84"/>
      <c r="C153" s="84"/>
      <c r="D153" s="84"/>
      <c r="E153" s="84"/>
      <c r="F153" s="84"/>
      <c r="G153" s="84"/>
      <c r="H153" s="84"/>
      <c r="I153" s="84"/>
      <c r="J153" s="84"/>
      <c r="K153" s="84"/>
      <c r="L153" s="84"/>
      <c r="M153" s="84"/>
      <c r="N153" s="84"/>
      <c r="O153" s="84"/>
      <c r="P153" s="84"/>
      <c r="Q153" s="84"/>
      <c r="R153" s="84"/>
      <c r="S153" s="84"/>
      <c r="T153" s="84"/>
      <c r="U153" s="84"/>
      <c r="V153" s="84"/>
      <c r="W153" s="84"/>
      <c r="X153" s="84"/>
      <c r="Y153" s="84"/>
      <c r="Z153" s="84"/>
    </row>
    <row r="154" ht="15.75" customHeight="1">
      <c r="A154" s="84"/>
      <c r="B154" s="84"/>
      <c r="C154" s="84"/>
      <c r="D154" s="84"/>
      <c r="E154" s="84"/>
      <c r="F154" s="84"/>
      <c r="G154" s="84"/>
      <c r="H154" s="84"/>
      <c r="I154" s="84"/>
      <c r="J154" s="84"/>
      <c r="K154" s="84"/>
      <c r="L154" s="84"/>
      <c r="M154" s="84"/>
      <c r="N154" s="84"/>
      <c r="O154" s="84"/>
      <c r="P154" s="84"/>
      <c r="Q154" s="84"/>
      <c r="R154" s="84"/>
      <c r="S154" s="84"/>
      <c r="T154" s="84"/>
      <c r="U154" s="84"/>
      <c r="V154" s="84"/>
      <c r="W154" s="84"/>
      <c r="X154" s="84"/>
      <c r="Y154" s="84"/>
      <c r="Z154" s="84"/>
    </row>
    <row r="155" ht="15.75" customHeight="1">
      <c r="A155" s="84"/>
      <c r="B155" s="84"/>
      <c r="C155" s="84"/>
      <c r="D155" s="84"/>
      <c r="E155" s="84"/>
      <c r="F155" s="84"/>
      <c r="G155" s="84"/>
      <c r="H155" s="84"/>
      <c r="I155" s="84"/>
      <c r="J155" s="84"/>
      <c r="K155" s="84"/>
      <c r="L155" s="84"/>
      <c r="M155" s="84"/>
      <c r="N155" s="84"/>
      <c r="O155" s="84"/>
      <c r="P155" s="84"/>
      <c r="Q155" s="84"/>
      <c r="R155" s="84"/>
      <c r="S155" s="84"/>
      <c r="T155" s="84"/>
      <c r="U155" s="84"/>
      <c r="V155" s="84"/>
      <c r="W155" s="84"/>
      <c r="X155" s="84"/>
      <c r="Y155" s="84"/>
      <c r="Z155" s="84"/>
    </row>
    <row r="156" ht="15.75" customHeight="1">
      <c r="A156" s="84"/>
      <c r="B156" s="84"/>
      <c r="C156" s="84"/>
      <c r="D156" s="84"/>
      <c r="E156" s="84"/>
      <c r="F156" s="84"/>
      <c r="G156" s="84"/>
      <c r="H156" s="84"/>
      <c r="I156" s="84"/>
      <c r="J156" s="84"/>
      <c r="K156" s="84"/>
      <c r="L156" s="84"/>
      <c r="M156" s="84"/>
      <c r="N156" s="84"/>
      <c r="O156" s="84"/>
      <c r="P156" s="84"/>
      <c r="Q156" s="84"/>
      <c r="R156" s="84"/>
      <c r="S156" s="84"/>
      <c r="T156" s="84"/>
      <c r="U156" s="84"/>
      <c r="V156" s="84"/>
      <c r="W156" s="84"/>
      <c r="X156" s="84"/>
      <c r="Y156" s="84"/>
      <c r="Z156" s="84"/>
    </row>
    <row r="157" ht="15.75" customHeight="1">
      <c r="A157" s="84"/>
      <c r="B157" s="84"/>
      <c r="C157" s="84"/>
      <c r="D157" s="84"/>
      <c r="E157" s="84"/>
      <c r="F157" s="84"/>
      <c r="G157" s="84"/>
      <c r="H157" s="84"/>
      <c r="I157" s="84"/>
      <c r="J157" s="84"/>
      <c r="K157" s="84"/>
      <c r="L157" s="84"/>
      <c r="M157" s="84"/>
      <c r="N157" s="84"/>
      <c r="O157" s="84"/>
      <c r="P157" s="84"/>
      <c r="Q157" s="84"/>
      <c r="R157" s="84"/>
      <c r="S157" s="84"/>
      <c r="T157" s="84"/>
      <c r="U157" s="84"/>
      <c r="V157" s="84"/>
      <c r="W157" s="84"/>
      <c r="X157" s="84"/>
      <c r="Y157" s="84"/>
      <c r="Z157" s="84"/>
    </row>
    <row r="158" ht="15.75" customHeight="1">
      <c r="A158" s="84"/>
      <c r="B158" s="84"/>
      <c r="C158" s="84"/>
      <c r="D158" s="84"/>
      <c r="E158" s="84"/>
      <c r="F158" s="84"/>
      <c r="G158" s="84"/>
      <c r="H158" s="84"/>
      <c r="I158" s="84"/>
      <c r="J158" s="84"/>
      <c r="K158" s="84"/>
      <c r="L158" s="84"/>
      <c r="M158" s="84"/>
      <c r="N158" s="84"/>
      <c r="O158" s="84"/>
      <c r="P158" s="84"/>
      <c r="Q158" s="84"/>
      <c r="R158" s="84"/>
      <c r="S158" s="84"/>
      <c r="T158" s="84"/>
      <c r="U158" s="84"/>
      <c r="V158" s="84"/>
      <c r="W158" s="84"/>
      <c r="X158" s="84"/>
      <c r="Y158" s="84"/>
      <c r="Z158" s="84"/>
    </row>
    <row r="159" ht="15.75" customHeight="1">
      <c r="A159" s="84"/>
      <c r="B159" s="84"/>
      <c r="C159" s="84"/>
      <c r="D159" s="84"/>
      <c r="E159" s="84"/>
      <c r="F159" s="84"/>
      <c r="G159" s="84"/>
      <c r="H159" s="84"/>
      <c r="I159" s="84"/>
      <c r="J159" s="84"/>
      <c r="K159" s="84"/>
      <c r="L159" s="84"/>
      <c r="M159" s="84"/>
      <c r="N159" s="84"/>
      <c r="O159" s="84"/>
      <c r="P159" s="84"/>
      <c r="Q159" s="84"/>
      <c r="R159" s="84"/>
      <c r="S159" s="84"/>
      <c r="T159" s="84"/>
      <c r="U159" s="84"/>
      <c r="V159" s="84"/>
      <c r="W159" s="84"/>
      <c r="X159" s="84"/>
      <c r="Y159" s="84"/>
      <c r="Z159" s="84"/>
    </row>
    <row r="160" ht="15.75" customHeight="1">
      <c r="A160" s="84"/>
      <c r="B160" s="84"/>
      <c r="C160" s="84"/>
      <c r="D160" s="84"/>
      <c r="E160" s="84"/>
      <c r="F160" s="84"/>
      <c r="G160" s="84"/>
      <c r="H160" s="84"/>
      <c r="I160" s="84"/>
      <c r="J160" s="84"/>
      <c r="K160" s="84"/>
      <c r="L160" s="84"/>
      <c r="M160" s="84"/>
      <c r="N160" s="84"/>
      <c r="O160" s="84"/>
      <c r="P160" s="84"/>
      <c r="Q160" s="84"/>
      <c r="R160" s="84"/>
      <c r="S160" s="84"/>
      <c r="T160" s="84"/>
      <c r="U160" s="84"/>
      <c r="V160" s="84"/>
      <c r="W160" s="84"/>
      <c r="X160" s="84"/>
      <c r="Y160" s="84"/>
      <c r="Z160" s="84"/>
    </row>
    <row r="161" ht="15.75" customHeight="1">
      <c r="A161" s="84"/>
      <c r="B161" s="84"/>
      <c r="C161" s="84"/>
      <c r="D161" s="84"/>
      <c r="E161" s="84"/>
      <c r="F161" s="84"/>
      <c r="G161" s="84"/>
      <c r="H161" s="84"/>
      <c r="I161" s="84"/>
      <c r="J161" s="84"/>
      <c r="K161" s="84"/>
      <c r="L161" s="84"/>
      <c r="M161" s="84"/>
      <c r="N161" s="84"/>
      <c r="O161" s="84"/>
      <c r="P161" s="84"/>
      <c r="Q161" s="84"/>
      <c r="R161" s="84"/>
      <c r="S161" s="84"/>
      <c r="T161" s="84"/>
      <c r="U161" s="84"/>
      <c r="V161" s="84"/>
      <c r="W161" s="84"/>
      <c r="X161" s="84"/>
      <c r="Y161" s="84"/>
      <c r="Z161" s="84"/>
    </row>
    <row r="162" ht="15.75" customHeight="1">
      <c r="A162" s="84"/>
      <c r="B162" s="84"/>
      <c r="C162" s="84"/>
      <c r="D162" s="84"/>
      <c r="E162" s="84"/>
      <c r="F162" s="84"/>
      <c r="G162" s="84"/>
      <c r="H162" s="84"/>
      <c r="I162" s="84"/>
      <c r="J162" s="84"/>
      <c r="K162" s="84"/>
      <c r="L162" s="84"/>
      <c r="M162" s="84"/>
      <c r="N162" s="84"/>
      <c r="O162" s="84"/>
      <c r="P162" s="84"/>
      <c r="Q162" s="84"/>
      <c r="R162" s="84"/>
      <c r="S162" s="84"/>
      <c r="T162" s="84"/>
      <c r="U162" s="84"/>
      <c r="V162" s="84"/>
      <c r="W162" s="84"/>
      <c r="X162" s="84"/>
      <c r="Y162" s="84"/>
      <c r="Z162" s="84"/>
    </row>
    <row r="163" ht="15.75" customHeight="1">
      <c r="A163" s="84"/>
      <c r="B163" s="84"/>
      <c r="C163" s="84"/>
      <c r="D163" s="84"/>
      <c r="E163" s="84"/>
      <c r="F163" s="84"/>
      <c r="G163" s="84"/>
      <c r="H163" s="84"/>
      <c r="I163" s="84"/>
      <c r="J163" s="84"/>
      <c r="K163" s="84"/>
      <c r="L163" s="84"/>
      <c r="M163" s="84"/>
      <c r="N163" s="84"/>
      <c r="O163" s="84"/>
      <c r="P163" s="84"/>
      <c r="Q163" s="84"/>
      <c r="R163" s="84"/>
      <c r="S163" s="84"/>
      <c r="T163" s="84"/>
      <c r="U163" s="84"/>
      <c r="V163" s="84"/>
      <c r="W163" s="84"/>
      <c r="X163" s="84"/>
      <c r="Y163" s="84"/>
      <c r="Z163" s="84"/>
    </row>
    <row r="164" ht="15.75" customHeight="1">
      <c r="A164" s="84"/>
      <c r="B164" s="84"/>
      <c r="C164" s="84"/>
      <c r="D164" s="84"/>
      <c r="E164" s="84"/>
      <c r="F164" s="84"/>
      <c r="G164" s="84"/>
      <c r="H164" s="84"/>
      <c r="I164" s="84"/>
      <c r="J164" s="84"/>
      <c r="K164" s="84"/>
      <c r="L164" s="84"/>
      <c r="M164" s="84"/>
      <c r="N164" s="84"/>
      <c r="O164" s="84"/>
      <c r="P164" s="84"/>
      <c r="Q164" s="84"/>
      <c r="R164" s="84"/>
      <c r="S164" s="84"/>
      <c r="T164" s="84"/>
      <c r="U164" s="84"/>
      <c r="V164" s="84"/>
      <c r="W164" s="84"/>
      <c r="X164" s="84"/>
      <c r="Y164" s="84"/>
      <c r="Z164" s="84"/>
    </row>
    <row r="165" ht="15.75" customHeight="1">
      <c r="A165" s="84"/>
      <c r="B165" s="84"/>
      <c r="C165" s="84"/>
      <c r="D165" s="84"/>
      <c r="E165" s="84"/>
      <c r="F165" s="84"/>
      <c r="G165" s="84"/>
      <c r="H165" s="84"/>
      <c r="I165" s="84"/>
      <c r="J165" s="84"/>
      <c r="K165" s="84"/>
      <c r="L165" s="84"/>
      <c r="M165" s="84"/>
      <c r="N165" s="84"/>
      <c r="O165" s="84"/>
      <c r="P165" s="84"/>
      <c r="Q165" s="84"/>
      <c r="R165" s="84"/>
      <c r="S165" s="84"/>
      <c r="T165" s="84"/>
      <c r="U165" s="84"/>
      <c r="V165" s="84"/>
      <c r="W165" s="84"/>
      <c r="X165" s="84"/>
      <c r="Y165" s="84"/>
      <c r="Z165" s="84"/>
    </row>
    <row r="166" ht="15.75" customHeight="1">
      <c r="A166" s="84"/>
      <c r="B166" s="84"/>
      <c r="C166" s="84"/>
      <c r="D166" s="84"/>
      <c r="E166" s="84"/>
      <c r="F166" s="84"/>
      <c r="G166" s="84"/>
      <c r="H166" s="84"/>
      <c r="I166" s="84"/>
      <c r="J166" s="84"/>
      <c r="K166" s="84"/>
      <c r="L166" s="84"/>
      <c r="M166" s="84"/>
      <c r="N166" s="84"/>
      <c r="O166" s="84"/>
      <c r="P166" s="84"/>
      <c r="Q166" s="84"/>
      <c r="R166" s="84"/>
      <c r="S166" s="84"/>
      <c r="T166" s="84"/>
      <c r="U166" s="84"/>
      <c r="V166" s="84"/>
      <c r="W166" s="84"/>
      <c r="X166" s="84"/>
      <c r="Y166" s="84"/>
      <c r="Z166" s="84"/>
    </row>
    <row r="167" ht="15.75" customHeight="1">
      <c r="A167" s="84"/>
      <c r="B167" s="84"/>
      <c r="C167" s="84"/>
      <c r="D167" s="84"/>
      <c r="E167" s="84"/>
      <c r="F167" s="84"/>
      <c r="G167" s="84"/>
      <c r="H167" s="84"/>
      <c r="I167" s="84"/>
      <c r="J167" s="84"/>
      <c r="K167" s="84"/>
      <c r="L167" s="84"/>
      <c r="M167" s="84"/>
      <c r="N167" s="84"/>
      <c r="O167" s="84"/>
      <c r="P167" s="84"/>
      <c r="Q167" s="84"/>
      <c r="R167" s="84"/>
      <c r="S167" s="84"/>
      <c r="T167" s="84"/>
      <c r="U167" s="84"/>
      <c r="V167" s="84"/>
      <c r="W167" s="84"/>
      <c r="X167" s="84"/>
      <c r="Y167" s="84"/>
      <c r="Z167" s="84"/>
    </row>
    <row r="168" ht="15.75" customHeight="1">
      <c r="A168" s="84"/>
      <c r="B168" s="84"/>
      <c r="C168" s="84"/>
      <c r="D168" s="84"/>
      <c r="E168" s="84"/>
      <c r="F168" s="84"/>
      <c r="G168" s="84"/>
      <c r="H168" s="84"/>
      <c r="I168" s="84"/>
      <c r="J168" s="84"/>
      <c r="K168" s="84"/>
      <c r="L168" s="84"/>
      <c r="M168" s="84"/>
      <c r="N168" s="84"/>
      <c r="O168" s="84"/>
      <c r="P168" s="84"/>
      <c r="Q168" s="84"/>
      <c r="R168" s="84"/>
      <c r="S168" s="84"/>
      <c r="T168" s="84"/>
      <c r="U168" s="84"/>
      <c r="V168" s="84"/>
      <c r="W168" s="84"/>
      <c r="X168" s="84"/>
      <c r="Y168" s="84"/>
      <c r="Z168" s="84"/>
    </row>
    <row r="169" ht="15.75" customHeight="1">
      <c r="A169" s="84"/>
      <c r="B169" s="84"/>
      <c r="C169" s="84"/>
      <c r="D169" s="84"/>
      <c r="E169" s="84"/>
      <c r="F169" s="84"/>
      <c r="G169" s="84"/>
      <c r="H169" s="84"/>
      <c r="I169" s="84"/>
      <c r="J169" s="84"/>
      <c r="K169" s="84"/>
      <c r="L169" s="84"/>
      <c r="M169" s="84"/>
      <c r="N169" s="84"/>
      <c r="O169" s="84"/>
      <c r="P169" s="84"/>
      <c r="Q169" s="84"/>
      <c r="R169" s="84"/>
      <c r="S169" s="84"/>
      <c r="T169" s="84"/>
      <c r="U169" s="84"/>
      <c r="V169" s="84"/>
      <c r="W169" s="84"/>
      <c r="X169" s="84"/>
      <c r="Y169" s="84"/>
      <c r="Z169" s="84"/>
    </row>
    <row r="170" ht="15.75" customHeight="1">
      <c r="A170" s="84"/>
      <c r="B170" s="84"/>
      <c r="C170" s="84"/>
      <c r="D170" s="84"/>
      <c r="E170" s="84"/>
      <c r="F170" s="84"/>
      <c r="G170" s="84"/>
      <c r="H170" s="84"/>
      <c r="I170" s="84"/>
      <c r="J170" s="84"/>
      <c r="K170" s="84"/>
      <c r="L170" s="84"/>
      <c r="M170" s="84"/>
      <c r="N170" s="84"/>
      <c r="O170" s="84"/>
      <c r="P170" s="84"/>
      <c r="Q170" s="84"/>
      <c r="R170" s="84"/>
      <c r="S170" s="84"/>
      <c r="T170" s="84"/>
      <c r="U170" s="84"/>
      <c r="V170" s="84"/>
      <c r="W170" s="84"/>
      <c r="X170" s="84"/>
      <c r="Y170" s="84"/>
      <c r="Z170" s="84"/>
    </row>
    <row r="171" ht="15.75" customHeight="1">
      <c r="A171" s="84"/>
      <c r="B171" s="84"/>
      <c r="C171" s="84"/>
      <c r="D171" s="84"/>
      <c r="E171" s="84"/>
      <c r="F171" s="84"/>
      <c r="G171" s="84"/>
      <c r="H171" s="84"/>
      <c r="I171" s="84"/>
      <c r="J171" s="84"/>
      <c r="K171" s="84"/>
      <c r="L171" s="84"/>
      <c r="M171" s="84"/>
      <c r="N171" s="84"/>
      <c r="O171" s="84"/>
      <c r="P171" s="84"/>
      <c r="Q171" s="84"/>
      <c r="R171" s="84"/>
      <c r="S171" s="84"/>
      <c r="T171" s="84"/>
      <c r="U171" s="84"/>
      <c r="V171" s="84"/>
      <c r="W171" s="84"/>
      <c r="X171" s="84"/>
      <c r="Y171" s="84"/>
      <c r="Z171" s="84"/>
    </row>
    <row r="172" ht="15.75" customHeight="1">
      <c r="A172" s="84"/>
      <c r="B172" s="84"/>
      <c r="C172" s="84"/>
      <c r="D172" s="84"/>
      <c r="E172" s="84"/>
      <c r="F172" s="84"/>
      <c r="G172" s="84"/>
      <c r="H172" s="84"/>
      <c r="I172" s="84"/>
      <c r="J172" s="84"/>
      <c r="K172" s="84"/>
      <c r="L172" s="84"/>
      <c r="M172" s="84"/>
      <c r="N172" s="84"/>
      <c r="O172" s="84"/>
      <c r="P172" s="84"/>
      <c r="Q172" s="84"/>
      <c r="R172" s="84"/>
      <c r="S172" s="84"/>
      <c r="T172" s="84"/>
      <c r="U172" s="84"/>
      <c r="V172" s="84"/>
      <c r="W172" s="84"/>
      <c r="X172" s="84"/>
      <c r="Y172" s="84"/>
      <c r="Z172" s="84"/>
    </row>
    <row r="173" ht="15.75" customHeight="1">
      <c r="A173" s="84"/>
      <c r="B173" s="84"/>
      <c r="C173" s="84"/>
      <c r="D173" s="84"/>
      <c r="E173" s="84"/>
      <c r="F173" s="84"/>
      <c r="G173" s="84"/>
      <c r="H173" s="84"/>
      <c r="I173" s="84"/>
      <c r="J173" s="84"/>
      <c r="K173" s="84"/>
      <c r="L173" s="84"/>
      <c r="M173" s="84"/>
      <c r="N173" s="84"/>
      <c r="O173" s="84"/>
      <c r="P173" s="84"/>
      <c r="Q173" s="84"/>
      <c r="R173" s="84"/>
      <c r="S173" s="84"/>
      <c r="T173" s="84"/>
      <c r="U173" s="84"/>
      <c r="V173" s="84"/>
      <c r="W173" s="84"/>
      <c r="X173" s="84"/>
      <c r="Y173" s="84"/>
      <c r="Z173" s="84"/>
    </row>
    <row r="174" ht="15.75" customHeight="1">
      <c r="A174" s="84"/>
      <c r="B174" s="84"/>
      <c r="C174" s="84"/>
      <c r="D174" s="84"/>
      <c r="E174" s="84"/>
      <c r="F174" s="84"/>
      <c r="G174" s="84"/>
      <c r="H174" s="84"/>
      <c r="I174" s="84"/>
      <c r="J174" s="84"/>
      <c r="K174" s="84"/>
      <c r="L174" s="84"/>
      <c r="M174" s="84"/>
      <c r="N174" s="84"/>
      <c r="O174" s="84"/>
      <c r="P174" s="84"/>
      <c r="Q174" s="84"/>
      <c r="R174" s="84"/>
      <c r="S174" s="84"/>
      <c r="T174" s="84"/>
      <c r="U174" s="84"/>
      <c r="V174" s="84"/>
      <c r="W174" s="84"/>
      <c r="X174" s="84"/>
      <c r="Y174" s="84"/>
      <c r="Z174" s="84"/>
    </row>
    <row r="175" ht="15.75" customHeight="1">
      <c r="A175" s="84"/>
      <c r="B175" s="84"/>
      <c r="C175" s="84"/>
      <c r="D175" s="84"/>
      <c r="E175" s="84"/>
      <c r="F175" s="84"/>
      <c r="G175" s="84"/>
      <c r="H175" s="84"/>
      <c r="I175" s="84"/>
      <c r="J175" s="84"/>
      <c r="K175" s="84"/>
      <c r="L175" s="84"/>
      <c r="M175" s="84"/>
      <c r="N175" s="84"/>
      <c r="O175" s="84"/>
      <c r="P175" s="84"/>
      <c r="Q175" s="84"/>
      <c r="R175" s="84"/>
      <c r="S175" s="84"/>
      <c r="T175" s="84"/>
      <c r="U175" s="84"/>
      <c r="V175" s="84"/>
      <c r="W175" s="84"/>
      <c r="X175" s="84"/>
      <c r="Y175" s="84"/>
      <c r="Z175" s="84"/>
    </row>
    <row r="176" ht="15.75" customHeight="1">
      <c r="A176" s="84"/>
      <c r="B176" s="84"/>
      <c r="C176" s="84"/>
      <c r="D176" s="84"/>
      <c r="E176" s="84"/>
      <c r="F176" s="84"/>
      <c r="G176" s="84"/>
      <c r="H176" s="84"/>
      <c r="I176" s="84"/>
      <c r="J176" s="84"/>
      <c r="K176" s="84"/>
      <c r="L176" s="84"/>
      <c r="M176" s="84"/>
      <c r="N176" s="84"/>
      <c r="O176" s="84"/>
      <c r="P176" s="84"/>
      <c r="Q176" s="84"/>
      <c r="R176" s="84"/>
      <c r="S176" s="84"/>
      <c r="T176" s="84"/>
      <c r="U176" s="84"/>
      <c r="V176" s="84"/>
      <c r="W176" s="84"/>
      <c r="X176" s="84"/>
      <c r="Y176" s="84"/>
      <c r="Z176" s="84"/>
    </row>
    <row r="177" ht="15.75" customHeight="1">
      <c r="A177" s="84"/>
      <c r="B177" s="84"/>
      <c r="C177" s="84"/>
      <c r="D177" s="84"/>
      <c r="E177" s="84"/>
      <c r="F177" s="84"/>
      <c r="G177" s="84"/>
      <c r="H177" s="84"/>
      <c r="I177" s="84"/>
      <c r="J177" s="84"/>
      <c r="K177" s="84"/>
      <c r="L177" s="84"/>
      <c r="M177" s="84"/>
      <c r="N177" s="84"/>
      <c r="O177" s="84"/>
      <c r="P177" s="84"/>
      <c r="Q177" s="84"/>
      <c r="R177" s="84"/>
      <c r="S177" s="84"/>
      <c r="T177" s="84"/>
      <c r="U177" s="84"/>
      <c r="V177" s="84"/>
      <c r="W177" s="84"/>
      <c r="X177" s="84"/>
      <c r="Y177" s="84"/>
      <c r="Z177" s="84"/>
    </row>
    <row r="178" ht="15.75" customHeight="1">
      <c r="A178" s="84"/>
      <c r="B178" s="84"/>
      <c r="C178" s="84"/>
      <c r="D178" s="84"/>
      <c r="E178" s="84"/>
      <c r="F178" s="84"/>
      <c r="G178" s="84"/>
      <c r="H178" s="84"/>
      <c r="I178" s="84"/>
      <c r="J178" s="84"/>
      <c r="K178" s="84"/>
      <c r="L178" s="84"/>
      <c r="M178" s="84"/>
      <c r="N178" s="84"/>
      <c r="O178" s="84"/>
      <c r="P178" s="84"/>
      <c r="Q178" s="84"/>
      <c r="R178" s="84"/>
      <c r="S178" s="84"/>
      <c r="T178" s="84"/>
      <c r="U178" s="84"/>
      <c r="V178" s="84"/>
      <c r="W178" s="84"/>
      <c r="X178" s="84"/>
      <c r="Y178" s="84"/>
      <c r="Z178" s="84"/>
    </row>
    <row r="179" ht="15.75" customHeight="1">
      <c r="A179" s="84"/>
      <c r="B179" s="84"/>
      <c r="C179" s="84"/>
      <c r="D179" s="84"/>
      <c r="E179" s="84"/>
      <c r="F179" s="84"/>
      <c r="G179" s="84"/>
      <c r="H179" s="84"/>
      <c r="I179" s="84"/>
      <c r="J179" s="84"/>
      <c r="K179" s="84"/>
      <c r="L179" s="84"/>
      <c r="M179" s="84"/>
      <c r="N179" s="84"/>
      <c r="O179" s="84"/>
      <c r="P179" s="84"/>
      <c r="Q179" s="84"/>
      <c r="R179" s="84"/>
      <c r="S179" s="84"/>
      <c r="T179" s="84"/>
      <c r="U179" s="84"/>
      <c r="V179" s="84"/>
      <c r="W179" s="84"/>
      <c r="X179" s="84"/>
      <c r="Y179" s="84"/>
      <c r="Z179" s="84"/>
    </row>
    <row r="180" ht="15.75" customHeight="1">
      <c r="A180" s="84"/>
      <c r="B180" s="84"/>
      <c r="C180" s="84"/>
      <c r="D180" s="84"/>
      <c r="E180" s="84"/>
      <c r="F180" s="84"/>
      <c r="G180" s="84"/>
      <c r="H180" s="84"/>
      <c r="I180" s="84"/>
      <c r="J180" s="84"/>
      <c r="K180" s="84"/>
      <c r="L180" s="84"/>
      <c r="M180" s="84"/>
      <c r="N180" s="84"/>
      <c r="O180" s="84"/>
      <c r="P180" s="84"/>
      <c r="Q180" s="84"/>
      <c r="R180" s="84"/>
      <c r="S180" s="84"/>
      <c r="T180" s="84"/>
      <c r="U180" s="84"/>
      <c r="V180" s="84"/>
      <c r="W180" s="84"/>
      <c r="X180" s="84"/>
      <c r="Y180" s="84"/>
      <c r="Z180" s="84"/>
    </row>
    <row r="181" ht="15.75" customHeight="1">
      <c r="A181" s="84"/>
      <c r="B181" s="84"/>
      <c r="C181" s="84"/>
      <c r="D181" s="84"/>
      <c r="E181" s="84"/>
      <c r="F181" s="84"/>
      <c r="G181" s="84"/>
      <c r="H181" s="84"/>
      <c r="I181" s="84"/>
      <c r="J181" s="84"/>
      <c r="K181" s="84"/>
      <c r="L181" s="84"/>
      <c r="M181" s="84"/>
      <c r="N181" s="84"/>
      <c r="O181" s="84"/>
      <c r="P181" s="84"/>
      <c r="Q181" s="84"/>
      <c r="R181" s="84"/>
      <c r="S181" s="84"/>
      <c r="T181" s="84"/>
      <c r="U181" s="84"/>
      <c r="V181" s="84"/>
      <c r="W181" s="84"/>
      <c r="X181" s="84"/>
      <c r="Y181" s="84"/>
      <c r="Z181" s="84"/>
    </row>
    <row r="182" ht="15.75" customHeight="1">
      <c r="A182" s="84"/>
      <c r="B182" s="84"/>
      <c r="C182" s="84"/>
      <c r="D182" s="84"/>
      <c r="E182" s="84"/>
      <c r="F182" s="84"/>
      <c r="G182" s="84"/>
      <c r="H182" s="84"/>
      <c r="I182" s="84"/>
      <c r="J182" s="84"/>
      <c r="K182" s="84"/>
      <c r="L182" s="84"/>
      <c r="M182" s="84"/>
      <c r="N182" s="84"/>
      <c r="O182" s="84"/>
      <c r="P182" s="84"/>
      <c r="Q182" s="84"/>
      <c r="R182" s="84"/>
      <c r="S182" s="84"/>
      <c r="T182" s="84"/>
      <c r="U182" s="84"/>
      <c r="V182" s="84"/>
      <c r="W182" s="84"/>
      <c r="X182" s="84"/>
      <c r="Y182" s="84"/>
      <c r="Z182" s="84"/>
    </row>
    <row r="183" ht="15.75" customHeight="1">
      <c r="A183" s="84"/>
      <c r="B183" s="84"/>
      <c r="C183" s="84"/>
      <c r="D183" s="84"/>
      <c r="E183" s="84"/>
      <c r="F183" s="84"/>
      <c r="G183" s="84"/>
      <c r="H183" s="84"/>
      <c r="I183" s="84"/>
      <c r="J183" s="84"/>
      <c r="K183" s="84"/>
      <c r="L183" s="84"/>
      <c r="M183" s="84"/>
      <c r="N183" s="84"/>
      <c r="O183" s="84"/>
      <c r="P183" s="84"/>
      <c r="Q183" s="84"/>
      <c r="R183" s="84"/>
      <c r="S183" s="84"/>
      <c r="T183" s="84"/>
      <c r="U183" s="84"/>
      <c r="V183" s="84"/>
      <c r="W183" s="84"/>
      <c r="X183" s="84"/>
      <c r="Y183" s="84"/>
      <c r="Z183" s="84"/>
    </row>
    <row r="184" ht="15.75" customHeight="1">
      <c r="A184" s="84"/>
      <c r="B184" s="84"/>
      <c r="C184" s="84"/>
      <c r="D184" s="84"/>
      <c r="E184" s="84"/>
      <c r="F184" s="84"/>
      <c r="G184" s="84"/>
      <c r="H184" s="84"/>
      <c r="I184" s="84"/>
      <c r="J184" s="84"/>
      <c r="K184" s="84"/>
      <c r="L184" s="84"/>
      <c r="M184" s="84"/>
      <c r="N184" s="84"/>
      <c r="O184" s="84"/>
      <c r="P184" s="84"/>
      <c r="Q184" s="84"/>
      <c r="R184" s="84"/>
      <c r="S184" s="84"/>
      <c r="T184" s="84"/>
      <c r="U184" s="84"/>
      <c r="V184" s="84"/>
      <c r="W184" s="84"/>
      <c r="X184" s="84"/>
      <c r="Y184" s="84"/>
      <c r="Z184" s="84"/>
    </row>
    <row r="185" ht="15.75" customHeight="1">
      <c r="A185" s="84"/>
      <c r="B185" s="84"/>
      <c r="C185" s="84"/>
      <c r="D185" s="84"/>
      <c r="E185" s="84"/>
      <c r="F185" s="84"/>
      <c r="G185" s="84"/>
      <c r="H185" s="84"/>
      <c r="I185" s="84"/>
      <c r="J185" s="84"/>
      <c r="K185" s="84"/>
      <c r="L185" s="84"/>
      <c r="M185" s="84"/>
      <c r="N185" s="84"/>
      <c r="O185" s="84"/>
      <c r="P185" s="84"/>
      <c r="Q185" s="84"/>
      <c r="R185" s="84"/>
      <c r="S185" s="84"/>
      <c r="T185" s="84"/>
      <c r="U185" s="84"/>
      <c r="V185" s="84"/>
      <c r="W185" s="84"/>
      <c r="X185" s="84"/>
      <c r="Y185" s="84"/>
      <c r="Z185" s="84"/>
    </row>
    <row r="186" ht="15.75" customHeight="1">
      <c r="A186" s="84"/>
      <c r="B186" s="84"/>
      <c r="C186" s="84"/>
      <c r="D186" s="84"/>
      <c r="E186" s="84"/>
      <c r="F186" s="84"/>
      <c r="G186" s="84"/>
      <c r="H186" s="84"/>
      <c r="I186" s="84"/>
      <c r="J186" s="84"/>
      <c r="K186" s="84"/>
      <c r="L186" s="84"/>
      <c r="M186" s="84"/>
      <c r="N186" s="84"/>
      <c r="O186" s="84"/>
      <c r="P186" s="84"/>
      <c r="Q186" s="84"/>
      <c r="R186" s="84"/>
      <c r="S186" s="84"/>
      <c r="T186" s="84"/>
      <c r="U186" s="84"/>
      <c r="V186" s="84"/>
      <c r="W186" s="84"/>
      <c r="X186" s="84"/>
      <c r="Y186" s="84"/>
      <c r="Z186" s="84"/>
    </row>
    <row r="187" ht="15.75" customHeight="1">
      <c r="A187" s="84"/>
      <c r="B187" s="84"/>
      <c r="C187" s="84"/>
      <c r="D187" s="84"/>
      <c r="E187" s="84"/>
      <c r="F187" s="84"/>
      <c r="G187" s="84"/>
      <c r="H187" s="84"/>
      <c r="I187" s="84"/>
      <c r="J187" s="84"/>
      <c r="K187" s="84"/>
      <c r="L187" s="84"/>
      <c r="M187" s="84"/>
      <c r="N187" s="84"/>
      <c r="O187" s="84"/>
      <c r="P187" s="84"/>
      <c r="Q187" s="84"/>
      <c r="R187" s="84"/>
      <c r="S187" s="84"/>
      <c r="T187" s="84"/>
      <c r="U187" s="84"/>
      <c r="V187" s="84"/>
      <c r="W187" s="84"/>
      <c r="X187" s="84"/>
      <c r="Y187" s="84"/>
      <c r="Z187" s="84"/>
    </row>
    <row r="188" ht="15.75" customHeight="1">
      <c r="A188" s="84"/>
      <c r="B188" s="84"/>
      <c r="C188" s="84"/>
      <c r="D188" s="84"/>
      <c r="E188" s="84"/>
      <c r="F188" s="84"/>
      <c r="G188" s="84"/>
      <c r="H188" s="84"/>
      <c r="I188" s="84"/>
      <c r="J188" s="84"/>
      <c r="K188" s="84"/>
      <c r="L188" s="84"/>
      <c r="M188" s="84"/>
      <c r="N188" s="84"/>
      <c r="O188" s="84"/>
      <c r="P188" s="84"/>
      <c r="Q188" s="84"/>
      <c r="R188" s="84"/>
      <c r="S188" s="84"/>
      <c r="T188" s="84"/>
      <c r="U188" s="84"/>
      <c r="V188" s="84"/>
      <c r="W188" s="84"/>
      <c r="X188" s="84"/>
      <c r="Y188" s="84"/>
      <c r="Z188" s="84"/>
    </row>
    <row r="189" ht="15.75" customHeight="1">
      <c r="A189" s="84"/>
      <c r="B189" s="84"/>
      <c r="C189" s="84"/>
      <c r="D189" s="84"/>
      <c r="E189" s="84"/>
      <c r="F189" s="84"/>
      <c r="G189" s="84"/>
      <c r="H189" s="84"/>
      <c r="I189" s="84"/>
      <c r="J189" s="84"/>
      <c r="K189" s="84"/>
      <c r="L189" s="84"/>
      <c r="M189" s="84"/>
      <c r="N189" s="84"/>
      <c r="O189" s="84"/>
      <c r="P189" s="84"/>
      <c r="Q189" s="84"/>
      <c r="R189" s="84"/>
      <c r="S189" s="84"/>
      <c r="T189" s="84"/>
      <c r="U189" s="84"/>
      <c r="V189" s="84"/>
      <c r="W189" s="84"/>
      <c r="X189" s="84"/>
      <c r="Y189" s="84"/>
      <c r="Z189" s="84"/>
    </row>
    <row r="190" ht="15.75" customHeight="1">
      <c r="A190" s="84"/>
      <c r="B190" s="84"/>
      <c r="C190" s="84"/>
      <c r="D190" s="84"/>
      <c r="E190" s="84"/>
      <c r="F190" s="84"/>
      <c r="G190" s="84"/>
      <c r="H190" s="84"/>
      <c r="I190" s="84"/>
      <c r="J190" s="84"/>
      <c r="K190" s="84"/>
      <c r="L190" s="84"/>
      <c r="M190" s="84"/>
      <c r="N190" s="84"/>
      <c r="O190" s="84"/>
      <c r="P190" s="84"/>
      <c r="Q190" s="84"/>
      <c r="R190" s="84"/>
      <c r="S190" s="84"/>
      <c r="T190" s="84"/>
      <c r="U190" s="84"/>
      <c r="V190" s="84"/>
      <c r="W190" s="84"/>
      <c r="X190" s="84"/>
      <c r="Y190" s="84"/>
      <c r="Z190" s="84"/>
    </row>
    <row r="191" ht="15.75" customHeight="1">
      <c r="A191" s="84"/>
      <c r="B191" s="84"/>
      <c r="C191" s="84"/>
      <c r="D191" s="84"/>
      <c r="E191" s="84"/>
      <c r="F191" s="84"/>
      <c r="G191" s="84"/>
      <c r="H191" s="84"/>
      <c r="I191" s="84"/>
      <c r="J191" s="84"/>
      <c r="K191" s="84"/>
      <c r="L191" s="84"/>
      <c r="M191" s="84"/>
      <c r="N191" s="84"/>
      <c r="O191" s="84"/>
      <c r="P191" s="84"/>
      <c r="Q191" s="84"/>
      <c r="R191" s="84"/>
      <c r="S191" s="84"/>
      <c r="T191" s="84"/>
      <c r="U191" s="84"/>
      <c r="V191" s="84"/>
      <c r="W191" s="84"/>
      <c r="X191" s="84"/>
      <c r="Y191" s="84"/>
      <c r="Z191" s="84"/>
    </row>
    <row r="192" ht="15.75" customHeight="1">
      <c r="A192" s="84"/>
      <c r="B192" s="84"/>
      <c r="C192" s="84"/>
      <c r="D192" s="84"/>
      <c r="E192" s="84"/>
      <c r="F192" s="84"/>
      <c r="G192" s="84"/>
      <c r="H192" s="84"/>
      <c r="I192" s="84"/>
      <c r="J192" s="84"/>
      <c r="K192" s="84"/>
      <c r="L192" s="84"/>
      <c r="M192" s="84"/>
      <c r="N192" s="84"/>
      <c r="O192" s="84"/>
      <c r="P192" s="84"/>
      <c r="Q192" s="84"/>
      <c r="R192" s="84"/>
      <c r="S192" s="84"/>
      <c r="T192" s="84"/>
      <c r="U192" s="84"/>
      <c r="V192" s="84"/>
      <c r="W192" s="84"/>
      <c r="X192" s="84"/>
      <c r="Y192" s="84"/>
      <c r="Z192" s="84"/>
    </row>
    <row r="193" ht="15.75" customHeight="1">
      <c r="A193" s="84"/>
      <c r="B193" s="84"/>
      <c r="C193" s="84"/>
      <c r="D193" s="84"/>
      <c r="E193" s="84"/>
      <c r="F193" s="84"/>
      <c r="G193" s="84"/>
      <c r="H193" s="84"/>
      <c r="I193" s="84"/>
      <c r="J193" s="84"/>
      <c r="K193" s="84"/>
      <c r="L193" s="84"/>
      <c r="M193" s="84"/>
      <c r="N193" s="84"/>
      <c r="O193" s="84"/>
      <c r="P193" s="84"/>
      <c r="Q193" s="84"/>
      <c r="R193" s="84"/>
      <c r="S193" s="84"/>
      <c r="T193" s="84"/>
      <c r="U193" s="84"/>
      <c r="V193" s="84"/>
      <c r="W193" s="84"/>
      <c r="X193" s="84"/>
      <c r="Y193" s="84"/>
      <c r="Z193" s="84"/>
    </row>
    <row r="194" ht="15.75" customHeight="1">
      <c r="A194" s="84"/>
      <c r="B194" s="84"/>
      <c r="C194" s="84"/>
      <c r="D194" s="84"/>
      <c r="E194" s="84"/>
      <c r="F194" s="84"/>
      <c r="G194" s="84"/>
      <c r="H194" s="84"/>
      <c r="I194" s="84"/>
      <c r="J194" s="84"/>
      <c r="K194" s="84"/>
      <c r="L194" s="84"/>
      <c r="M194" s="84"/>
      <c r="N194" s="84"/>
      <c r="O194" s="84"/>
      <c r="P194" s="84"/>
      <c r="Q194" s="84"/>
      <c r="R194" s="84"/>
      <c r="S194" s="84"/>
      <c r="T194" s="84"/>
      <c r="U194" s="84"/>
      <c r="V194" s="84"/>
      <c r="W194" s="84"/>
      <c r="X194" s="84"/>
      <c r="Y194" s="84"/>
      <c r="Z194" s="84"/>
    </row>
    <row r="195" ht="15.75" customHeight="1">
      <c r="A195" s="84"/>
      <c r="B195" s="84"/>
      <c r="C195" s="84"/>
      <c r="D195" s="84"/>
      <c r="E195" s="84"/>
      <c r="F195" s="84"/>
      <c r="G195" s="84"/>
      <c r="H195" s="84"/>
      <c r="I195" s="84"/>
      <c r="J195" s="84"/>
      <c r="K195" s="84"/>
      <c r="L195" s="84"/>
      <c r="M195" s="84"/>
      <c r="N195" s="84"/>
      <c r="O195" s="84"/>
      <c r="P195" s="84"/>
      <c r="Q195" s="84"/>
      <c r="R195" s="84"/>
      <c r="S195" s="84"/>
      <c r="T195" s="84"/>
      <c r="U195" s="84"/>
      <c r="V195" s="84"/>
      <c r="W195" s="84"/>
      <c r="X195" s="84"/>
      <c r="Y195" s="84"/>
      <c r="Z195" s="84"/>
    </row>
    <row r="196" ht="15.75" customHeight="1">
      <c r="A196" s="84"/>
      <c r="B196" s="84"/>
      <c r="C196" s="84"/>
      <c r="D196" s="84"/>
      <c r="E196" s="84"/>
      <c r="F196" s="84"/>
      <c r="G196" s="84"/>
      <c r="H196" s="84"/>
      <c r="I196" s="84"/>
      <c r="J196" s="84"/>
      <c r="K196" s="84"/>
      <c r="L196" s="84"/>
      <c r="M196" s="84"/>
      <c r="N196" s="84"/>
      <c r="O196" s="84"/>
      <c r="P196" s="84"/>
      <c r="Q196" s="84"/>
      <c r="R196" s="84"/>
      <c r="S196" s="84"/>
      <c r="T196" s="84"/>
      <c r="U196" s="84"/>
      <c r="V196" s="84"/>
      <c r="W196" s="84"/>
      <c r="X196" s="84"/>
      <c r="Y196" s="84"/>
      <c r="Z196" s="84"/>
    </row>
    <row r="197" ht="15.75" customHeight="1">
      <c r="A197" s="84"/>
      <c r="B197" s="84"/>
      <c r="C197" s="84"/>
      <c r="D197" s="84"/>
      <c r="E197" s="84"/>
      <c r="F197" s="84"/>
      <c r="G197" s="84"/>
      <c r="H197" s="84"/>
      <c r="I197" s="84"/>
      <c r="J197" s="84"/>
      <c r="K197" s="84"/>
      <c r="L197" s="84"/>
      <c r="M197" s="84"/>
      <c r="N197" s="84"/>
      <c r="O197" s="84"/>
      <c r="P197" s="84"/>
      <c r="Q197" s="84"/>
      <c r="R197" s="84"/>
      <c r="S197" s="84"/>
      <c r="T197" s="84"/>
      <c r="U197" s="84"/>
      <c r="V197" s="84"/>
      <c r="W197" s="84"/>
      <c r="X197" s="84"/>
      <c r="Y197" s="84"/>
      <c r="Z197" s="84"/>
    </row>
    <row r="198" ht="15.75" customHeight="1">
      <c r="A198" s="84"/>
      <c r="B198" s="84"/>
      <c r="C198" s="84"/>
      <c r="D198" s="84"/>
      <c r="E198" s="84"/>
      <c r="F198" s="84"/>
      <c r="G198" s="84"/>
      <c r="H198" s="84"/>
      <c r="I198" s="84"/>
      <c r="J198" s="84"/>
      <c r="K198" s="84"/>
      <c r="L198" s="84"/>
      <c r="M198" s="84"/>
      <c r="N198" s="84"/>
      <c r="O198" s="84"/>
      <c r="P198" s="84"/>
      <c r="Q198" s="84"/>
      <c r="R198" s="84"/>
      <c r="S198" s="84"/>
      <c r="T198" s="84"/>
      <c r="U198" s="84"/>
      <c r="V198" s="84"/>
      <c r="W198" s="84"/>
      <c r="X198" s="84"/>
      <c r="Y198" s="84"/>
      <c r="Z198" s="84"/>
    </row>
    <row r="199" ht="15.75" customHeight="1">
      <c r="A199" s="84"/>
      <c r="B199" s="84"/>
      <c r="C199" s="84"/>
      <c r="D199" s="84"/>
      <c r="E199" s="84"/>
      <c r="F199" s="84"/>
      <c r="G199" s="84"/>
      <c r="H199" s="84"/>
      <c r="I199" s="84"/>
      <c r="J199" s="84"/>
      <c r="K199" s="84"/>
      <c r="L199" s="84"/>
      <c r="M199" s="84"/>
      <c r="N199" s="84"/>
      <c r="O199" s="84"/>
      <c r="P199" s="84"/>
      <c r="Q199" s="84"/>
      <c r="R199" s="84"/>
      <c r="S199" s="84"/>
      <c r="T199" s="84"/>
      <c r="U199" s="84"/>
      <c r="V199" s="84"/>
      <c r="W199" s="84"/>
      <c r="X199" s="84"/>
      <c r="Y199" s="84"/>
      <c r="Z199" s="84"/>
    </row>
    <row r="200" ht="15.75" customHeight="1">
      <c r="A200" s="84"/>
      <c r="B200" s="84"/>
      <c r="C200" s="84"/>
      <c r="D200" s="84"/>
      <c r="E200" s="84"/>
      <c r="F200" s="84"/>
      <c r="G200" s="84"/>
      <c r="H200" s="84"/>
      <c r="I200" s="84"/>
      <c r="J200" s="84"/>
      <c r="K200" s="84"/>
      <c r="L200" s="84"/>
      <c r="M200" s="84"/>
      <c r="N200" s="84"/>
      <c r="O200" s="84"/>
      <c r="P200" s="84"/>
      <c r="Q200" s="84"/>
      <c r="R200" s="84"/>
      <c r="S200" s="84"/>
      <c r="T200" s="84"/>
      <c r="U200" s="84"/>
      <c r="V200" s="84"/>
      <c r="W200" s="84"/>
      <c r="X200" s="84"/>
      <c r="Y200" s="84"/>
      <c r="Z200" s="84"/>
    </row>
    <row r="201" ht="15.75" customHeight="1">
      <c r="A201" s="84"/>
      <c r="B201" s="84"/>
      <c r="C201" s="84"/>
      <c r="D201" s="84"/>
      <c r="E201" s="84"/>
      <c r="F201" s="84"/>
      <c r="G201" s="84"/>
      <c r="H201" s="84"/>
      <c r="I201" s="84"/>
      <c r="J201" s="84"/>
      <c r="K201" s="84"/>
      <c r="L201" s="84"/>
      <c r="M201" s="84"/>
      <c r="N201" s="84"/>
      <c r="O201" s="84"/>
      <c r="P201" s="84"/>
      <c r="Q201" s="84"/>
      <c r="R201" s="84"/>
      <c r="S201" s="84"/>
      <c r="T201" s="84"/>
      <c r="U201" s="84"/>
      <c r="V201" s="84"/>
      <c r="W201" s="84"/>
      <c r="X201" s="84"/>
      <c r="Y201" s="84"/>
      <c r="Z201" s="84"/>
    </row>
    <row r="202" ht="15.75" customHeight="1">
      <c r="A202" s="84"/>
      <c r="B202" s="84"/>
      <c r="C202" s="84"/>
      <c r="D202" s="84"/>
      <c r="E202" s="84"/>
      <c r="F202" s="84"/>
      <c r="G202" s="84"/>
      <c r="H202" s="84"/>
      <c r="I202" s="84"/>
      <c r="J202" s="84"/>
      <c r="K202" s="84"/>
      <c r="L202" s="84"/>
      <c r="M202" s="84"/>
      <c r="N202" s="84"/>
      <c r="O202" s="84"/>
      <c r="P202" s="84"/>
      <c r="Q202" s="84"/>
      <c r="R202" s="84"/>
      <c r="S202" s="84"/>
      <c r="T202" s="84"/>
      <c r="U202" s="84"/>
      <c r="V202" s="84"/>
      <c r="W202" s="84"/>
      <c r="X202" s="84"/>
      <c r="Y202" s="84"/>
      <c r="Z202" s="84"/>
    </row>
    <row r="203" ht="15.75" customHeight="1">
      <c r="A203" s="84"/>
      <c r="B203" s="84"/>
      <c r="C203" s="84"/>
      <c r="D203" s="84"/>
      <c r="E203" s="84"/>
      <c r="F203" s="84"/>
      <c r="G203" s="84"/>
      <c r="H203" s="84"/>
      <c r="I203" s="84"/>
      <c r="J203" s="84"/>
      <c r="K203" s="84"/>
      <c r="L203" s="84"/>
      <c r="M203" s="84"/>
      <c r="N203" s="84"/>
      <c r="O203" s="84"/>
      <c r="P203" s="84"/>
      <c r="Q203" s="84"/>
      <c r="R203" s="84"/>
      <c r="S203" s="84"/>
      <c r="T203" s="84"/>
      <c r="U203" s="84"/>
      <c r="V203" s="84"/>
      <c r="W203" s="84"/>
      <c r="X203" s="84"/>
      <c r="Y203" s="84"/>
      <c r="Z203" s="84"/>
    </row>
    <row r="204" ht="15.75" customHeight="1">
      <c r="A204" s="84"/>
      <c r="B204" s="84"/>
      <c r="C204" s="84"/>
      <c r="D204" s="84"/>
      <c r="E204" s="84"/>
      <c r="F204" s="84"/>
      <c r="G204" s="84"/>
      <c r="H204" s="84"/>
      <c r="I204" s="84"/>
      <c r="J204" s="84"/>
      <c r="K204" s="84"/>
      <c r="L204" s="84"/>
      <c r="M204" s="84"/>
      <c r="N204" s="84"/>
      <c r="O204" s="84"/>
      <c r="P204" s="84"/>
      <c r="Q204" s="84"/>
      <c r="R204" s="84"/>
      <c r="S204" s="84"/>
      <c r="T204" s="84"/>
      <c r="U204" s="84"/>
      <c r="V204" s="84"/>
      <c r="W204" s="84"/>
      <c r="X204" s="84"/>
      <c r="Y204" s="84"/>
      <c r="Z204" s="84"/>
    </row>
    <row r="205" ht="15.75" customHeight="1">
      <c r="A205" s="84"/>
      <c r="B205" s="84"/>
      <c r="C205" s="84"/>
      <c r="D205" s="84"/>
      <c r="E205" s="84"/>
      <c r="F205" s="84"/>
      <c r="G205" s="84"/>
      <c r="H205" s="84"/>
      <c r="I205" s="84"/>
      <c r="J205" s="84"/>
      <c r="K205" s="84"/>
      <c r="L205" s="84"/>
      <c r="M205" s="84"/>
      <c r="N205" s="84"/>
      <c r="O205" s="84"/>
      <c r="P205" s="84"/>
      <c r="Q205" s="84"/>
      <c r="R205" s="84"/>
      <c r="S205" s="84"/>
      <c r="T205" s="84"/>
      <c r="U205" s="84"/>
      <c r="V205" s="84"/>
      <c r="W205" s="84"/>
      <c r="X205" s="84"/>
      <c r="Y205" s="84"/>
      <c r="Z205" s="84"/>
    </row>
    <row r="206" ht="15.75" customHeight="1">
      <c r="A206" s="84"/>
      <c r="B206" s="84"/>
      <c r="C206" s="84"/>
      <c r="D206" s="84"/>
      <c r="E206" s="84"/>
      <c r="F206" s="84"/>
      <c r="G206" s="84"/>
      <c r="H206" s="84"/>
      <c r="I206" s="84"/>
      <c r="J206" s="84"/>
      <c r="K206" s="84"/>
      <c r="L206" s="84"/>
      <c r="M206" s="84"/>
      <c r="N206" s="84"/>
      <c r="O206" s="84"/>
      <c r="P206" s="84"/>
      <c r="Q206" s="84"/>
      <c r="R206" s="84"/>
      <c r="S206" s="84"/>
      <c r="T206" s="84"/>
      <c r="U206" s="84"/>
      <c r="V206" s="84"/>
      <c r="W206" s="84"/>
      <c r="X206" s="84"/>
      <c r="Y206" s="84"/>
      <c r="Z206" s="84"/>
    </row>
    <row r="207" ht="15.75" customHeight="1">
      <c r="A207" s="84"/>
      <c r="B207" s="84"/>
      <c r="C207" s="84"/>
      <c r="D207" s="84"/>
      <c r="E207" s="84"/>
      <c r="F207" s="84"/>
      <c r="G207" s="84"/>
      <c r="H207" s="84"/>
      <c r="I207" s="84"/>
      <c r="J207" s="84"/>
      <c r="K207" s="84"/>
      <c r="L207" s="84"/>
      <c r="M207" s="84"/>
      <c r="N207" s="84"/>
      <c r="O207" s="84"/>
      <c r="P207" s="84"/>
      <c r="Q207" s="84"/>
      <c r="R207" s="84"/>
      <c r="S207" s="84"/>
      <c r="T207" s="84"/>
      <c r="U207" s="84"/>
      <c r="V207" s="84"/>
      <c r="W207" s="84"/>
      <c r="X207" s="84"/>
      <c r="Y207" s="84"/>
      <c r="Z207" s="84"/>
    </row>
    <row r="208" ht="15.75" customHeight="1">
      <c r="A208" s="84"/>
      <c r="B208" s="84"/>
      <c r="C208" s="84"/>
      <c r="D208" s="84"/>
      <c r="E208" s="84"/>
      <c r="F208" s="84"/>
      <c r="G208" s="84"/>
      <c r="H208" s="84"/>
      <c r="I208" s="84"/>
      <c r="J208" s="84"/>
      <c r="K208" s="84"/>
      <c r="L208" s="84"/>
      <c r="M208" s="84"/>
      <c r="N208" s="84"/>
      <c r="O208" s="84"/>
      <c r="P208" s="84"/>
      <c r="Q208" s="84"/>
      <c r="R208" s="84"/>
      <c r="S208" s="84"/>
      <c r="T208" s="84"/>
      <c r="U208" s="84"/>
      <c r="V208" s="84"/>
      <c r="W208" s="84"/>
      <c r="X208" s="84"/>
      <c r="Y208" s="84"/>
      <c r="Z208" s="84"/>
    </row>
    <row r="209" ht="15.75" customHeight="1">
      <c r="A209" s="84"/>
      <c r="B209" s="84"/>
      <c r="C209" s="84"/>
      <c r="D209" s="84"/>
      <c r="E209" s="84"/>
      <c r="F209" s="84"/>
      <c r="G209" s="84"/>
      <c r="H209" s="84"/>
      <c r="I209" s="84"/>
      <c r="J209" s="84"/>
      <c r="K209" s="84"/>
      <c r="L209" s="84"/>
      <c r="M209" s="84"/>
      <c r="N209" s="84"/>
      <c r="O209" s="84"/>
      <c r="P209" s="84"/>
      <c r="Q209" s="84"/>
      <c r="R209" s="84"/>
      <c r="S209" s="84"/>
      <c r="T209" s="84"/>
      <c r="U209" s="84"/>
      <c r="V209" s="84"/>
      <c r="W209" s="84"/>
      <c r="X209" s="84"/>
      <c r="Y209" s="84"/>
      <c r="Z209" s="84"/>
    </row>
    <row r="210" ht="15.75" customHeight="1">
      <c r="A210" s="84"/>
      <c r="B210" s="84"/>
      <c r="C210" s="84"/>
      <c r="D210" s="84"/>
      <c r="E210" s="84"/>
      <c r="F210" s="84"/>
      <c r="G210" s="84"/>
      <c r="H210" s="84"/>
      <c r="I210" s="84"/>
      <c r="J210" s="84"/>
      <c r="K210" s="84"/>
      <c r="L210" s="84"/>
      <c r="M210" s="84"/>
      <c r="N210" s="84"/>
      <c r="O210" s="84"/>
      <c r="P210" s="84"/>
      <c r="Q210" s="84"/>
      <c r="R210" s="84"/>
      <c r="S210" s="84"/>
      <c r="T210" s="84"/>
      <c r="U210" s="84"/>
      <c r="V210" s="84"/>
      <c r="W210" s="84"/>
      <c r="X210" s="84"/>
      <c r="Y210" s="84"/>
      <c r="Z210" s="84"/>
    </row>
    <row r="211" ht="15.75" customHeight="1">
      <c r="A211" s="84"/>
      <c r="B211" s="84"/>
      <c r="C211" s="84"/>
      <c r="D211" s="84"/>
      <c r="E211" s="84"/>
      <c r="F211" s="84"/>
      <c r="G211" s="84"/>
      <c r="H211" s="84"/>
      <c r="I211" s="84"/>
      <c r="J211" s="84"/>
      <c r="K211" s="84"/>
      <c r="L211" s="84"/>
      <c r="M211" s="84"/>
      <c r="N211" s="84"/>
      <c r="O211" s="84"/>
      <c r="P211" s="84"/>
      <c r="Q211" s="84"/>
      <c r="R211" s="84"/>
      <c r="S211" s="84"/>
      <c r="T211" s="84"/>
      <c r="U211" s="84"/>
      <c r="V211" s="84"/>
      <c r="W211" s="84"/>
      <c r="X211" s="84"/>
      <c r="Y211" s="84"/>
      <c r="Z211" s="84"/>
    </row>
    <row r="212" ht="15.75" customHeight="1">
      <c r="A212" s="84"/>
      <c r="B212" s="84"/>
      <c r="C212" s="84"/>
      <c r="D212" s="84"/>
      <c r="E212" s="84"/>
      <c r="F212" s="84"/>
      <c r="G212" s="84"/>
      <c r="H212" s="84"/>
      <c r="I212" s="84"/>
      <c r="J212" s="84"/>
      <c r="K212" s="84"/>
      <c r="L212" s="84"/>
      <c r="M212" s="84"/>
      <c r="N212" s="84"/>
      <c r="O212" s="84"/>
      <c r="P212" s="84"/>
      <c r="Q212" s="84"/>
      <c r="R212" s="84"/>
      <c r="S212" s="84"/>
      <c r="T212" s="84"/>
      <c r="U212" s="84"/>
      <c r="V212" s="84"/>
      <c r="W212" s="84"/>
      <c r="X212" s="84"/>
      <c r="Y212" s="84"/>
      <c r="Z212" s="84"/>
    </row>
    <row r="213" ht="15.75" customHeight="1">
      <c r="A213" s="84"/>
      <c r="B213" s="84"/>
      <c r="C213" s="84"/>
      <c r="D213" s="84"/>
      <c r="E213" s="84"/>
      <c r="F213" s="84"/>
      <c r="G213" s="84"/>
      <c r="H213" s="84"/>
      <c r="I213" s="84"/>
      <c r="J213" s="84"/>
      <c r="K213" s="84"/>
      <c r="L213" s="84"/>
      <c r="M213" s="84"/>
      <c r="N213" s="84"/>
      <c r="O213" s="84"/>
      <c r="P213" s="84"/>
      <c r="Q213" s="84"/>
      <c r="R213" s="84"/>
      <c r="S213" s="84"/>
      <c r="T213" s="84"/>
      <c r="U213" s="84"/>
      <c r="V213" s="84"/>
      <c r="W213" s="84"/>
      <c r="X213" s="84"/>
      <c r="Y213" s="84"/>
      <c r="Z213" s="84"/>
    </row>
    <row r="214" ht="15.75" customHeight="1">
      <c r="A214" s="84"/>
      <c r="B214" s="84"/>
      <c r="C214" s="84"/>
      <c r="D214" s="84"/>
      <c r="E214" s="84"/>
      <c r="F214" s="84"/>
      <c r="G214" s="84"/>
      <c r="H214" s="84"/>
      <c r="I214" s="84"/>
      <c r="J214" s="84"/>
      <c r="K214" s="84"/>
      <c r="L214" s="84"/>
      <c r="M214" s="84"/>
      <c r="N214" s="84"/>
      <c r="O214" s="84"/>
      <c r="P214" s="84"/>
      <c r="Q214" s="84"/>
      <c r="R214" s="84"/>
      <c r="S214" s="84"/>
      <c r="T214" s="84"/>
      <c r="U214" s="84"/>
      <c r="V214" s="84"/>
      <c r="W214" s="84"/>
      <c r="X214" s="84"/>
      <c r="Y214" s="84"/>
      <c r="Z214" s="84"/>
    </row>
    <row r="215" ht="15.75" customHeight="1">
      <c r="A215" s="84"/>
      <c r="B215" s="84"/>
      <c r="C215" s="84"/>
      <c r="D215" s="84"/>
      <c r="E215" s="84"/>
      <c r="F215" s="84"/>
      <c r="G215" s="84"/>
      <c r="H215" s="84"/>
      <c r="I215" s="84"/>
      <c r="J215" s="84"/>
      <c r="K215" s="84"/>
      <c r="L215" s="84"/>
      <c r="M215" s="84"/>
      <c r="N215" s="84"/>
      <c r="O215" s="84"/>
      <c r="P215" s="84"/>
      <c r="Q215" s="84"/>
      <c r="R215" s="84"/>
      <c r="S215" s="84"/>
      <c r="T215" s="84"/>
      <c r="U215" s="84"/>
      <c r="V215" s="84"/>
      <c r="W215" s="84"/>
      <c r="X215" s="84"/>
      <c r="Y215" s="84"/>
      <c r="Z215" s="84"/>
    </row>
    <row r="216" ht="15.75" customHeight="1">
      <c r="A216" s="84"/>
      <c r="B216" s="84"/>
      <c r="C216" s="84"/>
      <c r="D216" s="84"/>
      <c r="E216" s="84"/>
      <c r="F216" s="84"/>
      <c r="G216" s="84"/>
      <c r="H216" s="84"/>
      <c r="I216" s="84"/>
      <c r="J216" s="84"/>
      <c r="K216" s="84"/>
      <c r="L216" s="84"/>
      <c r="M216" s="84"/>
      <c r="N216" s="84"/>
      <c r="O216" s="84"/>
      <c r="P216" s="84"/>
      <c r="Q216" s="84"/>
      <c r="R216" s="84"/>
      <c r="S216" s="84"/>
      <c r="T216" s="84"/>
      <c r="U216" s="84"/>
      <c r="V216" s="84"/>
      <c r="W216" s="84"/>
      <c r="X216" s="84"/>
      <c r="Y216" s="84"/>
      <c r="Z216" s="84"/>
    </row>
    <row r="217" ht="15.75" customHeight="1">
      <c r="A217" s="84"/>
      <c r="B217" s="84"/>
      <c r="C217" s="84"/>
      <c r="D217" s="84"/>
      <c r="E217" s="84"/>
      <c r="F217" s="84"/>
      <c r="G217" s="84"/>
      <c r="H217" s="84"/>
      <c r="I217" s="84"/>
      <c r="J217" s="84"/>
      <c r="K217" s="84"/>
      <c r="L217" s="84"/>
      <c r="M217" s="84"/>
      <c r="N217" s="84"/>
      <c r="O217" s="84"/>
      <c r="P217" s="84"/>
      <c r="Q217" s="84"/>
      <c r="R217" s="84"/>
      <c r="S217" s="84"/>
      <c r="T217" s="84"/>
      <c r="U217" s="84"/>
      <c r="V217" s="84"/>
      <c r="W217" s="84"/>
      <c r="X217" s="84"/>
      <c r="Y217" s="84"/>
      <c r="Z217" s="84"/>
    </row>
    <row r="218" ht="15.75" customHeight="1">
      <c r="A218" s="84"/>
      <c r="B218" s="84"/>
      <c r="C218" s="84"/>
      <c r="D218" s="84"/>
      <c r="E218" s="84"/>
      <c r="F218" s="84"/>
      <c r="G218" s="84"/>
      <c r="H218" s="84"/>
      <c r="I218" s="84"/>
      <c r="J218" s="84"/>
      <c r="K218" s="84"/>
      <c r="L218" s="84"/>
      <c r="M218" s="84"/>
      <c r="N218" s="84"/>
      <c r="O218" s="84"/>
      <c r="P218" s="84"/>
      <c r="Q218" s="84"/>
      <c r="R218" s="84"/>
      <c r="S218" s="84"/>
      <c r="T218" s="84"/>
      <c r="U218" s="84"/>
      <c r="V218" s="84"/>
      <c r="W218" s="84"/>
      <c r="X218" s="84"/>
      <c r="Y218" s="84"/>
      <c r="Z218" s="84"/>
    </row>
    <row r="219" ht="15.75" customHeight="1">
      <c r="A219" s="84"/>
      <c r="B219" s="84"/>
      <c r="C219" s="84"/>
      <c r="D219" s="84"/>
      <c r="E219" s="84"/>
      <c r="F219" s="84"/>
      <c r="G219" s="84"/>
      <c r="H219" s="84"/>
      <c r="I219" s="84"/>
      <c r="J219" s="84"/>
      <c r="K219" s="84"/>
      <c r="L219" s="84"/>
      <c r="M219" s="84"/>
      <c r="N219" s="84"/>
      <c r="O219" s="84"/>
      <c r="P219" s="84"/>
      <c r="Q219" s="84"/>
      <c r="R219" s="84"/>
      <c r="S219" s="84"/>
      <c r="T219" s="84"/>
      <c r="U219" s="84"/>
      <c r="V219" s="84"/>
      <c r="W219" s="84"/>
      <c r="X219" s="84"/>
      <c r="Y219" s="84"/>
      <c r="Z219" s="84"/>
    </row>
    <row r="220" ht="15.75" customHeight="1">
      <c r="A220" s="84"/>
      <c r="B220" s="84"/>
      <c r="C220" s="84"/>
      <c r="D220" s="84"/>
      <c r="E220" s="84"/>
      <c r="F220" s="84"/>
      <c r="G220" s="84"/>
      <c r="H220" s="84"/>
      <c r="I220" s="84"/>
      <c r="J220" s="84"/>
      <c r="K220" s="84"/>
      <c r="L220" s="84"/>
      <c r="M220" s="84"/>
      <c r="N220" s="84"/>
      <c r="O220" s="84"/>
      <c r="P220" s="84"/>
      <c r="Q220" s="84"/>
      <c r="R220" s="84"/>
      <c r="S220" s="84"/>
      <c r="T220" s="84"/>
      <c r="U220" s="84"/>
      <c r="V220" s="84"/>
      <c r="W220" s="84"/>
      <c r="X220" s="84"/>
      <c r="Y220" s="84"/>
      <c r="Z220" s="84"/>
    </row>
    <row r="221" ht="15.75" customHeight="1">
      <c r="A221" s="84"/>
      <c r="B221" s="84"/>
      <c r="C221" s="84"/>
      <c r="D221" s="84"/>
      <c r="E221" s="84"/>
      <c r="F221" s="84"/>
      <c r="G221" s="84"/>
      <c r="H221" s="84"/>
      <c r="I221" s="84"/>
      <c r="J221" s="84"/>
      <c r="K221" s="84"/>
      <c r="L221" s="84"/>
      <c r="M221" s="84"/>
      <c r="N221" s="84"/>
      <c r="O221" s="84"/>
      <c r="P221" s="84"/>
      <c r="Q221" s="84"/>
      <c r="R221" s="84"/>
      <c r="S221" s="84"/>
      <c r="T221" s="84"/>
      <c r="U221" s="84"/>
      <c r="V221" s="84"/>
      <c r="W221" s="84"/>
      <c r="X221" s="84"/>
      <c r="Y221" s="84"/>
      <c r="Z221" s="84"/>
    </row>
    <row r="222" ht="15.75" customHeight="1">
      <c r="A222" s="84"/>
      <c r="B222" s="84"/>
      <c r="C222" s="84"/>
      <c r="D222" s="84"/>
      <c r="E222" s="84"/>
      <c r="F222" s="84"/>
      <c r="G222" s="84"/>
      <c r="H222" s="84"/>
      <c r="I222" s="84"/>
      <c r="J222" s="84"/>
      <c r="K222" s="84"/>
      <c r="L222" s="84"/>
      <c r="M222" s="84"/>
      <c r="N222" s="84"/>
      <c r="O222" s="84"/>
      <c r="P222" s="84"/>
      <c r="Q222" s="84"/>
      <c r="R222" s="84"/>
      <c r="S222" s="84"/>
      <c r="T222" s="84"/>
      <c r="U222" s="84"/>
      <c r="V222" s="84"/>
      <c r="W222" s="84"/>
      <c r="X222" s="84"/>
      <c r="Y222" s="84"/>
      <c r="Z222" s="84"/>
    </row>
    <row r="223" ht="15.75" customHeight="1">
      <c r="A223" s="84"/>
      <c r="B223" s="84"/>
      <c r="C223" s="84"/>
      <c r="D223" s="84"/>
      <c r="E223" s="84"/>
      <c r="F223" s="84"/>
      <c r="G223" s="84"/>
      <c r="H223" s="84"/>
      <c r="I223" s="84"/>
      <c r="J223" s="84"/>
      <c r="K223" s="84"/>
      <c r="L223" s="84"/>
      <c r="M223" s="84"/>
      <c r="N223" s="84"/>
      <c r="O223" s="84"/>
      <c r="P223" s="84"/>
      <c r="Q223" s="84"/>
      <c r="R223" s="84"/>
      <c r="S223" s="84"/>
      <c r="T223" s="84"/>
      <c r="U223" s="84"/>
      <c r="V223" s="84"/>
      <c r="W223" s="84"/>
      <c r="X223" s="84"/>
      <c r="Y223" s="84"/>
      <c r="Z223" s="84"/>
    </row>
    <row r="224" ht="15.75" customHeight="1">
      <c r="A224" s="84"/>
      <c r="B224" s="84"/>
      <c r="C224" s="84"/>
      <c r="D224" s="84"/>
      <c r="E224" s="84"/>
      <c r="F224" s="84"/>
      <c r="G224" s="84"/>
      <c r="H224" s="84"/>
      <c r="I224" s="84"/>
      <c r="J224" s="84"/>
      <c r="K224" s="84"/>
      <c r="L224" s="84"/>
      <c r="M224" s="84"/>
      <c r="N224" s="84"/>
      <c r="O224" s="84"/>
      <c r="P224" s="84"/>
      <c r="Q224" s="84"/>
      <c r="R224" s="84"/>
      <c r="S224" s="84"/>
      <c r="T224" s="84"/>
      <c r="U224" s="84"/>
      <c r="V224" s="84"/>
      <c r="W224" s="84"/>
      <c r="X224" s="84"/>
      <c r="Y224" s="84"/>
      <c r="Z224" s="84"/>
    </row>
    <row r="225" ht="15.75" customHeight="1">
      <c r="A225" s="84"/>
      <c r="B225" s="84"/>
      <c r="C225" s="84"/>
      <c r="D225" s="84"/>
      <c r="E225" s="84"/>
      <c r="F225" s="84"/>
      <c r="G225" s="84"/>
      <c r="H225" s="84"/>
      <c r="I225" s="84"/>
      <c r="J225" s="84"/>
      <c r="K225" s="84"/>
      <c r="L225" s="84"/>
      <c r="M225" s="84"/>
      <c r="N225" s="84"/>
      <c r="O225" s="84"/>
      <c r="P225" s="84"/>
      <c r="Q225" s="84"/>
      <c r="R225" s="84"/>
      <c r="S225" s="84"/>
      <c r="T225" s="84"/>
      <c r="U225" s="84"/>
      <c r="V225" s="84"/>
      <c r="W225" s="84"/>
      <c r="X225" s="84"/>
      <c r="Y225" s="84"/>
      <c r="Z225" s="84"/>
    </row>
    <row r="226" ht="15.75" customHeight="1">
      <c r="A226" s="84"/>
      <c r="B226" s="84"/>
      <c r="C226" s="84"/>
      <c r="D226" s="84"/>
      <c r="E226" s="84"/>
      <c r="F226" s="84"/>
      <c r="G226" s="84"/>
      <c r="H226" s="84"/>
      <c r="I226" s="84"/>
      <c r="J226" s="84"/>
      <c r="K226" s="84"/>
      <c r="L226" s="84"/>
      <c r="M226" s="84"/>
      <c r="N226" s="84"/>
      <c r="O226" s="84"/>
      <c r="P226" s="84"/>
      <c r="Q226" s="84"/>
      <c r="R226" s="84"/>
      <c r="S226" s="84"/>
      <c r="T226" s="84"/>
      <c r="U226" s="84"/>
      <c r="V226" s="84"/>
      <c r="W226" s="84"/>
      <c r="X226" s="84"/>
      <c r="Y226" s="84"/>
      <c r="Z226" s="84"/>
    </row>
    <row r="227" ht="15.75" customHeight="1">
      <c r="A227" s="84"/>
      <c r="B227" s="84"/>
      <c r="C227" s="84"/>
      <c r="D227" s="84"/>
      <c r="E227" s="84"/>
      <c r="F227" s="84"/>
      <c r="G227" s="84"/>
      <c r="H227" s="84"/>
      <c r="I227" s="84"/>
      <c r="J227" s="84"/>
      <c r="K227" s="84"/>
      <c r="L227" s="84"/>
      <c r="M227" s="84"/>
      <c r="N227" s="84"/>
      <c r="O227" s="84"/>
      <c r="P227" s="84"/>
      <c r="Q227" s="84"/>
      <c r="R227" s="84"/>
      <c r="S227" s="84"/>
      <c r="T227" s="84"/>
      <c r="U227" s="84"/>
      <c r="V227" s="84"/>
      <c r="W227" s="84"/>
      <c r="X227" s="84"/>
      <c r="Y227" s="84"/>
      <c r="Z227" s="84"/>
    </row>
    <row r="228" ht="15.75" customHeight="1">
      <c r="A228" s="84"/>
      <c r="B228" s="84"/>
      <c r="C228" s="84"/>
      <c r="D228" s="84"/>
      <c r="E228" s="84"/>
      <c r="F228" s="84"/>
      <c r="G228" s="84"/>
      <c r="H228" s="84"/>
      <c r="I228" s="84"/>
      <c r="J228" s="84"/>
      <c r="K228" s="84"/>
      <c r="L228" s="84"/>
      <c r="M228" s="84"/>
      <c r="N228" s="84"/>
      <c r="O228" s="84"/>
      <c r="P228" s="84"/>
      <c r="Q228" s="84"/>
      <c r="R228" s="84"/>
      <c r="S228" s="84"/>
      <c r="T228" s="84"/>
      <c r="U228" s="84"/>
      <c r="V228" s="84"/>
      <c r="W228" s="84"/>
      <c r="X228" s="84"/>
      <c r="Y228" s="84"/>
      <c r="Z228" s="84"/>
    </row>
    <row r="229" ht="15.75" customHeight="1">
      <c r="A229" s="84"/>
      <c r="B229" s="84"/>
      <c r="C229" s="84"/>
      <c r="D229" s="84"/>
      <c r="E229" s="84"/>
      <c r="F229" s="84"/>
      <c r="G229" s="84"/>
      <c r="H229" s="84"/>
      <c r="I229" s="84"/>
      <c r="J229" s="84"/>
      <c r="K229" s="84"/>
      <c r="L229" s="84"/>
      <c r="M229" s="84"/>
      <c r="N229" s="84"/>
      <c r="O229" s="84"/>
      <c r="P229" s="84"/>
      <c r="Q229" s="84"/>
      <c r="R229" s="84"/>
      <c r="S229" s="84"/>
      <c r="T229" s="84"/>
      <c r="U229" s="84"/>
      <c r="V229" s="84"/>
      <c r="W229" s="84"/>
      <c r="X229" s="84"/>
      <c r="Y229" s="84"/>
      <c r="Z229" s="84"/>
    </row>
    <row r="230" ht="15.75" customHeight="1">
      <c r="A230" s="84"/>
      <c r="B230" s="84"/>
      <c r="C230" s="84"/>
      <c r="D230" s="84"/>
      <c r="E230" s="84"/>
      <c r="F230" s="84"/>
      <c r="G230" s="84"/>
      <c r="H230" s="84"/>
      <c r="I230" s="84"/>
      <c r="J230" s="84"/>
      <c r="K230" s="84"/>
      <c r="L230" s="84"/>
      <c r="M230" s="84"/>
      <c r="N230" s="84"/>
      <c r="O230" s="84"/>
      <c r="P230" s="84"/>
      <c r="Q230" s="84"/>
      <c r="R230" s="84"/>
      <c r="S230" s="84"/>
      <c r="T230" s="84"/>
      <c r="U230" s="84"/>
      <c r="V230" s="84"/>
      <c r="W230" s="84"/>
      <c r="X230" s="84"/>
      <c r="Y230" s="84"/>
      <c r="Z230" s="84"/>
    </row>
    <row r="231" ht="15.75" customHeight="1">
      <c r="A231" s="84"/>
      <c r="B231" s="84"/>
      <c r="C231" s="84"/>
      <c r="D231" s="84"/>
      <c r="E231" s="84"/>
      <c r="F231" s="84"/>
      <c r="G231" s="84"/>
      <c r="H231" s="84"/>
      <c r="I231" s="84"/>
      <c r="J231" s="84"/>
      <c r="K231" s="84"/>
      <c r="L231" s="84"/>
      <c r="M231" s="84"/>
      <c r="N231" s="84"/>
      <c r="O231" s="84"/>
      <c r="P231" s="84"/>
      <c r="Q231" s="84"/>
      <c r="R231" s="84"/>
      <c r="S231" s="84"/>
      <c r="T231" s="84"/>
      <c r="U231" s="84"/>
      <c r="V231" s="84"/>
      <c r="W231" s="84"/>
      <c r="X231" s="84"/>
      <c r="Y231" s="84"/>
      <c r="Z231" s="84"/>
    </row>
    <row r="232" ht="15.75" customHeight="1">
      <c r="A232" s="84"/>
      <c r="B232" s="84"/>
      <c r="C232" s="84"/>
      <c r="D232" s="84"/>
      <c r="E232" s="84"/>
      <c r="F232" s="84"/>
      <c r="G232" s="84"/>
      <c r="H232" s="84"/>
      <c r="I232" s="84"/>
      <c r="J232" s="84"/>
      <c r="K232" s="84"/>
      <c r="L232" s="84"/>
      <c r="M232" s="84"/>
      <c r="N232" s="84"/>
      <c r="O232" s="84"/>
      <c r="P232" s="84"/>
      <c r="Q232" s="84"/>
      <c r="R232" s="84"/>
      <c r="S232" s="84"/>
      <c r="T232" s="84"/>
      <c r="U232" s="84"/>
      <c r="V232" s="84"/>
      <c r="W232" s="84"/>
      <c r="X232" s="84"/>
      <c r="Y232" s="84"/>
      <c r="Z232" s="84"/>
    </row>
    <row r="233" ht="15.75" customHeight="1">
      <c r="A233" s="84"/>
      <c r="B233" s="84"/>
      <c r="C233" s="84"/>
      <c r="D233" s="84"/>
      <c r="E233" s="84"/>
      <c r="F233" s="84"/>
      <c r="G233" s="84"/>
      <c r="H233" s="84"/>
      <c r="I233" s="84"/>
      <c r="J233" s="84"/>
      <c r="K233" s="84"/>
      <c r="L233" s="84"/>
      <c r="M233" s="84"/>
      <c r="N233" s="84"/>
      <c r="O233" s="84"/>
      <c r="P233" s="84"/>
      <c r="Q233" s="84"/>
      <c r="R233" s="84"/>
      <c r="S233" s="84"/>
      <c r="T233" s="84"/>
      <c r="U233" s="84"/>
      <c r="V233" s="84"/>
      <c r="W233" s="84"/>
      <c r="X233" s="84"/>
      <c r="Y233" s="84"/>
      <c r="Z233" s="84"/>
    </row>
    <row r="234" ht="15.75" customHeight="1">
      <c r="A234" s="84"/>
      <c r="B234" s="84"/>
      <c r="C234" s="84"/>
      <c r="D234" s="84"/>
      <c r="E234" s="84"/>
      <c r="F234" s="84"/>
      <c r="G234" s="84"/>
      <c r="H234" s="84"/>
      <c r="I234" s="84"/>
      <c r="J234" s="84"/>
      <c r="K234" s="84"/>
      <c r="L234" s="84"/>
      <c r="M234" s="84"/>
      <c r="N234" s="84"/>
      <c r="O234" s="84"/>
      <c r="P234" s="84"/>
      <c r="Q234" s="84"/>
      <c r="R234" s="84"/>
      <c r="S234" s="84"/>
      <c r="T234" s="84"/>
      <c r="U234" s="84"/>
      <c r="V234" s="84"/>
      <c r="W234" s="84"/>
      <c r="X234" s="84"/>
      <c r="Y234" s="84"/>
      <c r="Z234" s="84"/>
    </row>
    <row r="235" ht="15.75" customHeight="1">
      <c r="A235" s="84"/>
      <c r="B235" s="84"/>
      <c r="C235" s="84"/>
      <c r="D235" s="84"/>
      <c r="E235" s="84"/>
      <c r="F235" s="84"/>
      <c r="G235" s="84"/>
      <c r="H235" s="84"/>
      <c r="I235" s="84"/>
      <c r="J235" s="84"/>
      <c r="K235" s="84"/>
      <c r="L235" s="84"/>
      <c r="M235" s="84"/>
      <c r="N235" s="84"/>
      <c r="O235" s="84"/>
      <c r="P235" s="84"/>
      <c r="Q235" s="84"/>
      <c r="R235" s="84"/>
      <c r="S235" s="84"/>
      <c r="T235" s="84"/>
      <c r="U235" s="84"/>
      <c r="V235" s="84"/>
      <c r="W235" s="84"/>
      <c r="X235" s="84"/>
      <c r="Y235" s="84"/>
      <c r="Z235" s="84"/>
    </row>
    <row r="236" ht="15.75" customHeight="1">
      <c r="A236" s="84"/>
      <c r="B236" s="84"/>
      <c r="C236" s="84"/>
      <c r="D236" s="84"/>
      <c r="E236" s="84"/>
      <c r="F236" s="84"/>
      <c r="G236" s="84"/>
      <c r="H236" s="84"/>
      <c r="I236" s="84"/>
      <c r="J236" s="84"/>
      <c r="K236" s="84"/>
      <c r="L236" s="84"/>
      <c r="M236" s="84"/>
      <c r="N236" s="84"/>
      <c r="O236" s="84"/>
      <c r="P236" s="84"/>
      <c r="Q236" s="84"/>
      <c r="R236" s="84"/>
      <c r="S236" s="84"/>
      <c r="T236" s="84"/>
      <c r="U236" s="84"/>
      <c r="V236" s="84"/>
      <c r="W236" s="84"/>
      <c r="X236" s="84"/>
      <c r="Y236" s="84"/>
      <c r="Z236" s="84"/>
    </row>
    <row r="237" ht="15.75" customHeight="1">
      <c r="A237" s="84"/>
      <c r="B237" s="84"/>
      <c r="C237" s="84"/>
      <c r="D237" s="84"/>
      <c r="E237" s="84"/>
      <c r="F237" s="84"/>
      <c r="G237" s="84"/>
      <c r="H237" s="84"/>
      <c r="I237" s="84"/>
      <c r="J237" s="84"/>
      <c r="K237" s="84"/>
      <c r="L237" s="84"/>
      <c r="M237" s="84"/>
      <c r="N237" s="84"/>
      <c r="O237" s="84"/>
      <c r="P237" s="84"/>
      <c r="Q237" s="84"/>
      <c r="R237" s="84"/>
      <c r="S237" s="84"/>
      <c r="T237" s="84"/>
      <c r="U237" s="84"/>
      <c r="V237" s="84"/>
      <c r="W237" s="84"/>
      <c r="X237" s="84"/>
      <c r="Y237" s="84"/>
      <c r="Z237" s="84"/>
    </row>
    <row r="238" ht="15.75" customHeight="1">
      <c r="A238" s="84"/>
      <c r="B238" s="84"/>
      <c r="C238" s="84"/>
      <c r="D238" s="84"/>
      <c r="E238" s="84"/>
      <c r="F238" s="84"/>
      <c r="G238" s="84"/>
      <c r="H238" s="84"/>
      <c r="I238" s="84"/>
      <c r="J238" s="84"/>
      <c r="K238" s="84"/>
      <c r="L238" s="84"/>
      <c r="M238" s="84"/>
      <c r="N238" s="84"/>
      <c r="O238" s="84"/>
      <c r="P238" s="84"/>
      <c r="Q238" s="84"/>
      <c r="R238" s="84"/>
      <c r="S238" s="84"/>
      <c r="T238" s="84"/>
      <c r="U238" s="84"/>
      <c r="V238" s="84"/>
      <c r="W238" s="84"/>
      <c r="X238" s="84"/>
      <c r="Y238" s="84"/>
      <c r="Z238" s="84"/>
    </row>
    <row r="239" ht="15.75" customHeight="1">
      <c r="A239" s="84"/>
      <c r="B239" s="84"/>
      <c r="C239" s="84"/>
      <c r="D239" s="84"/>
      <c r="E239" s="84"/>
      <c r="F239" s="84"/>
      <c r="G239" s="84"/>
      <c r="H239" s="84"/>
      <c r="I239" s="84"/>
      <c r="J239" s="84"/>
      <c r="K239" s="84"/>
      <c r="L239" s="84"/>
      <c r="M239" s="84"/>
      <c r="N239" s="84"/>
      <c r="O239" s="84"/>
      <c r="P239" s="84"/>
      <c r="Q239" s="84"/>
      <c r="R239" s="84"/>
      <c r="S239" s="84"/>
      <c r="T239" s="84"/>
      <c r="U239" s="84"/>
      <c r="V239" s="84"/>
      <c r="W239" s="84"/>
      <c r="X239" s="84"/>
      <c r="Y239" s="84"/>
      <c r="Z239" s="84"/>
    </row>
    <row r="240" ht="15.75" customHeight="1">
      <c r="A240" s="84"/>
      <c r="B240" s="84"/>
      <c r="C240" s="84"/>
      <c r="D240" s="84"/>
      <c r="E240" s="84"/>
      <c r="F240" s="84"/>
      <c r="G240" s="84"/>
      <c r="H240" s="84"/>
      <c r="I240" s="84"/>
      <c r="J240" s="84"/>
      <c r="K240" s="84"/>
      <c r="L240" s="84"/>
      <c r="M240" s="84"/>
      <c r="N240" s="84"/>
      <c r="O240" s="84"/>
      <c r="P240" s="84"/>
      <c r="Q240" s="84"/>
      <c r="R240" s="84"/>
      <c r="S240" s="84"/>
      <c r="T240" s="84"/>
      <c r="U240" s="84"/>
      <c r="V240" s="84"/>
      <c r="W240" s="84"/>
      <c r="X240" s="84"/>
      <c r="Y240" s="84"/>
      <c r="Z240" s="84"/>
    </row>
    <row r="241" ht="15.75" customHeight="1">
      <c r="A241" s="84"/>
      <c r="B241" s="84"/>
      <c r="C241" s="84"/>
      <c r="D241" s="84"/>
      <c r="E241" s="84"/>
      <c r="F241" s="84"/>
      <c r="G241" s="84"/>
      <c r="H241" s="84"/>
      <c r="I241" s="84"/>
      <c r="J241" s="84"/>
      <c r="K241" s="84"/>
      <c r="L241" s="84"/>
      <c r="M241" s="84"/>
      <c r="N241" s="84"/>
      <c r="O241" s="84"/>
      <c r="P241" s="84"/>
      <c r="Q241" s="84"/>
      <c r="R241" s="84"/>
      <c r="S241" s="84"/>
      <c r="T241" s="84"/>
      <c r="U241" s="84"/>
      <c r="V241" s="84"/>
      <c r="W241" s="84"/>
      <c r="X241" s="84"/>
      <c r="Y241" s="84"/>
      <c r="Z241" s="84"/>
    </row>
    <row r="242" ht="15.75" customHeight="1">
      <c r="A242" s="84"/>
      <c r="B242" s="84"/>
      <c r="C242" s="84"/>
      <c r="D242" s="84"/>
      <c r="E242" s="84"/>
      <c r="F242" s="84"/>
      <c r="G242" s="84"/>
      <c r="H242" s="84"/>
      <c r="I242" s="84"/>
      <c r="J242" s="84"/>
      <c r="K242" s="84"/>
      <c r="L242" s="84"/>
      <c r="M242" s="84"/>
      <c r="N242" s="84"/>
      <c r="O242" s="84"/>
      <c r="P242" s="84"/>
      <c r="Q242" s="84"/>
      <c r="R242" s="84"/>
      <c r="S242" s="84"/>
      <c r="T242" s="84"/>
      <c r="U242" s="84"/>
      <c r="V242" s="84"/>
      <c r="W242" s="84"/>
      <c r="X242" s="84"/>
      <c r="Y242" s="84"/>
      <c r="Z242" s="84"/>
    </row>
    <row r="243" ht="15.75" customHeight="1">
      <c r="A243" s="84"/>
      <c r="B243" s="84"/>
      <c r="C243" s="84"/>
      <c r="D243" s="84"/>
      <c r="E243" s="84"/>
      <c r="F243" s="84"/>
      <c r="G243" s="84"/>
      <c r="H243" s="84"/>
      <c r="I243" s="84"/>
      <c r="J243" s="84"/>
      <c r="K243" s="84"/>
      <c r="L243" s="84"/>
      <c r="M243" s="84"/>
      <c r="N243" s="84"/>
      <c r="O243" s="84"/>
      <c r="P243" s="84"/>
      <c r="Q243" s="84"/>
      <c r="R243" s="84"/>
      <c r="S243" s="84"/>
      <c r="T243" s="84"/>
      <c r="U243" s="84"/>
      <c r="V243" s="84"/>
      <c r="W243" s="84"/>
      <c r="X243" s="84"/>
      <c r="Y243" s="84"/>
      <c r="Z243" s="84"/>
    </row>
    <row r="244" ht="15.75" customHeight="1">
      <c r="A244" s="84"/>
      <c r="B244" s="84"/>
      <c r="C244" s="84"/>
      <c r="D244" s="84"/>
      <c r="E244" s="84"/>
      <c r="F244" s="84"/>
      <c r="G244" s="84"/>
      <c r="H244" s="84"/>
      <c r="I244" s="84"/>
      <c r="J244" s="84"/>
      <c r="K244" s="84"/>
      <c r="L244" s="84"/>
      <c r="M244" s="84"/>
      <c r="N244" s="84"/>
      <c r="O244" s="84"/>
      <c r="P244" s="84"/>
      <c r="Q244" s="84"/>
      <c r="R244" s="84"/>
      <c r="S244" s="84"/>
      <c r="T244" s="84"/>
      <c r="U244" s="84"/>
      <c r="V244" s="84"/>
      <c r="W244" s="84"/>
      <c r="X244" s="84"/>
      <c r="Y244" s="84"/>
      <c r="Z244" s="84"/>
    </row>
    <row r="245" ht="15.75" customHeight="1">
      <c r="A245" s="84"/>
      <c r="B245" s="84"/>
      <c r="C245" s="84"/>
      <c r="D245" s="84"/>
      <c r="E245" s="84"/>
      <c r="F245" s="84"/>
      <c r="G245" s="84"/>
      <c r="H245" s="84"/>
      <c r="I245" s="84"/>
      <c r="J245" s="84"/>
      <c r="K245" s="84"/>
      <c r="L245" s="84"/>
      <c r="M245" s="84"/>
      <c r="N245" s="84"/>
      <c r="O245" s="84"/>
      <c r="P245" s="84"/>
      <c r="Q245" s="84"/>
      <c r="R245" s="84"/>
      <c r="S245" s="84"/>
      <c r="T245" s="84"/>
      <c r="U245" s="84"/>
      <c r="V245" s="84"/>
      <c r="W245" s="84"/>
      <c r="X245" s="84"/>
      <c r="Y245" s="84"/>
      <c r="Z245" s="84"/>
    </row>
    <row r="246" ht="15.75" customHeight="1">
      <c r="A246" s="84"/>
      <c r="B246" s="84"/>
      <c r="C246" s="84"/>
      <c r="D246" s="84"/>
      <c r="E246" s="84"/>
      <c r="F246" s="84"/>
      <c r="G246" s="84"/>
      <c r="H246" s="84"/>
      <c r="I246" s="84"/>
      <c r="J246" s="84"/>
      <c r="K246" s="84"/>
      <c r="L246" s="84"/>
      <c r="M246" s="84"/>
      <c r="N246" s="84"/>
      <c r="O246" s="84"/>
      <c r="P246" s="84"/>
      <c r="Q246" s="84"/>
      <c r="R246" s="84"/>
      <c r="S246" s="84"/>
      <c r="T246" s="84"/>
      <c r="U246" s="84"/>
      <c r="V246" s="84"/>
      <c r="W246" s="84"/>
      <c r="X246" s="84"/>
      <c r="Y246" s="84"/>
      <c r="Z246" s="84"/>
    </row>
    <row r="247" ht="15.75" customHeight="1">
      <c r="A247" s="84"/>
      <c r="B247" s="84"/>
      <c r="C247" s="84"/>
      <c r="D247" s="84"/>
      <c r="E247" s="84"/>
      <c r="F247" s="84"/>
      <c r="G247" s="84"/>
      <c r="H247" s="84"/>
      <c r="I247" s="84"/>
      <c r="J247" s="84"/>
      <c r="K247" s="84"/>
      <c r="L247" s="84"/>
      <c r="M247" s="84"/>
      <c r="N247" s="84"/>
      <c r="O247" s="84"/>
      <c r="P247" s="84"/>
      <c r="Q247" s="84"/>
      <c r="R247" s="84"/>
      <c r="S247" s="84"/>
      <c r="T247" s="84"/>
      <c r="U247" s="84"/>
      <c r="V247" s="84"/>
      <c r="W247" s="84"/>
      <c r="X247" s="84"/>
      <c r="Y247" s="84"/>
      <c r="Z247" s="84"/>
    </row>
    <row r="248" ht="15.75" customHeight="1">
      <c r="A248" s="84"/>
      <c r="B248" s="84"/>
      <c r="C248" s="84"/>
      <c r="D248" s="84"/>
      <c r="E248" s="84"/>
      <c r="F248" s="84"/>
      <c r="G248" s="84"/>
      <c r="H248" s="84"/>
      <c r="I248" s="84"/>
      <c r="J248" s="84"/>
      <c r="K248" s="84"/>
      <c r="L248" s="84"/>
      <c r="M248" s="84"/>
      <c r="N248" s="84"/>
      <c r="O248" s="84"/>
      <c r="P248" s="84"/>
      <c r="Q248" s="84"/>
      <c r="R248" s="84"/>
      <c r="S248" s="84"/>
      <c r="T248" s="84"/>
      <c r="U248" s="84"/>
      <c r="V248" s="84"/>
      <c r="W248" s="84"/>
      <c r="X248" s="84"/>
      <c r="Y248" s="84"/>
      <c r="Z248" s="84"/>
    </row>
    <row r="249" ht="15.75" customHeight="1">
      <c r="A249" s="84"/>
      <c r="B249" s="84"/>
      <c r="C249" s="84"/>
      <c r="D249" s="84"/>
      <c r="E249" s="84"/>
      <c r="F249" s="84"/>
      <c r="G249" s="84"/>
      <c r="H249" s="84"/>
      <c r="I249" s="84"/>
      <c r="J249" s="84"/>
      <c r="K249" s="84"/>
      <c r="L249" s="84"/>
      <c r="M249" s="84"/>
      <c r="N249" s="84"/>
      <c r="O249" s="84"/>
      <c r="P249" s="84"/>
      <c r="Q249" s="84"/>
      <c r="R249" s="84"/>
      <c r="S249" s="84"/>
      <c r="T249" s="84"/>
      <c r="U249" s="84"/>
      <c r="V249" s="84"/>
      <c r="W249" s="84"/>
      <c r="X249" s="84"/>
      <c r="Y249" s="84"/>
      <c r="Z249" s="84"/>
    </row>
    <row r="250" ht="15.75" customHeight="1">
      <c r="A250" s="84"/>
      <c r="B250" s="84"/>
      <c r="C250" s="84"/>
      <c r="D250" s="84"/>
      <c r="E250" s="84"/>
      <c r="F250" s="84"/>
      <c r="G250" s="84"/>
      <c r="H250" s="84"/>
      <c r="I250" s="84"/>
      <c r="J250" s="84"/>
      <c r="K250" s="84"/>
      <c r="L250" s="84"/>
      <c r="M250" s="84"/>
      <c r="N250" s="84"/>
      <c r="O250" s="84"/>
      <c r="P250" s="84"/>
      <c r="Q250" s="84"/>
      <c r="R250" s="84"/>
      <c r="S250" s="84"/>
      <c r="T250" s="84"/>
      <c r="U250" s="84"/>
      <c r="V250" s="84"/>
      <c r="W250" s="84"/>
      <c r="X250" s="84"/>
      <c r="Y250" s="84"/>
      <c r="Z250" s="84"/>
    </row>
    <row r="251" ht="15.75" customHeight="1">
      <c r="A251" s="84"/>
      <c r="B251" s="84"/>
      <c r="C251" s="84"/>
      <c r="D251" s="84"/>
      <c r="E251" s="84"/>
      <c r="F251" s="84"/>
      <c r="G251" s="84"/>
      <c r="H251" s="84"/>
      <c r="I251" s="84"/>
      <c r="J251" s="84"/>
      <c r="K251" s="84"/>
      <c r="L251" s="84"/>
      <c r="M251" s="84"/>
      <c r="N251" s="84"/>
      <c r="O251" s="84"/>
      <c r="P251" s="84"/>
      <c r="Q251" s="84"/>
      <c r="R251" s="84"/>
      <c r="S251" s="84"/>
      <c r="T251" s="84"/>
      <c r="U251" s="84"/>
      <c r="V251" s="84"/>
      <c r="W251" s="84"/>
      <c r="X251" s="84"/>
      <c r="Y251" s="84"/>
      <c r="Z251" s="84"/>
    </row>
    <row r="252" ht="15.75" customHeight="1">
      <c r="A252" s="84"/>
      <c r="B252" s="84"/>
      <c r="C252" s="84"/>
      <c r="D252" s="84"/>
      <c r="E252" s="84"/>
      <c r="F252" s="84"/>
      <c r="G252" s="84"/>
      <c r="H252" s="84"/>
      <c r="I252" s="84"/>
      <c r="J252" s="84"/>
      <c r="K252" s="84"/>
      <c r="L252" s="84"/>
      <c r="M252" s="84"/>
      <c r="N252" s="84"/>
      <c r="O252" s="84"/>
      <c r="P252" s="84"/>
      <c r="Q252" s="84"/>
      <c r="R252" s="84"/>
      <c r="S252" s="84"/>
      <c r="T252" s="84"/>
      <c r="U252" s="84"/>
      <c r="V252" s="84"/>
      <c r="W252" s="84"/>
      <c r="X252" s="84"/>
      <c r="Y252" s="84"/>
      <c r="Z252" s="84"/>
    </row>
    <row r="253" ht="15.75" customHeight="1">
      <c r="A253" s="84"/>
      <c r="B253" s="84"/>
      <c r="C253" s="84"/>
      <c r="D253" s="84"/>
      <c r="E253" s="84"/>
      <c r="F253" s="84"/>
      <c r="G253" s="84"/>
      <c r="H253" s="84"/>
      <c r="I253" s="84"/>
      <c r="J253" s="84"/>
      <c r="K253" s="84"/>
      <c r="L253" s="84"/>
      <c r="M253" s="84"/>
      <c r="N253" s="84"/>
      <c r="O253" s="84"/>
      <c r="P253" s="84"/>
      <c r="Q253" s="84"/>
      <c r="R253" s="84"/>
      <c r="S253" s="84"/>
      <c r="T253" s="84"/>
      <c r="U253" s="84"/>
      <c r="V253" s="84"/>
      <c r="W253" s="84"/>
      <c r="X253" s="84"/>
      <c r="Y253" s="84"/>
      <c r="Z253" s="84"/>
    </row>
    <row r="254" ht="15.75" customHeight="1">
      <c r="A254" s="84"/>
      <c r="B254" s="84"/>
      <c r="C254" s="84"/>
      <c r="D254" s="84"/>
      <c r="E254" s="84"/>
      <c r="F254" s="84"/>
      <c r="G254" s="84"/>
      <c r="H254" s="84"/>
      <c r="I254" s="84"/>
      <c r="J254" s="84"/>
      <c r="K254" s="84"/>
      <c r="L254" s="84"/>
      <c r="M254" s="84"/>
      <c r="N254" s="84"/>
      <c r="O254" s="84"/>
      <c r="P254" s="84"/>
      <c r="Q254" s="84"/>
      <c r="R254" s="84"/>
      <c r="S254" s="84"/>
      <c r="T254" s="84"/>
      <c r="U254" s="84"/>
      <c r="V254" s="84"/>
      <c r="W254" s="84"/>
      <c r="X254" s="84"/>
      <c r="Y254" s="84"/>
      <c r="Z254" s="84"/>
    </row>
    <row r="255" ht="15.75" customHeight="1">
      <c r="A255" s="84"/>
      <c r="B255" s="84"/>
      <c r="C255" s="84"/>
      <c r="D255" s="84"/>
      <c r="E255" s="84"/>
      <c r="F255" s="84"/>
      <c r="G255" s="84"/>
      <c r="H255" s="84"/>
      <c r="I255" s="84"/>
      <c r="J255" s="84"/>
      <c r="K255" s="84"/>
      <c r="L255" s="84"/>
      <c r="M255" s="84"/>
      <c r="N255" s="84"/>
      <c r="O255" s="84"/>
      <c r="P255" s="84"/>
      <c r="Q255" s="84"/>
      <c r="R255" s="84"/>
      <c r="S255" s="84"/>
      <c r="T255" s="84"/>
      <c r="U255" s="84"/>
      <c r="V255" s="84"/>
      <c r="W255" s="84"/>
      <c r="X255" s="84"/>
      <c r="Y255" s="84"/>
      <c r="Z255" s="84"/>
    </row>
    <row r="256" ht="15.75" customHeight="1">
      <c r="A256" s="84"/>
      <c r="B256" s="84"/>
      <c r="C256" s="84"/>
      <c r="D256" s="84"/>
      <c r="E256" s="84"/>
      <c r="F256" s="84"/>
      <c r="G256" s="84"/>
      <c r="H256" s="84"/>
      <c r="I256" s="84"/>
      <c r="J256" s="84"/>
      <c r="K256" s="84"/>
      <c r="L256" s="84"/>
      <c r="M256" s="84"/>
      <c r="N256" s="84"/>
      <c r="O256" s="84"/>
      <c r="P256" s="84"/>
      <c r="Q256" s="84"/>
      <c r="R256" s="84"/>
      <c r="S256" s="84"/>
      <c r="T256" s="84"/>
      <c r="U256" s="84"/>
      <c r="V256" s="84"/>
      <c r="W256" s="84"/>
      <c r="X256" s="84"/>
      <c r="Y256" s="84"/>
      <c r="Z256" s="84"/>
    </row>
    <row r="257" ht="15.75" customHeight="1">
      <c r="A257" s="84"/>
      <c r="B257" s="84"/>
      <c r="C257" s="84"/>
      <c r="D257" s="84"/>
      <c r="E257" s="84"/>
      <c r="F257" s="84"/>
      <c r="G257" s="84"/>
      <c r="H257" s="84"/>
      <c r="I257" s="84"/>
      <c r="J257" s="84"/>
      <c r="K257" s="84"/>
      <c r="L257" s="84"/>
      <c r="M257" s="84"/>
      <c r="N257" s="84"/>
      <c r="O257" s="84"/>
      <c r="P257" s="84"/>
      <c r="Q257" s="84"/>
      <c r="R257" s="84"/>
      <c r="S257" s="84"/>
      <c r="T257" s="84"/>
      <c r="U257" s="84"/>
      <c r="V257" s="84"/>
      <c r="W257" s="84"/>
      <c r="X257" s="84"/>
      <c r="Y257" s="84"/>
      <c r="Z257" s="84"/>
    </row>
    <row r="258" ht="15.75" customHeight="1">
      <c r="A258" s="84"/>
      <c r="B258" s="84"/>
      <c r="C258" s="84"/>
      <c r="D258" s="84"/>
      <c r="E258" s="84"/>
      <c r="F258" s="84"/>
      <c r="G258" s="84"/>
      <c r="H258" s="84"/>
      <c r="I258" s="84"/>
      <c r="J258" s="84"/>
      <c r="K258" s="84"/>
      <c r="L258" s="84"/>
      <c r="M258" s="84"/>
      <c r="N258" s="84"/>
      <c r="O258" s="84"/>
      <c r="P258" s="84"/>
      <c r="Q258" s="84"/>
      <c r="R258" s="84"/>
      <c r="S258" s="84"/>
      <c r="T258" s="84"/>
      <c r="U258" s="84"/>
      <c r="V258" s="84"/>
      <c r="W258" s="84"/>
      <c r="X258" s="84"/>
      <c r="Y258" s="84"/>
      <c r="Z258" s="84"/>
    </row>
    <row r="259" ht="15.75" customHeight="1">
      <c r="A259" s="84"/>
      <c r="B259" s="84"/>
      <c r="C259" s="84"/>
      <c r="D259" s="84"/>
      <c r="E259" s="84"/>
      <c r="F259" s="84"/>
      <c r="G259" s="84"/>
      <c r="H259" s="84"/>
      <c r="I259" s="84"/>
      <c r="J259" s="84"/>
      <c r="K259" s="84"/>
      <c r="L259" s="84"/>
      <c r="M259" s="84"/>
      <c r="N259" s="84"/>
      <c r="O259" s="84"/>
      <c r="P259" s="84"/>
      <c r="Q259" s="84"/>
      <c r="R259" s="84"/>
      <c r="S259" s="84"/>
      <c r="T259" s="84"/>
      <c r="U259" s="84"/>
      <c r="V259" s="84"/>
      <c r="W259" s="84"/>
      <c r="X259" s="84"/>
      <c r="Y259" s="84"/>
      <c r="Z259" s="84"/>
    </row>
    <row r="260" ht="15.75" customHeight="1">
      <c r="A260" s="84"/>
      <c r="B260" s="84"/>
      <c r="C260" s="84"/>
      <c r="D260" s="84"/>
      <c r="E260" s="84"/>
      <c r="F260" s="84"/>
      <c r="G260" s="84"/>
      <c r="H260" s="84"/>
      <c r="I260" s="84"/>
      <c r="J260" s="84"/>
      <c r="K260" s="84"/>
      <c r="L260" s="84"/>
      <c r="M260" s="84"/>
      <c r="N260" s="84"/>
      <c r="O260" s="84"/>
      <c r="P260" s="84"/>
      <c r="Q260" s="84"/>
      <c r="R260" s="84"/>
      <c r="S260" s="84"/>
      <c r="T260" s="84"/>
      <c r="U260" s="84"/>
      <c r="V260" s="84"/>
      <c r="W260" s="84"/>
      <c r="X260" s="84"/>
      <c r="Y260" s="84"/>
      <c r="Z260" s="84"/>
    </row>
    <row r="261" ht="15.75" customHeight="1">
      <c r="A261" s="84"/>
      <c r="B261" s="84"/>
      <c r="C261" s="84"/>
      <c r="D261" s="84"/>
      <c r="E261" s="84"/>
      <c r="F261" s="84"/>
      <c r="G261" s="84"/>
      <c r="H261" s="84"/>
      <c r="I261" s="84"/>
      <c r="J261" s="84"/>
      <c r="K261" s="84"/>
      <c r="L261" s="84"/>
      <c r="M261" s="84"/>
      <c r="N261" s="84"/>
      <c r="O261" s="84"/>
      <c r="P261" s="84"/>
      <c r="Q261" s="84"/>
      <c r="R261" s="84"/>
      <c r="S261" s="84"/>
      <c r="T261" s="84"/>
      <c r="U261" s="84"/>
      <c r="V261" s="84"/>
      <c r="W261" s="84"/>
      <c r="X261" s="84"/>
      <c r="Y261" s="84"/>
      <c r="Z261" s="84"/>
    </row>
    <row r="262" ht="15.75" customHeight="1">
      <c r="A262" s="84"/>
      <c r="B262" s="84"/>
      <c r="C262" s="84"/>
      <c r="D262" s="84"/>
      <c r="E262" s="84"/>
      <c r="F262" s="84"/>
      <c r="G262" s="84"/>
      <c r="H262" s="84"/>
      <c r="I262" s="84"/>
      <c r="J262" s="84"/>
      <c r="K262" s="84"/>
      <c r="L262" s="84"/>
      <c r="M262" s="84"/>
      <c r="N262" s="84"/>
      <c r="O262" s="84"/>
      <c r="P262" s="84"/>
      <c r="Q262" s="84"/>
      <c r="R262" s="84"/>
      <c r="S262" s="84"/>
      <c r="T262" s="84"/>
      <c r="U262" s="84"/>
      <c r="V262" s="84"/>
      <c r="W262" s="84"/>
      <c r="X262" s="84"/>
      <c r="Y262" s="84"/>
      <c r="Z262" s="84"/>
    </row>
    <row r="263" ht="15.75" customHeight="1">
      <c r="A263" s="84"/>
      <c r="B263" s="84"/>
      <c r="C263" s="84"/>
      <c r="D263" s="84"/>
      <c r="E263" s="84"/>
      <c r="F263" s="84"/>
      <c r="G263" s="84"/>
      <c r="H263" s="84"/>
      <c r="I263" s="84"/>
      <c r="J263" s="84"/>
      <c r="K263" s="84"/>
      <c r="L263" s="84"/>
      <c r="M263" s="84"/>
      <c r="N263" s="84"/>
      <c r="O263" s="84"/>
      <c r="P263" s="84"/>
      <c r="Q263" s="84"/>
      <c r="R263" s="84"/>
      <c r="S263" s="84"/>
      <c r="T263" s="84"/>
      <c r="U263" s="84"/>
      <c r="V263" s="84"/>
      <c r="W263" s="84"/>
      <c r="X263" s="84"/>
      <c r="Y263" s="84"/>
      <c r="Z263" s="84"/>
    </row>
    <row r="264" ht="15.75" customHeight="1">
      <c r="A264" s="84"/>
      <c r="B264" s="84"/>
      <c r="C264" s="84"/>
      <c r="D264" s="84"/>
      <c r="E264" s="84"/>
      <c r="F264" s="84"/>
      <c r="G264" s="84"/>
      <c r="H264" s="84"/>
      <c r="I264" s="84"/>
      <c r="J264" s="84"/>
      <c r="K264" s="84"/>
      <c r="L264" s="84"/>
      <c r="M264" s="84"/>
      <c r="N264" s="84"/>
      <c r="O264" s="84"/>
      <c r="P264" s="84"/>
      <c r="Q264" s="84"/>
      <c r="R264" s="84"/>
      <c r="S264" s="84"/>
      <c r="T264" s="84"/>
      <c r="U264" s="84"/>
      <c r="V264" s="84"/>
      <c r="W264" s="84"/>
      <c r="X264" s="84"/>
      <c r="Y264" s="84"/>
      <c r="Z264" s="84"/>
    </row>
    <row r="265" ht="15.75" customHeight="1">
      <c r="A265" s="84"/>
      <c r="B265" s="84"/>
      <c r="C265" s="84"/>
      <c r="D265" s="84"/>
      <c r="E265" s="84"/>
      <c r="F265" s="84"/>
      <c r="G265" s="84"/>
      <c r="H265" s="84"/>
      <c r="I265" s="84"/>
      <c r="J265" s="84"/>
      <c r="K265" s="84"/>
      <c r="L265" s="84"/>
      <c r="M265" s="84"/>
      <c r="N265" s="84"/>
      <c r="O265" s="84"/>
      <c r="P265" s="84"/>
      <c r="Q265" s="84"/>
      <c r="R265" s="84"/>
      <c r="S265" s="84"/>
      <c r="T265" s="84"/>
      <c r="U265" s="84"/>
      <c r="V265" s="84"/>
      <c r="W265" s="84"/>
      <c r="X265" s="84"/>
      <c r="Y265" s="84"/>
      <c r="Z265" s="84"/>
    </row>
    <row r="266" ht="15.75" customHeight="1">
      <c r="A266" s="84"/>
      <c r="B266" s="84"/>
      <c r="C266" s="84"/>
      <c r="D266" s="84"/>
      <c r="E266" s="84"/>
      <c r="F266" s="84"/>
      <c r="G266" s="84"/>
      <c r="H266" s="84"/>
      <c r="I266" s="84"/>
      <c r="J266" s="84"/>
      <c r="K266" s="84"/>
      <c r="L266" s="84"/>
      <c r="M266" s="84"/>
      <c r="N266" s="84"/>
      <c r="O266" s="84"/>
      <c r="P266" s="84"/>
      <c r="Q266" s="84"/>
      <c r="R266" s="84"/>
      <c r="S266" s="84"/>
      <c r="T266" s="84"/>
      <c r="U266" s="84"/>
      <c r="V266" s="84"/>
      <c r="W266" s="84"/>
      <c r="X266" s="84"/>
      <c r="Y266" s="84"/>
      <c r="Z266" s="84"/>
    </row>
    <row r="267" ht="15.75" customHeight="1">
      <c r="A267" s="84"/>
      <c r="B267" s="84"/>
      <c r="C267" s="84"/>
      <c r="D267" s="84"/>
      <c r="E267" s="84"/>
      <c r="F267" s="84"/>
      <c r="G267" s="84"/>
      <c r="H267" s="84"/>
      <c r="I267" s="84"/>
      <c r="J267" s="84"/>
      <c r="K267" s="84"/>
      <c r="L267" s="84"/>
      <c r="M267" s="84"/>
      <c r="N267" s="84"/>
      <c r="O267" s="84"/>
      <c r="P267" s="84"/>
      <c r="Q267" s="84"/>
      <c r="R267" s="84"/>
      <c r="S267" s="84"/>
      <c r="T267" s="84"/>
      <c r="U267" s="84"/>
      <c r="V267" s="84"/>
      <c r="W267" s="84"/>
      <c r="X267" s="84"/>
      <c r="Y267" s="84"/>
      <c r="Z267" s="84"/>
    </row>
    <row r="268" ht="15.75" customHeight="1">
      <c r="A268" s="84"/>
      <c r="B268" s="84"/>
      <c r="C268" s="84"/>
      <c r="D268" s="84"/>
      <c r="E268" s="84"/>
      <c r="F268" s="84"/>
      <c r="G268" s="84"/>
      <c r="H268" s="84"/>
      <c r="I268" s="84"/>
      <c r="J268" s="84"/>
      <c r="K268" s="84"/>
      <c r="L268" s="84"/>
      <c r="M268" s="84"/>
      <c r="N268" s="84"/>
      <c r="O268" s="84"/>
      <c r="P268" s="84"/>
      <c r="Q268" s="84"/>
      <c r="R268" s="84"/>
      <c r="S268" s="84"/>
      <c r="T268" s="84"/>
      <c r="U268" s="84"/>
      <c r="V268" s="84"/>
      <c r="W268" s="84"/>
      <c r="X268" s="84"/>
      <c r="Y268" s="84"/>
      <c r="Z268" s="84"/>
    </row>
    <row r="269" ht="15.75" customHeight="1">
      <c r="A269" s="84"/>
      <c r="B269" s="84"/>
      <c r="C269" s="84"/>
      <c r="D269" s="84"/>
      <c r="E269" s="84"/>
      <c r="F269" s="84"/>
    </row>
    <row r="270" ht="15.75" customHeight="1">
      <c r="A270" s="84"/>
      <c r="B270" s="84"/>
      <c r="C270" s="84"/>
      <c r="D270" s="84"/>
      <c r="E270" s="84"/>
      <c r="F270" s="84"/>
    </row>
    <row r="271" ht="15.75" customHeight="1">
      <c r="A271" s="84"/>
      <c r="B271" s="84"/>
      <c r="C271" s="84"/>
      <c r="D271" s="84"/>
      <c r="E271" s="84"/>
      <c r="F271" s="84"/>
    </row>
    <row r="272" ht="15.75" customHeight="1">
      <c r="A272" s="84"/>
      <c r="B272" s="84"/>
      <c r="C272" s="84"/>
      <c r="D272" s="84"/>
      <c r="E272" s="84"/>
      <c r="F272" s="84"/>
    </row>
    <row r="273" ht="15.75" customHeight="1">
      <c r="A273" s="84"/>
      <c r="B273" s="84"/>
      <c r="C273" s="84"/>
      <c r="D273" s="84"/>
      <c r="E273" s="84"/>
      <c r="F273" s="84"/>
    </row>
    <row r="274" ht="15.75" customHeight="1">
      <c r="A274" s="84"/>
      <c r="B274" s="84"/>
      <c r="C274" s="84"/>
      <c r="D274" s="84"/>
      <c r="E274" s="84"/>
      <c r="F274" s="84"/>
    </row>
    <row r="275" ht="15.75" customHeight="1">
      <c r="A275" s="84"/>
      <c r="B275" s="84"/>
      <c r="C275" s="84"/>
      <c r="D275" s="84"/>
      <c r="E275" s="84"/>
      <c r="F275" s="84"/>
    </row>
    <row r="276" ht="15.75" customHeight="1">
      <c r="A276" s="84"/>
      <c r="B276" s="84"/>
      <c r="C276" s="84"/>
      <c r="D276" s="84"/>
      <c r="E276" s="84"/>
      <c r="F276" s="84"/>
    </row>
    <row r="277" ht="15.75" customHeight="1">
      <c r="A277" s="84"/>
      <c r="B277" s="84"/>
      <c r="C277" s="84"/>
      <c r="D277" s="84"/>
      <c r="E277" s="84"/>
      <c r="F277" s="84"/>
    </row>
    <row r="278" ht="15.75" customHeight="1">
      <c r="A278" s="84"/>
      <c r="B278" s="84"/>
      <c r="C278" s="84"/>
      <c r="D278" s="84"/>
      <c r="E278" s="84"/>
      <c r="F278" s="84"/>
    </row>
    <row r="279" ht="15.75" customHeight="1">
      <c r="A279" s="84"/>
      <c r="B279" s="84"/>
      <c r="C279" s="84"/>
      <c r="D279" s="84"/>
      <c r="E279" s="84"/>
      <c r="F279" s="84"/>
    </row>
    <row r="280" ht="15.75" customHeight="1">
      <c r="A280" s="84"/>
      <c r="B280" s="84"/>
      <c r="C280" s="84"/>
      <c r="D280" s="84"/>
      <c r="E280" s="84"/>
      <c r="F280" s="84"/>
    </row>
    <row r="281" ht="15.75" customHeight="1">
      <c r="A281" s="84"/>
      <c r="B281" s="84"/>
      <c r="C281" s="84"/>
      <c r="D281" s="84"/>
      <c r="E281" s="84"/>
      <c r="F281" s="84"/>
    </row>
    <row r="282" ht="15.75" customHeight="1">
      <c r="A282" s="84"/>
      <c r="B282" s="84"/>
      <c r="C282" s="84"/>
      <c r="D282" s="84"/>
      <c r="E282" s="84"/>
      <c r="F282" s="84"/>
    </row>
    <row r="283" ht="15.75" customHeight="1">
      <c r="A283" s="84"/>
      <c r="B283" s="84"/>
      <c r="C283" s="84"/>
      <c r="D283" s="84"/>
      <c r="E283" s="84"/>
      <c r="F283" s="84"/>
    </row>
    <row r="284" ht="15.75" customHeight="1">
      <c r="A284" s="84"/>
      <c r="B284" s="84"/>
      <c r="C284" s="84"/>
      <c r="D284" s="84"/>
      <c r="E284" s="84"/>
      <c r="F284" s="84"/>
    </row>
    <row r="285" ht="15.75" customHeight="1">
      <c r="A285" s="84"/>
      <c r="B285" s="84"/>
      <c r="C285" s="84"/>
      <c r="D285" s="84"/>
      <c r="E285" s="84"/>
      <c r="F285" s="84"/>
    </row>
    <row r="286" ht="15.75" customHeight="1">
      <c r="A286" s="84"/>
      <c r="B286" s="84"/>
      <c r="C286" s="84"/>
      <c r="D286" s="84"/>
      <c r="E286" s="84"/>
      <c r="F286" s="84"/>
    </row>
    <row r="287" ht="15.75" customHeight="1">
      <c r="A287" s="84"/>
      <c r="B287" s="84"/>
      <c r="C287" s="84"/>
      <c r="D287" s="84"/>
      <c r="E287" s="84"/>
      <c r="F287" s="84"/>
    </row>
    <row r="288" ht="15.75" customHeight="1">
      <c r="A288" s="84"/>
      <c r="B288" s="84"/>
      <c r="C288" s="84"/>
      <c r="D288" s="84"/>
      <c r="E288" s="84"/>
      <c r="F288" s="84"/>
    </row>
    <row r="289" ht="15.75" customHeight="1">
      <c r="A289" s="84"/>
      <c r="B289" s="84"/>
      <c r="C289" s="84"/>
      <c r="D289" s="84"/>
      <c r="E289" s="84"/>
      <c r="F289" s="84"/>
    </row>
    <row r="290" ht="15.75" customHeight="1">
      <c r="A290" s="84"/>
      <c r="B290" s="84"/>
      <c r="C290" s="84"/>
      <c r="D290" s="84"/>
      <c r="E290" s="84"/>
      <c r="F290" s="84"/>
    </row>
    <row r="291" ht="15.75" customHeight="1">
      <c r="A291" s="84"/>
      <c r="B291" s="84"/>
      <c r="C291" s="84"/>
      <c r="D291" s="84"/>
      <c r="E291" s="84"/>
      <c r="F291" s="84"/>
    </row>
    <row r="292" ht="15.75" customHeight="1">
      <c r="A292" s="84"/>
      <c r="B292" s="84"/>
      <c r="C292" s="84"/>
      <c r="D292" s="84"/>
      <c r="E292" s="84"/>
      <c r="F292" s="84"/>
    </row>
    <row r="293" ht="15.75" customHeight="1">
      <c r="A293" s="84"/>
      <c r="B293" s="84"/>
      <c r="C293" s="84"/>
      <c r="D293" s="84"/>
      <c r="E293" s="84"/>
      <c r="F293" s="84"/>
    </row>
    <row r="294" ht="15.75" customHeight="1">
      <c r="A294" s="84"/>
      <c r="B294" s="84"/>
      <c r="C294" s="84"/>
      <c r="D294" s="84"/>
      <c r="E294" s="84"/>
      <c r="F294" s="84"/>
    </row>
    <row r="295" ht="15.75" customHeight="1">
      <c r="A295" s="84"/>
      <c r="B295" s="84"/>
      <c r="C295" s="84"/>
      <c r="D295" s="84"/>
      <c r="E295" s="84"/>
      <c r="F295" s="84"/>
    </row>
    <row r="296" ht="15.75" customHeight="1">
      <c r="A296" s="84"/>
      <c r="B296" s="84"/>
      <c r="C296" s="84"/>
      <c r="D296" s="84"/>
      <c r="E296" s="84"/>
      <c r="F296" s="84"/>
    </row>
    <row r="297" ht="15.75" customHeight="1">
      <c r="A297" s="84"/>
      <c r="B297" s="84"/>
      <c r="C297" s="84"/>
      <c r="D297" s="84"/>
      <c r="E297" s="84"/>
      <c r="F297" s="84"/>
    </row>
    <row r="298" ht="15.75" customHeight="1">
      <c r="A298" s="84"/>
      <c r="B298" s="84"/>
      <c r="C298" s="84"/>
      <c r="D298" s="84"/>
      <c r="E298" s="84"/>
      <c r="F298" s="84"/>
    </row>
    <row r="299" ht="15.75" customHeight="1">
      <c r="A299" s="84"/>
      <c r="B299" s="84"/>
      <c r="C299" s="84"/>
      <c r="D299" s="84"/>
      <c r="E299" s="84"/>
      <c r="F299" s="84"/>
    </row>
    <row r="300" ht="15.75" customHeight="1">
      <c r="A300" s="84"/>
      <c r="B300" s="84"/>
      <c r="C300" s="84"/>
      <c r="D300" s="84"/>
      <c r="E300" s="84"/>
      <c r="F300" s="84"/>
    </row>
    <row r="301" ht="15.75" customHeight="1">
      <c r="A301" s="84"/>
      <c r="B301" s="84"/>
      <c r="C301" s="84"/>
      <c r="D301" s="84"/>
      <c r="E301" s="84"/>
      <c r="F301" s="84"/>
    </row>
    <row r="302" ht="15.75" customHeight="1">
      <c r="A302" s="84"/>
      <c r="B302" s="84"/>
      <c r="C302" s="84"/>
      <c r="D302" s="84"/>
      <c r="E302" s="84"/>
      <c r="F302" s="84"/>
    </row>
    <row r="303" ht="15.75" customHeight="1">
      <c r="A303" s="84"/>
      <c r="B303" s="84"/>
      <c r="C303" s="84"/>
      <c r="D303" s="84"/>
      <c r="E303" s="84"/>
      <c r="F303" s="84"/>
    </row>
    <row r="304" ht="15.75" customHeight="1">
      <c r="A304" s="84"/>
      <c r="B304" s="84"/>
      <c r="C304" s="84"/>
      <c r="D304" s="84"/>
      <c r="E304" s="84"/>
      <c r="F304" s="84"/>
    </row>
    <row r="305" ht="15.75" customHeight="1">
      <c r="A305" s="84"/>
      <c r="B305" s="84"/>
      <c r="C305" s="84"/>
      <c r="D305" s="84"/>
      <c r="E305" s="84"/>
      <c r="F305" s="84"/>
    </row>
    <row r="306" ht="15.75" customHeight="1">
      <c r="A306" s="84"/>
      <c r="B306" s="84"/>
      <c r="C306" s="84"/>
      <c r="D306" s="84"/>
      <c r="E306" s="84"/>
      <c r="F306" s="84"/>
    </row>
    <row r="307" ht="15.75" customHeight="1">
      <c r="A307" s="84"/>
      <c r="B307" s="84"/>
      <c r="C307" s="84"/>
      <c r="D307" s="84"/>
      <c r="E307" s="84"/>
      <c r="F307" s="84"/>
    </row>
    <row r="308" ht="15.75" customHeight="1">
      <c r="A308" s="84"/>
      <c r="B308" s="84"/>
      <c r="C308" s="84"/>
      <c r="D308" s="84"/>
      <c r="E308" s="84"/>
      <c r="F308" s="84"/>
    </row>
    <row r="309" ht="15.75" customHeight="1">
      <c r="A309" s="84"/>
      <c r="B309" s="84"/>
      <c r="C309" s="84"/>
      <c r="D309" s="84"/>
      <c r="E309" s="84"/>
      <c r="F309" s="84"/>
    </row>
    <row r="310" ht="15.75" customHeight="1">
      <c r="A310" s="84"/>
      <c r="B310" s="84"/>
      <c r="C310" s="84"/>
      <c r="D310" s="84"/>
      <c r="E310" s="84"/>
      <c r="F310" s="84"/>
    </row>
    <row r="311" ht="15.75" customHeight="1">
      <c r="A311" s="84"/>
      <c r="B311" s="84"/>
      <c r="C311" s="84"/>
      <c r="D311" s="84"/>
      <c r="E311" s="84"/>
      <c r="F311" s="84"/>
    </row>
    <row r="312" ht="15.75" customHeight="1">
      <c r="A312" s="84"/>
      <c r="B312" s="84"/>
      <c r="C312" s="84"/>
      <c r="D312" s="84"/>
      <c r="E312" s="84"/>
      <c r="F312" s="84"/>
    </row>
    <row r="313" ht="15.75" customHeight="1">
      <c r="A313" s="84"/>
      <c r="B313" s="84"/>
      <c r="C313" s="84"/>
      <c r="D313" s="84"/>
      <c r="E313" s="84"/>
      <c r="F313" s="84"/>
    </row>
    <row r="314" ht="15.75" customHeight="1">
      <c r="A314" s="84"/>
      <c r="B314" s="84"/>
      <c r="C314" s="84"/>
      <c r="D314" s="84"/>
      <c r="E314" s="84"/>
      <c r="F314" s="84"/>
    </row>
    <row r="315" ht="15.75" customHeight="1">
      <c r="A315" s="84"/>
      <c r="B315" s="84"/>
      <c r="C315" s="84"/>
      <c r="D315" s="84"/>
      <c r="E315" s="84"/>
      <c r="F315" s="84"/>
    </row>
    <row r="316" ht="15.75" customHeight="1">
      <c r="A316" s="84"/>
      <c r="B316" s="84"/>
      <c r="C316" s="84"/>
      <c r="D316" s="84"/>
      <c r="E316" s="84"/>
      <c r="F316" s="84"/>
    </row>
    <row r="317" ht="15.75" customHeight="1">
      <c r="A317" s="84"/>
      <c r="B317" s="84"/>
      <c r="C317" s="84"/>
      <c r="D317" s="84"/>
      <c r="E317" s="84"/>
      <c r="F317" s="84"/>
    </row>
    <row r="318" ht="15.75" customHeight="1">
      <c r="A318" s="84"/>
      <c r="B318" s="84"/>
      <c r="C318" s="84"/>
      <c r="D318" s="84"/>
      <c r="E318" s="84"/>
      <c r="F318" s="84"/>
    </row>
    <row r="319" ht="15.75" customHeight="1">
      <c r="A319" s="84"/>
      <c r="B319" s="84"/>
      <c r="C319" s="84"/>
      <c r="D319" s="84"/>
      <c r="E319" s="84"/>
      <c r="F319" s="84"/>
    </row>
    <row r="320" ht="15.75" customHeight="1">
      <c r="A320" s="84"/>
      <c r="B320" s="84"/>
      <c r="C320" s="84"/>
      <c r="D320" s="84"/>
      <c r="E320" s="84"/>
      <c r="F320" s="84"/>
    </row>
    <row r="321" ht="15.75" customHeight="1">
      <c r="A321" s="84"/>
      <c r="B321" s="84"/>
      <c r="C321" s="84"/>
      <c r="D321" s="84"/>
      <c r="E321" s="84"/>
      <c r="F321" s="84"/>
    </row>
    <row r="322" ht="15.75" customHeight="1">
      <c r="A322" s="84"/>
      <c r="B322" s="84"/>
      <c r="C322" s="84"/>
      <c r="D322" s="84"/>
      <c r="E322" s="84"/>
      <c r="F322" s="84"/>
    </row>
    <row r="323" ht="15.75" customHeight="1">
      <c r="A323" s="84"/>
      <c r="B323" s="84"/>
      <c r="C323" s="84"/>
      <c r="D323" s="84"/>
      <c r="E323" s="84"/>
      <c r="F323" s="84"/>
    </row>
    <row r="324" ht="15.75" customHeight="1">
      <c r="A324" s="84"/>
      <c r="B324" s="84"/>
      <c r="C324" s="84"/>
      <c r="D324" s="84"/>
      <c r="E324" s="84"/>
      <c r="F324" s="84"/>
    </row>
    <row r="325" ht="15.75" customHeight="1">
      <c r="A325" s="84"/>
      <c r="B325" s="84"/>
      <c r="C325" s="84"/>
      <c r="D325" s="84"/>
      <c r="E325" s="84"/>
      <c r="F325" s="84"/>
    </row>
    <row r="326" ht="15.75" customHeight="1">
      <c r="A326" s="84"/>
      <c r="B326" s="84"/>
      <c r="C326" s="84"/>
      <c r="D326" s="84"/>
      <c r="E326" s="84"/>
      <c r="F326" s="84"/>
    </row>
    <row r="327" ht="15.75" customHeight="1">
      <c r="A327" s="84"/>
      <c r="B327" s="84"/>
      <c r="C327" s="84"/>
      <c r="D327" s="84"/>
      <c r="E327" s="84"/>
      <c r="F327" s="84"/>
    </row>
    <row r="328" ht="15.75" customHeight="1">
      <c r="A328" s="84"/>
      <c r="B328" s="84"/>
      <c r="C328" s="84"/>
      <c r="D328" s="84"/>
      <c r="E328" s="84"/>
      <c r="F328" s="84"/>
    </row>
    <row r="329" ht="15.75" customHeight="1">
      <c r="A329" s="84"/>
      <c r="B329" s="84"/>
      <c r="C329" s="84"/>
      <c r="D329" s="84"/>
      <c r="E329" s="84"/>
      <c r="F329" s="84"/>
    </row>
    <row r="330" ht="15.75" customHeight="1">
      <c r="A330" s="84"/>
      <c r="B330" s="84"/>
      <c r="C330" s="84"/>
      <c r="D330" s="84"/>
      <c r="E330" s="84"/>
      <c r="F330" s="84"/>
    </row>
    <row r="331" ht="15.75" customHeight="1">
      <c r="A331" s="84"/>
      <c r="B331" s="84"/>
      <c r="C331" s="84"/>
      <c r="D331" s="84"/>
      <c r="E331" s="84"/>
      <c r="F331" s="84"/>
    </row>
    <row r="332" ht="15.75" customHeight="1">
      <c r="A332" s="84"/>
      <c r="B332" s="84"/>
      <c r="C332" s="84"/>
      <c r="D332" s="84"/>
      <c r="E332" s="84"/>
      <c r="F332" s="84"/>
    </row>
    <row r="333" ht="15.75" customHeight="1">
      <c r="A333" s="84"/>
      <c r="B333" s="84"/>
      <c r="C333" s="84"/>
      <c r="D333" s="84"/>
      <c r="E333" s="84"/>
      <c r="F333" s="84"/>
    </row>
    <row r="334" ht="15.75" customHeight="1">
      <c r="A334" s="84"/>
      <c r="B334" s="84"/>
      <c r="C334" s="84"/>
      <c r="D334" s="84"/>
      <c r="E334" s="84"/>
      <c r="F334" s="84"/>
    </row>
    <row r="335" ht="15.75" customHeight="1">
      <c r="A335" s="84"/>
      <c r="B335" s="84"/>
      <c r="C335" s="84"/>
      <c r="D335" s="84"/>
      <c r="E335" s="84"/>
      <c r="F335" s="84"/>
    </row>
    <row r="336" ht="15.75" customHeight="1">
      <c r="A336" s="84"/>
      <c r="B336" s="84"/>
      <c r="C336" s="84"/>
      <c r="D336" s="84"/>
      <c r="E336" s="84"/>
      <c r="F336" s="84"/>
    </row>
    <row r="337" ht="15.75" customHeight="1">
      <c r="A337" s="84"/>
      <c r="B337" s="84"/>
      <c r="C337" s="84"/>
      <c r="D337" s="84"/>
      <c r="E337" s="84"/>
      <c r="F337" s="84"/>
    </row>
    <row r="338" ht="15.75" customHeight="1">
      <c r="A338" s="84"/>
      <c r="B338" s="84"/>
      <c r="C338" s="84"/>
      <c r="D338" s="84"/>
      <c r="E338" s="84"/>
      <c r="F338" s="84"/>
    </row>
    <row r="339" ht="15.75" customHeight="1">
      <c r="A339" s="84"/>
      <c r="B339" s="84"/>
      <c r="C339" s="84"/>
      <c r="D339" s="84"/>
      <c r="E339" s="84"/>
      <c r="F339" s="84"/>
    </row>
    <row r="340" ht="15.75" customHeight="1">
      <c r="A340" s="84"/>
      <c r="B340" s="84"/>
      <c r="C340" s="84"/>
      <c r="D340" s="84"/>
      <c r="E340" s="84"/>
      <c r="F340" s="84"/>
    </row>
    <row r="341" ht="15.75" customHeight="1">
      <c r="A341" s="84"/>
      <c r="B341" s="84"/>
      <c r="C341" s="84"/>
      <c r="D341" s="84"/>
      <c r="E341" s="84"/>
      <c r="F341" s="84"/>
    </row>
    <row r="342" ht="15.75" customHeight="1">
      <c r="A342" s="84"/>
      <c r="B342" s="84"/>
      <c r="C342" s="84"/>
      <c r="D342" s="84"/>
      <c r="E342" s="84"/>
      <c r="F342" s="84"/>
    </row>
    <row r="343" ht="15.75" customHeight="1">
      <c r="A343" s="84"/>
      <c r="B343" s="84"/>
      <c r="C343" s="84"/>
      <c r="D343" s="84"/>
      <c r="E343" s="84"/>
      <c r="F343" s="84"/>
    </row>
    <row r="344" ht="15.75" customHeight="1">
      <c r="A344" s="84"/>
      <c r="B344" s="84"/>
      <c r="C344" s="84"/>
      <c r="D344" s="84"/>
      <c r="E344" s="84"/>
      <c r="F344" s="84"/>
    </row>
    <row r="345" ht="15.75" customHeight="1">
      <c r="A345" s="84"/>
      <c r="B345" s="84"/>
      <c r="C345" s="84"/>
      <c r="D345" s="84"/>
      <c r="E345" s="84"/>
      <c r="F345" s="84"/>
    </row>
    <row r="346" ht="15.75" customHeight="1">
      <c r="A346" s="84"/>
      <c r="B346" s="84"/>
      <c r="C346" s="84"/>
      <c r="D346" s="84"/>
      <c r="E346" s="84"/>
      <c r="F346" s="84"/>
    </row>
    <row r="347" ht="15.75" customHeight="1">
      <c r="A347" s="84"/>
      <c r="B347" s="84"/>
      <c r="C347" s="84"/>
      <c r="D347" s="84"/>
      <c r="E347" s="84"/>
      <c r="F347" s="84"/>
    </row>
    <row r="348" ht="15.75" customHeight="1">
      <c r="A348" s="84"/>
      <c r="B348" s="84"/>
      <c r="C348" s="84"/>
      <c r="D348" s="84"/>
      <c r="E348" s="84"/>
      <c r="F348" s="84"/>
    </row>
    <row r="349" ht="15.75" customHeight="1">
      <c r="A349" s="84"/>
      <c r="B349" s="84"/>
      <c r="C349" s="84"/>
      <c r="D349" s="84"/>
      <c r="E349" s="84"/>
      <c r="F349" s="84"/>
    </row>
    <row r="350" ht="15.75" customHeight="1">
      <c r="A350" s="84"/>
      <c r="B350" s="84"/>
      <c r="C350" s="84"/>
      <c r="D350" s="84"/>
      <c r="E350" s="84"/>
      <c r="F350" s="84"/>
    </row>
    <row r="351" ht="15.75" customHeight="1">
      <c r="A351" s="84"/>
      <c r="B351" s="84"/>
      <c r="C351" s="84"/>
      <c r="D351" s="84"/>
      <c r="E351" s="84"/>
      <c r="F351" s="84"/>
    </row>
    <row r="352" ht="15.75" customHeight="1">
      <c r="A352" s="84"/>
      <c r="B352" s="84"/>
      <c r="C352" s="84"/>
      <c r="D352" s="84"/>
      <c r="E352" s="84"/>
      <c r="F352" s="84"/>
    </row>
    <row r="353" ht="15.75" customHeight="1">
      <c r="A353" s="84"/>
      <c r="B353" s="84"/>
      <c r="C353" s="84"/>
      <c r="D353" s="84"/>
      <c r="E353" s="84"/>
      <c r="F353" s="84"/>
    </row>
    <row r="354" ht="15.75" customHeight="1">
      <c r="A354" s="84"/>
      <c r="B354" s="84"/>
      <c r="C354" s="84"/>
      <c r="D354" s="84"/>
      <c r="E354" s="84"/>
      <c r="F354" s="84"/>
    </row>
    <row r="355" ht="15.75" customHeight="1">
      <c r="A355" s="84"/>
      <c r="B355" s="84"/>
      <c r="C355" s="84"/>
      <c r="D355" s="84"/>
      <c r="E355" s="84"/>
      <c r="F355" s="84"/>
    </row>
    <row r="356" ht="15.75" customHeight="1">
      <c r="A356" s="84"/>
      <c r="B356" s="84"/>
      <c r="C356" s="84"/>
      <c r="D356" s="84"/>
      <c r="E356" s="84"/>
      <c r="F356" s="84"/>
    </row>
    <row r="357" ht="15.75" customHeight="1">
      <c r="A357" s="84"/>
      <c r="B357" s="84"/>
      <c r="C357" s="84"/>
      <c r="D357" s="84"/>
      <c r="E357" s="84"/>
      <c r="F357" s="84"/>
    </row>
    <row r="358" ht="15.75" customHeight="1">
      <c r="A358" s="84"/>
      <c r="B358" s="84"/>
      <c r="C358" s="84"/>
      <c r="D358" s="84"/>
      <c r="E358" s="84"/>
      <c r="F358" s="84"/>
    </row>
    <row r="359" ht="15.75" customHeight="1">
      <c r="A359" s="84"/>
      <c r="B359" s="84"/>
      <c r="C359" s="84"/>
      <c r="D359" s="84"/>
      <c r="E359" s="84"/>
      <c r="F359" s="84"/>
    </row>
    <row r="360" ht="15.75" customHeight="1">
      <c r="A360" s="84"/>
      <c r="B360" s="84"/>
      <c r="C360" s="84"/>
      <c r="D360" s="84"/>
      <c r="E360" s="84"/>
      <c r="F360" s="84"/>
    </row>
    <row r="361" ht="15.75" customHeight="1">
      <c r="A361" s="84"/>
      <c r="B361" s="84"/>
      <c r="C361" s="84"/>
      <c r="D361" s="84"/>
      <c r="E361" s="84"/>
      <c r="F361" s="84"/>
    </row>
    <row r="362" ht="15.75" customHeight="1">
      <c r="A362" s="84"/>
      <c r="B362" s="84"/>
      <c r="C362" s="84"/>
      <c r="D362" s="84"/>
      <c r="E362" s="84"/>
      <c r="F362" s="84"/>
    </row>
    <row r="363" ht="15.75" customHeight="1">
      <c r="A363" s="84"/>
      <c r="B363" s="84"/>
      <c r="C363" s="84"/>
      <c r="D363" s="84"/>
      <c r="E363" s="84"/>
      <c r="F363" s="84"/>
    </row>
    <row r="364" ht="15.75" customHeight="1">
      <c r="A364" s="84"/>
      <c r="B364" s="84"/>
      <c r="C364" s="84"/>
      <c r="D364" s="84"/>
      <c r="E364" s="84"/>
      <c r="F364" s="84"/>
    </row>
    <row r="365" ht="15.75" customHeight="1">
      <c r="A365" s="84"/>
      <c r="B365" s="84"/>
      <c r="C365" s="84"/>
      <c r="D365" s="84"/>
      <c r="E365" s="84"/>
      <c r="F365" s="84"/>
    </row>
    <row r="366" ht="15.75" customHeight="1">
      <c r="A366" s="84"/>
      <c r="B366" s="84"/>
      <c r="C366" s="84"/>
      <c r="D366" s="84"/>
      <c r="E366" s="84"/>
      <c r="F366" s="84"/>
    </row>
    <row r="367" ht="15.75" customHeight="1">
      <c r="A367" s="84"/>
      <c r="B367" s="84"/>
      <c r="C367" s="84"/>
      <c r="D367" s="84"/>
      <c r="E367" s="84"/>
      <c r="F367" s="84"/>
    </row>
    <row r="368" ht="15.75" customHeight="1">
      <c r="A368" s="84"/>
      <c r="B368" s="84"/>
      <c r="C368" s="84"/>
      <c r="D368" s="84"/>
      <c r="E368" s="84"/>
      <c r="F368" s="84"/>
    </row>
    <row r="369" ht="15.75" customHeight="1">
      <c r="A369" s="84"/>
      <c r="B369" s="84"/>
      <c r="C369" s="84"/>
      <c r="D369" s="84"/>
      <c r="E369" s="84"/>
      <c r="F369" s="84"/>
    </row>
    <row r="370" ht="15.75" customHeight="1">
      <c r="A370" s="84"/>
      <c r="B370" s="84"/>
      <c r="C370" s="84"/>
      <c r="D370" s="84"/>
      <c r="E370" s="84"/>
      <c r="F370" s="84"/>
    </row>
    <row r="371" ht="15.75" customHeight="1">
      <c r="A371" s="84"/>
      <c r="B371" s="84"/>
      <c r="C371" s="84"/>
      <c r="D371" s="84"/>
      <c r="E371" s="84"/>
      <c r="F371" s="84"/>
    </row>
    <row r="372" ht="15.75" customHeight="1">
      <c r="A372" s="84"/>
      <c r="B372" s="84"/>
      <c r="C372" s="84"/>
      <c r="D372" s="84"/>
      <c r="E372" s="84"/>
      <c r="F372" s="84"/>
    </row>
    <row r="373" ht="15.75" customHeight="1">
      <c r="A373" s="84"/>
      <c r="B373" s="84"/>
      <c r="C373" s="84"/>
      <c r="D373" s="84"/>
      <c r="E373" s="84"/>
      <c r="F373" s="84"/>
    </row>
    <row r="374" ht="15.75" customHeight="1">
      <c r="A374" s="84"/>
      <c r="B374" s="84"/>
      <c r="C374" s="84"/>
      <c r="D374" s="84"/>
      <c r="E374" s="84"/>
      <c r="F374" s="84"/>
    </row>
    <row r="375" ht="15.75" customHeight="1">
      <c r="A375" s="84"/>
      <c r="B375" s="84"/>
      <c r="C375" s="84"/>
      <c r="D375" s="84"/>
      <c r="E375" s="84"/>
      <c r="F375" s="84"/>
    </row>
    <row r="376" ht="15.75" customHeight="1">
      <c r="A376" s="84"/>
      <c r="B376" s="84"/>
      <c r="C376" s="84"/>
      <c r="D376" s="84"/>
      <c r="E376" s="84"/>
      <c r="F376" s="84"/>
    </row>
    <row r="377" ht="15.75" customHeight="1">
      <c r="A377" s="84"/>
      <c r="B377" s="84"/>
      <c r="C377" s="84"/>
      <c r="D377" s="84"/>
      <c r="E377" s="84"/>
      <c r="F377" s="84"/>
    </row>
    <row r="378" ht="15.75" customHeight="1">
      <c r="A378" s="84"/>
      <c r="B378" s="84"/>
      <c r="C378" s="84"/>
      <c r="D378" s="84"/>
      <c r="E378" s="84"/>
      <c r="F378" s="84"/>
    </row>
    <row r="379" ht="15.75" customHeight="1">
      <c r="A379" s="84"/>
      <c r="B379" s="84"/>
      <c r="C379" s="84"/>
      <c r="D379" s="84"/>
      <c r="E379" s="84"/>
      <c r="F379" s="84"/>
    </row>
    <row r="380" ht="15.75" customHeight="1">
      <c r="A380" s="84"/>
      <c r="B380" s="84"/>
      <c r="C380" s="84"/>
      <c r="D380" s="84"/>
      <c r="E380" s="84"/>
      <c r="F380" s="84"/>
    </row>
    <row r="381" ht="15.75" customHeight="1">
      <c r="A381" s="84"/>
      <c r="B381" s="84"/>
      <c r="C381" s="84"/>
      <c r="D381" s="84"/>
      <c r="E381" s="84"/>
      <c r="F381" s="84"/>
    </row>
    <row r="382" ht="15.75" customHeight="1">
      <c r="A382" s="84"/>
      <c r="B382" s="84"/>
      <c r="C382" s="84"/>
      <c r="D382" s="84"/>
      <c r="E382" s="84"/>
      <c r="F382" s="84"/>
    </row>
    <row r="383" ht="15.75" customHeight="1">
      <c r="A383" s="84"/>
      <c r="B383" s="84"/>
      <c r="C383" s="84"/>
      <c r="D383" s="84"/>
      <c r="E383" s="84"/>
      <c r="F383" s="84"/>
    </row>
    <row r="384" ht="15.75" customHeight="1">
      <c r="A384" s="84"/>
      <c r="B384" s="84"/>
      <c r="C384" s="84"/>
      <c r="D384" s="84"/>
      <c r="E384" s="84"/>
      <c r="F384" s="84"/>
    </row>
    <row r="385" ht="15.75" customHeight="1">
      <c r="A385" s="84"/>
      <c r="B385" s="84"/>
      <c r="C385" s="84"/>
      <c r="D385" s="84"/>
      <c r="E385" s="84"/>
      <c r="F385" s="84"/>
    </row>
    <row r="386" ht="15.75" customHeight="1">
      <c r="A386" s="84"/>
      <c r="B386" s="84"/>
      <c r="C386" s="84"/>
      <c r="D386" s="84"/>
      <c r="E386" s="84"/>
      <c r="F386" s="84"/>
    </row>
    <row r="387" ht="15.75" customHeight="1">
      <c r="A387" s="84"/>
      <c r="B387" s="84"/>
      <c r="C387" s="84"/>
      <c r="D387" s="84"/>
      <c r="E387" s="84"/>
      <c r="F387" s="84"/>
    </row>
    <row r="388" ht="15.75" customHeight="1">
      <c r="A388" s="84"/>
      <c r="B388" s="84"/>
      <c r="C388" s="84"/>
      <c r="D388" s="84"/>
      <c r="E388" s="84"/>
      <c r="F388" s="84"/>
    </row>
    <row r="389" ht="15.75" customHeight="1">
      <c r="A389" s="84"/>
      <c r="B389" s="84"/>
      <c r="C389" s="84"/>
      <c r="D389" s="84"/>
      <c r="E389" s="84"/>
      <c r="F389" s="84"/>
    </row>
    <row r="390" ht="15.75" customHeight="1">
      <c r="A390" s="84"/>
      <c r="B390" s="84"/>
      <c r="C390" s="84"/>
      <c r="D390" s="84"/>
      <c r="E390" s="84"/>
      <c r="F390" s="84"/>
    </row>
    <row r="391" ht="15.75" customHeight="1">
      <c r="A391" s="84"/>
      <c r="B391" s="84"/>
      <c r="C391" s="84"/>
      <c r="D391" s="84"/>
      <c r="E391" s="84"/>
      <c r="F391" s="84"/>
    </row>
    <row r="392" ht="15.75" customHeight="1">
      <c r="A392" s="84"/>
      <c r="B392" s="84"/>
      <c r="C392" s="84"/>
      <c r="D392" s="84"/>
      <c r="E392" s="84"/>
      <c r="F392" s="84"/>
    </row>
    <row r="393" ht="15.75" customHeight="1">
      <c r="A393" s="84"/>
      <c r="B393" s="84"/>
      <c r="C393" s="84"/>
      <c r="D393" s="84"/>
      <c r="E393" s="84"/>
      <c r="F393" s="84"/>
    </row>
    <row r="394" ht="15.75" customHeight="1">
      <c r="A394" s="84"/>
      <c r="B394" s="84"/>
      <c r="C394" s="84"/>
      <c r="D394" s="84"/>
      <c r="E394" s="84"/>
      <c r="F394" s="84"/>
    </row>
    <row r="395" ht="15.75" customHeight="1">
      <c r="A395" s="84"/>
      <c r="B395" s="84"/>
      <c r="C395" s="84"/>
      <c r="D395" s="84"/>
      <c r="E395" s="84"/>
      <c r="F395" s="84"/>
    </row>
    <row r="396" ht="15.75" customHeight="1">
      <c r="A396" s="84"/>
      <c r="B396" s="84"/>
      <c r="C396" s="84"/>
      <c r="D396" s="84"/>
      <c r="E396" s="84"/>
      <c r="F396" s="84"/>
    </row>
    <row r="397" ht="15.75" customHeight="1">
      <c r="A397" s="84"/>
      <c r="B397" s="84"/>
      <c r="C397" s="84"/>
      <c r="D397" s="84"/>
      <c r="E397" s="84"/>
      <c r="F397" s="84"/>
    </row>
    <row r="398" ht="15.75" customHeight="1">
      <c r="A398" s="84"/>
      <c r="B398" s="84"/>
      <c r="C398" s="84"/>
      <c r="D398" s="84"/>
      <c r="E398" s="84"/>
      <c r="F398" s="84"/>
    </row>
    <row r="399" ht="15.75" customHeight="1">
      <c r="A399" s="84"/>
      <c r="B399" s="84"/>
      <c r="C399" s="84"/>
      <c r="D399" s="84"/>
      <c r="E399" s="84"/>
      <c r="F399" s="84"/>
    </row>
    <row r="400" ht="15.75" customHeight="1">
      <c r="A400" s="84"/>
      <c r="B400" s="84"/>
      <c r="C400" s="84"/>
      <c r="D400" s="84"/>
      <c r="E400" s="84"/>
      <c r="F400" s="84"/>
    </row>
    <row r="401" ht="15.75" customHeight="1">
      <c r="A401" s="84"/>
      <c r="B401" s="84"/>
      <c r="C401" s="84"/>
      <c r="D401" s="84"/>
      <c r="E401" s="84"/>
      <c r="F401" s="84"/>
    </row>
    <row r="402" ht="15.75" customHeight="1">
      <c r="A402" s="84"/>
      <c r="B402" s="84"/>
      <c r="C402" s="84"/>
      <c r="D402" s="84"/>
      <c r="E402" s="84"/>
      <c r="F402" s="84"/>
    </row>
    <row r="403" ht="15.75" customHeight="1">
      <c r="A403" s="84"/>
      <c r="B403" s="84"/>
      <c r="C403" s="84"/>
      <c r="D403" s="84"/>
      <c r="E403" s="84"/>
      <c r="F403" s="84"/>
    </row>
    <row r="404" ht="15.75" customHeight="1">
      <c r="A404" s="84"/>
      <c r="B404" s="84"/>
      <c r="C404" s="84"/>
      <c r="D404" s="84"/>
      <c r="E404" s="84"/>
      <c r="F404" s="84"/>
    </row>
    <row r="405" ht="15.75" customHeight="1">
      <c r="A405" s="84"/>
      <c r="B405" s="84"/>
      <c r="C405" s="84"/>
      <c r="D405" s="84"/>
      <c r="E405" s="84"/>
      <c r="F405" s="84"/>
    </row>
    <row r="406" ht="15.75" customHeight="1">
      <c r="A406" s="84"/>
      <c r="B406" s="84"/>
      <c r="C406" s="84"/>
      <c r="D406" s="84"/>
      <c r="E406" s="84"/>
      <c r="F406" s="84"/>
    </row>
    <row r="407" ht="15.75" customHeight="1">
      <c r="A407" s="84"/>
      <c r="B407" s="84"/>
      <c r="C407" s="84"/>
      <c r="D407" s="84"/>
      <c r="E407" s="84"/>
      <c r="F407" s="84"/>
    </row>
    <row r="408" ht="15.75" customHeight="1">
      <c r="A408" s="84"/>
      <c r="B408" s="84"/>
      <c r="C408" s="84"/>
      <c r="D408" s="84"/>
      <c r="E408" s="84"/>
      <c r="F408" s="84"/>
    </row>
    <row r="409" ht="15.75" customHeight="1">
      <c r="A409" s="84"/>
      <c r="B409" s="84"/>
      <c r="C409" s="84"/>
      <c r="D409" s="84"/>
      <c r="E409" s="84"/>
      <c r="F409" s="84"/>
    </row>
    <row r="410" ht="15.75" customHeight="1">
      <c r="A410" s="84"/>
      <c r="B410" s="84"/>
      <c r="C410" s="84"/>
      <c r="D410" s="84"/>
      <c r="E410" s="84"/>
      <c r="F410" s="84"/>
    </row>
    <row r="411" ht="15.75" customHeight="1">
      <c r="A411" s="84"/>
      <c r="B411" s="84"/>
      <c r="C411" s="84"/>
      <c r="D411" s="84"/>
      <c r="E411" s="84"/>
      <c r="F411" s="84"/>
    </row>
    <row r="412" ht="15.75" customHeight="1">
      <c r="A412" s="84"/>
      <c r="B412" s="84"/>
      <c r="C412" s="84"/>
      <c r="D412" s="84"/>
      <c r="E412" s="84"/>
      <c r="F412" s="84"/>
    </row>
    <row r="413" ht="15.75" customHeight="1">
      <c r="A413" s="84"/>
      <c r="B413" s="84"/>
      <c r="C413" s="84"/>
      <c r="D413" s="84"/>
      <c r="E413" s="84"/>
      <c r="F413" s="84"/>
    </row>
    <row r="414" ht="15.75" customHeight="1">
      <c r="A414" s="84"/>
      <c r="B414" s="84"/>
      <c r="C414" s="84"/>
      <c r="D414" s="84"/>
      <c r="E414" s="84"/>
      <c r="F414" s="84"/>
    </row>
    <row r="415" ht="15.75" customHeight="1">
      <c r="A415" s="84"/>
      <c r="B415" s="84"/>
      <c r="C415" s="84"/>
      <c r="D415" s="84"/>
      <c r="E415" s="84"/>
      <c r="F415" s="84"/>
    </row>
    <row r="416" ht="15.75" customHeight="1">
      <c r="A416" s="84"/>
      <c r="B416" s="84"/>
      <c r="C416" s="84"/>
      <c r="D416" s="84"/>
      <c r="E416" s="84"/>
      <c r="F416" s="84"/>
    </row>
    <row r="417" ht="15.75" customHeight="1">
      <c r="A417" s="84"/>
      <c r="B417" s="84"/>
      <c r="C417" s="84"/>
      <c r="D417" s="84"/>
      <c r="E417" s="84"/>
      <c r="F417" s="84"/>
    </row>
    <row r="418" ht="15.75" customHeight="1">
      <c r="A418" s="84"/>
      <c r="B418" s="84"/>
      <c r="C418" s="84"/>
      <c r="D418" s="84"/>
      <c r="E418" s="84"/>
      <c r="F418" s="84"/>
    </row>
    <row r="419" ht="15.75" customHeight="1">
      <c r="A419" s="84"/>
      <c r="B419" s="84"/>
      <c r="C419" s="84"/>
      <c r="D419" s="84"/>
      <c r="E419" s="84"/>
      <c r="F419" s="84"/>
    </row>
    <row r="420" ht="15.75" customHeight="1">
      <c r="A420" s="84"/>
      <c r="B420" s="84"/>
      <c r="C420" s="84"/>
      <c r="D420" s="84"/>
      <c r="E420" s="84"/>
      <c r="F420" s="84"/>
    </row>
    <row r="421" ht="15.75" customHeight="1">
      <c r="A421" s="84"/>
      <c r="B421" s="84"/>
      <c r="C421" s="84"/>
      <c r="D421" s="84"/>
      <c r="E421" s="84"/>
      <c r="F421" s="84"/>
    </row>
    <row r="422" ht="15.75" customHeight="1">
      <c r="A422" s="84"/>
      <c r="B422" s="84"/>
      <c r="C422" s="84"/>
      <c r="D422" s="84"/>
      <c r="E422" s="84"/>
      <c r="F422" s="84"/>
    </row>
    <row r="423" ht="15.75" customHeight="1">
      <c r="A423" s="84"/>
      <c r="B423" s="84"/>
      <c r="C423" s="84"/>
      <c r="D423" s="84"/>
      <c r="E423" s="84"/>
      <c r="F423" s="84"/>
    </row>
    <row r="424" ht="15.75" customHeight="1">
      <c r="A424" s="84"/>
      <c r="B424" s="84"/>
      <c r="C424" s="84"/>
      <c r="D424" s="84"/>
      <c r="E424" s="84"/>
      <c r="F424" s="84"/>
    </row>
    <row r="425" ht="15.75" customHeight="1">
      <c r="A425" s="84"/>
      <c r="B425" s="84"/>
      <c r="C425" s="84"/>
      <c r="D425" s="84"/>
      <c r="E425" s="84"/>
      <c r="F425" s="84"/>
    </row>
    <row r="426" ht="15.75" customHeight="1">
      <c r="A426" s="84"/>
      <c r="B426" s="84"/>
      <c r="C426" s="84"/>
      <c r="D426" s="84"/>
      <c r="E426" s="84"/>
      <c r="F426" s="84"/>
    </row>
    <row r="427" ht="15.75" customHeight="1">
      <c r="A427" s="84"/>
      <c r="B427" s="84"/>
      <c r="C427" s="84"/>
      <c r="D427" s="84"/>
      <c r="E427" s="84"/>
      <c r="F427" s="84"/>
    </row>
    <row r="428" ht="15.75" customHeight="1">
      <c r="A428" s="84"/>
      <c r="B428" s="84"/>
      <c r="C428" s="84"/>
      <c r="D428" s="84"/>
      <c r="E428" s="84"/>
      <c r="F428" s="84"/>
    </row>
    <row r="429" ht="15.75" customHeight="1">
      <c r="A429" s="84"/>
      <c r="B429" s="84"/>
      <c r="C429" s="84"/>
      <c r="D429" s="84"/>
      <c r="E429" s="84"/>
      <c r="F429" s="84"/>
    </row>
    <row r="430" ht="15.75" customHeight="1">
      <c r="A430" s="84"/>
      <c r="B430" s="84"/>
      <c r="C430" s="84"/>
      <c r="D430" s="84"/>
      <c r="E430" s="84"/>
      <c r="F430" s="84"/>
    </row>
    <row r="431" ht="15.75" customHeight="1">
      <c r="A431" s="84"/>
      <c r="B431" s="84"/>
      <c r="C431" s="84"/>
      <c r="D431" s="84"/>
      <c r="E431" s="84"/>
      <c r="F431" s="84"/>
    </row>
    <row r="432" ht="15.75" customHeight="1">
      <c r="A432" s="84"/>
      <c r="B432" s="84"/>
      <c r="C432" s="84"/>
      <c r="D432" s="84"/>
      <c r="E432" s="84"/>
      <c r="F432" s="84"/>
    </row>
    <row r="433" ht="15.75" customHeight="1">
      <c r="A433" s="84"/>
      <c r="B433" s="84"/>
      <c r="C433" s="84"/>
      <c r="D433" s="84"/>
      <c r="E433" s="84"/>
      <c r="F433" s="84"/>
    </row>
    <row r="434" ht="15.75" customHeight="1">
      <c r="A434" s="84"/>
      <c r="B434" s="84"/>
      <c r="C434" s="84"/>
      <c r="D434" s="84"/>
      <c r="E434" s="84"/>
      <c r="F434" s="84"/>
    </row>
    <row r="435" ht="15.75" customHeight="1">
      <c r="A435" s="84"/>
      <c r="B435" s="84"/>
      <c r="C435" s="84"/>
      <c r="D435" s="84"/>
      <c r="E435" s="84"/>
      <c r="F435" s="84"/>
    </row>
    <row r="436" ht="15.75" customHeight="1">
      <c r="A436" s="84"/>
      <c r="B436" s="84"/>
      <c r="C436" s="84"/>
      <c r="D436" s="84"/>
      <c r="E436" s="84"/>
      <c r="F436" s="84"/>
    </row>
    <row r="437" ht="15.75" customHeight="1">
      <c r="A437" s="84"/>
      <c r="B437" s="84"/>
      <c r="C437" s="84"/>
      <c r="D437" s="84"/>
      <c r="E437" s="84"/>
      <c r="F437" s="84"/>
    </row>
    <row r="438" ht="15.75" customHeight="1">
      <c r="A438" s="84"/>
      <c r="B438" s="84"/>
      <c r="C438" s="84"/>
      <c r="D438" s="84"/>
      <c r="E438" s="84"/>
      <c r="F438" s="84"/>
    </row>
    <row r="439" ht="15.75" customHeight="1">
      <c r="A439" s="84"/>
      <c r="B439" s="84"/>
      <c r="C439" s="84"/>
      <c r="D439" s="84"/>
      <c r="E439" s="84"/>
      <c r="F439" s="84"/>
    </row>
    <row r="440" ht="15.75" customHeight="1">
      <c r="A440" s="84"/>
      <c r="B440" s="84"/>
      <c r="C440" s="84"/>
      <c r="D440" s="84"/>
      <c r="E440" s="84"/>
      <c r="F440" s="84"/>
    </row>
    <row r="441" ht="15.75" customHeight="1">
      <c r="A441" s="84"/>
      <c r="B441" s="84"/>
      <c r="C441" s="84"/>
      <c r="D441" s="84"/>
      <c r="E441" s="84"/>
      <c r="F441" s="84"/>
    </row>
    <row r="442" ht="15.75" customHeight="1">
      <c r="A442" s="84"/>
      <c r="B442" s="84"/>
      <c r="C442" s="84"/>
      <c r="D442" s="84"/>
      <c r="E442" s="84"/>
      <c r="F442" s="84"/>
    </row>
    <row r="443" ht="15.75" customHeight="1">
      <c r="A443" s="84"/>
      <c r="B443" s="84"/>
      <c r="C443" s="84"/>
      <c r="D443" s="84"/>
      <c r="E443" s="84"/>
      <c r="F443" s="84"/>
    </row>
    <row r="444" ht="15.75" customHeight="1">
      <c r="A444" s="84"/>
      <c r="B444" s="84"/>
      <c r="C444" s="84"/>
      <c r="D444" s="84"/>
      <c r="E444" s="84"/>
      <c r="F444" s="84"/>
    </row>
    <row r="445" ht="15.75" customHeight="1">
      <c r="A445" s="84"/>
      <c r="B445" s="84"/>
      <c r="C445" s="84"/>
      <c r="D445" s="84"/>
      <c r="E445" s="84"/>
      <c r="F445" s="84"/>
    </row>
    <row r="446" ht="15.75" customHeight="1">
      <c r="A446" s="84"/>
      <c r="B446" s="84"/>
      <c r="C446" s="84"/>
      <c r="D446" s="84"/>
      <c r="E446" s="84"/>
      <c r="F446" s="84"/>
    </row>
    <row r="447" ht="15.75" customHeight="1">
      <c r="A447" s="84"/>
      <c r="B447" s="84"/>
      <c r="C447" s="84"/>
      <c r="D447" s="84"/>
      <c r="E447" s="84"/>
      <c r="F447" s="84"/>
    </row>
    <row r="448" ht="15.75" customHeight="1">
      <c r="A448" s="84"/>
      <c r="B448" s="84"/>
      <c r="C448" s="84"/>
      <c r="D448" s="84"/>
      <c r="E448" s="84"/>
      <c r="F448" s="84"/>
    </row>
    <row r="449" ht="15.75" customHeight="1">
      <c r="A449" s="84"/>
      <c r="B449" s="84"/>
      <c r="C449" s="84"/>
      <c r="D449" s="84"/>
      <c r="E449" s="84"/>
      <c r="F449" s="84"/>
    </row>
    <row r="450" ht="15.75" customHeight="1">
      <c r="A450" s="84"/>
      <c r="B450" s="84"/>
      <c r="C450" s="84"/>
      <c r="D450" s="84"/>
      <c r="E450" s="84"/>
      <c r="F450" s="84"/>
    </row>
    <row r="451" ht="15.75" customHeight="1">
      <c r="A451" s="84"/>
      <c r="B451" s="84"/>
      <c r="C451" s="84"/>
      <c r="D451" s="84"/>
      <c r="E451" s="84"/>
      <c r="F451" s="84"/>
    </row>
    <row r="452" ht="15.75" customHeight="1">
      <c r="A452" s="84"/>
      <c r="B452" s="84"/>
      <c r="C452" s="84"/>
      <c r="D452" s="84"/>
      <c r="E452" s="84"/>
      <c r="F452" s="84"/>
    </row>
    <row r="453" ht="15.75" customHeight="1">
      <c r="A453" s="84"/>
      <c r="B453" s="84"/>
      <c r="C453" s="84"/>
      <c r="D453" s="84"/>
      <c r="E453" s="84"/>
      <c r="F453" s="84"/>
    </row>
    <row r="454" ht="15.75" customHeight="1">
      <c r="A454" s="84"/>
      <c r="B454" s="84"/>
      <c r="C454" s="84"/>
      <c r="D454" s="84"/>
      <c r="E454" s="84"/>
      <c r="F454" s="84"/>
    </row>
    <row r="455" ht="15.75" customHeight="1">
      <c r="A455" s="84"/>
      <c r="B455" s="84"/>
      <c r="C455" s="84"/>
      <c r="D455" s="84"/>
      <c r="E455" s="84"/>
      <c r="F455" s="84"/>
    </row>
    <row r="456" ht="15.75" customHeight="1">
      <c r="A456" s="84"/>
      <c r="B456" s="84"/>
      <c r="C456" s="84"/>
      <c r="D456" s="84"/>
      <c r="E456" s="84"/>
      <c r="F456" s="84"/>
    </row>
    <row r="457" ht="15.75" customHeight="1">
      <c r="A457" s="84"/>
      <c r="B457" s="84"/>
      <c r="C457" s="84"/>
      <c r="D457" s="84"/>
      <c r="E457" s="84"/>
      <c r="F457" s="84"/>
    </row>
    <row r="458" ht="15.75" customHeight="1">
      <c r="A458" s="84"/>
      <c r="B458" s="84"/>
      <c r="C458" s="84"/>
      <c r="D458" s="84"/>
      <c r="E458" s="84"/>
      <c r="F458" s="84"/>
    </row>
    <row r="459" ht="15.75" customHeight="1">
      <c r="A459" s="84"/>
      <c r="B459" s="84"/>
      <c r="C459" s="84"/>
      <c r="D459" s="84"/>
      <c r="E459" s="84"/>
      <c r="F459" s="84"/>
    </row>
    <row r="460" ht="15.75" customHeight="1">
      <c r="A460" s="84"/>
      <c r="B460" s="84"/>
      <c r="C460" s="84"/>
      <c r="D460" s="84"/>
      <c r="E460" s="84"/>
      <c r="F460" s="84"/>
    </row>
    <row r="461" ht="15.75" customHeight="1">
      <c r="A461" s="84"/>
      <c r="B461" s="84"/>
      <c r="C461" s="84"/>
      <c r="D461" s="84"/>
      <c r="E461" s="84"/>
      <c r="F461" s="84"/>
    </row>
    <row r="462" ht="15.75" customHeight="1">
      <c r="A462" s="84"/>
      <c r="B462" s="84"/>
      <c r="C462" s="84"/>
      <c r="D462" s="84"/>
      <c r="E462" s="84"/>
      <c r="F462" s="84"/>
    </row>
    <row r="463" ht="15.75" customHeight="1">
      <c r="A463" s="84"/>
      <c r="B463" s="84"/>
      <c r="C463" s="84"/>
      <c r="D463" s="84"/>
      <c r="E463" s="84"/>
      <c r="F463" s="84"/>
    </row>
    <row r="464" ht="15.75" customHeight="1">
      <c r="A464" s="84"/>
      <c r="B464" s="84"/>
      <c r="C464" s="84"/>
      <c r="D464" s="84"/>
      <c r="E464" s="84"/>
      <c r="F464" s="84"/>
    </row>
    <row r="465" ht="15.75" customHeight="1">
      <c r="A465" s="84"/>
      <c r="B465" s="84"/>
      <c r="C465" s="84"/>
      <c r="D465" s="84"/>
      <c r="E465" s="84"/>
      <c r="F465" s="84"/>
    </row>
    <row r="466" ht="15.75" customHeight="1">
      <c r="A466" s="84"/>
      <c r="B466" s="84"/>
      <c r="C466" s="84"/>
      <c r="D466" s="84"/>
      <c r="E466" s="84"/>
      <c r="F466" s="84"/>
    </row>
    <row r="467" ht="15.75" customHeight="1">
      <c r="A467" s="84"/>
      <c r="B467" s="84"/>
      <c r="C467" s="84"/>
      <c r="D467" s="84"/>
      <c r="E467" s="84"/>
      <c r="F467" s="84"/>
    </row>
    <row r="468" ht="15.75" customHeight="1">
      <c r="A468" s="84"/>
      <c r="B468" s="84"/>
      <c r="C468" s="84"/>
      <c r="D468" s="84"/>
      <c r="E468" s="84"/>
      <c r="F468" s="84"/>
    </row>
    <row r="469" ht="15.75" customHeight="1">
      <c r="A469" s="84"/>
      <c r="B469" s="84"/>
      <c r="C469" s="84"/>
      <c r="D469" s="84"/>
      <c r="E469" s="84"/>
      <c r="F469" s="84"/>
    </row>
    <row r="470" ht="15.75" customHeight="1">
      <c r="A470" s="84"/>
      <c r="B470" s="84"/>
      <c r="C470" s="84"/>
      <c r="D470" s="84"/>
      <c r="E470" s="84"/>
      <c r="F470" s="84"/>
    </row>
    <row r="471" ht="15.75" customHeight="1">
      <c r="A471" s="84"/>
      <c r="B471" s="84"/>
      <c r="C471" s="84"/>
      <c r="D471" s="84"/>
      <c r="E471" s="84"/>
      <c r="F471" s="84"/>
    </row>
    <row r="472" ht="15.75" customHeight="1">
      <c r="A472" s="84"/>
      <c r="B472" s="84"/>
      <c r="C472" s="84"/>
      <c r="D472" s="84"/>
      <c r="E472" s="84"/>
      <c r="F472" s="84"/>
    </row>
    <row r="473" ht="15.75" customHeight="1">
      <c r="A473" s="84"/>
      <c r="B473" s="84"/>
      <c r="C473" s="84"/>
      <c r="D473" s="84"/>
      <c r="E473" s="84"/>
      <c r="F473" s="84"/>
    </row>
    <row r="474" ht="15.75" customHeight="1">
      <c r="A474" s="84"/>
      <c r="B474" s="84"/>
      <c r="C474" s="84"/>
      <c r="D474" s="84"/>
      <c r="E474" s="84"/>
      <c r="F474" s="84"/>
    </row>
    <row r="475" ht="15.75" customHeight="1">
      <c r="A475" s="84"/>
      <c r="B475" s="84"/>
      <c r="C475" s="84"/>
      <c r="D475" s="84"/>
      <c r="E475" s="84"/>
      <c r="F475" s="84"/>
    </row>
    <row r="476" ht="15.75" customHeight="1">
      <c r="A476" s="84"/>
      <c r="B476" s="84"/>
      <c r="C476" s="84"/>
      <c r="D476" s="84"/>
      <c r="E476" s="84"/>
      <c r="F476" s="84"/>
    </row>
    <row r="477" ht="15.75" customHeight="1">
      <c r="A477" s="84"/>
      <c r="B477" s="84"/>
      <c r="C477" s="84"/>
      <c r="D477" s="84"/>
      <c r="E477" s="84"/>
      <c r="F477" s="84"/>
    </row>
    <row r="478" ht="15.75" customHeight="1">
      <c r="A478" s="84"/>
      <c r="B478" s="84"/>
      <c r="C478" s="84"/>
      <c r="D478" s="84"/>
      <c r="E478" s="84"/>
      <c r="F478" s="84"/>
    </row>
    <row r="479" ht="15.75" customHeight="1">
      <c r="A479" s="84"/>
      <c r="B479" s="84"/>
      <c r="C479" s="84"/>
      <c r="D479" s="84"/>
      <c r="E479" s="84"/>
      <c r="F479" s="84"/>
    </row>
    <row r="480" ht="15.75" customHeight="1">
      <c r="A480" s="84"/>
      <c r="B480" s="84"/>
      <c r="C480" s="84"/>
      <c r="D480" s="84"/>
      <c r="E480" s="84"/>
      <c r="F480" s="84"/>
    </row>
    <row r="481" ht="15.75" customHeight="1">
      <c r="A481" s="84"/>
      <c r="B481" s="84"/>
      <c r="C481" s="84"/>
      <c r="D481" s="84"/>
      <c r="E481" s="84"/>
      <c r="F481" s="84"/>
    </row>
    <row r="482" ht="15.75" customHeight="1">
      <c r="A482" s="84"/>
      <c r="B482" s="84"/>
      <c r="C482" s="84"/>
      <c r="D482" s="84"/>
      <c r="E482" s="84"/>
      <c r="F482" s="84"/>
    </row>
    <row r="483" ht="15.75" customHeight="1">
      <c r="A483" s="84"/>
      <c r="B483" s="84"/>
      <c r="C483" s="84"/>
      <c r="D483" s="84"/>
      <c r="E483" s="84"/>
      <c r="F483" s="84"/>
    </row>
    <row r="484" ht="15.75" customHeight="1">
      <c r="A484" s="84"/>
      <c r="B484" s="84"/>
      <c r="C484" s="84"/>
      <c r="D484" s="84"/>
      <c r="E484" s="84"/>
      <c r="F484" s="84"/>
    </row>
    <row r="485" ht="15.75" customHeight="1">
      <c r="A485" s="84"/>
      <c r="B485" s="84"/>
      <c r="C485" s="84"/>
      <c r="D485" s="84"/>
      <c r="E485" s="84"/>
      <c r="F485" s="84"/>
    </row>
    <row r="486" ht="15.75" customHeight="1">
      <c r="A486" s="84"/>
      <c r="B486" s="84"/>
      <c r="C486" s="84"/>
      <c r="D486" s="84"/>
      <c r="E486" s="84"/>
      <c r="F486" s="84"/>
    </row>
    <row r="487" ht="15.75" customHeight="1">
      <c r="A487" s="84"/>
      <c r="B487" s="84"/>
      <c r="C487" s="84"/>
      <c r="D487" s="84"/>
      <c r="E487" s="84"/>
      <c r="F487" s="84"/>
    </row>
    <row r="488" ht="15.75" customHeight="1">
      <c r="A488" s="84"/>
      <c r="B488" s="84"/>
      <c r="C488" s="84"/>
      <c r="D488" s="84"/>
      <c r="E488" s="84"/>
      <c r="F488" s="84"/>
    </row>
    <row r="489" ht="15.75" customHeight="1">
      <c r="A489" s="84"/>
      <c r="B489" s="84"/>
      <c r="C489" s="84"/>
      <c r="D489" s="84"/>
      <c r="E489" s="84"/>
      <c r="F489" s="84"/>
    </row>
    <row r="490" ht="15.75" customHeight="1">
      <c r="A490" s="84"/>
      <c r="B490" s="84"/>
      <c r="C490" s="84"/>
      <c r="D490" s="84"/>
      <c r="E490" s="84"/>
      <c r="F490" s="84"/>
    </row>
    <row r="491" ht="15.75" customHeight="1">
      <c r="A491" s="84"/>
      <c r="B491" s="84"/>
      <c r="C491" s="84"/>
      <c r="D491" s="84"/>
      <c r="E491" s="84"/>
      <c r="F491" s="84"/>
    </row>
    <row r="492" ht="15.75" customHeight="1">
      <c r="A492" s="84"/>
      <c r="B492" s="84"/>
      <c r="C492" s="84"/>
      <c r="D492" s="84"/>
      <c r="E492" s="84"/>
      <c r="F492" s="84"/>
    </row>
    <row r="493" ht="15.75" customHeight="1">
      <c r="A493" s="84"/>
      <c r="B493" s="84"/>
      <c r="C493" s="84"/>
      <c r="D493" s="84"/>
      <c r="E493" s="84"/>
      <c r="F493" s="84"/>
    </row>
    <row r="494" ht="15.75" customHeight="1">
      <c r="A494" s="84"/>
      <c r="B494" s="84"/>
      <c r="C494" s="84"/>
      <c r="D494" s="84"/>
      <c r="E494" s="84"/>
      <c r="F494" s="84"/>
    </row>
    <row r="495" ht="15.75" customHeight="1">
      <c r="A495" s="84"/>
      <c r="B495" s="84"/>
      <c r="C495" s="84"/>
      <c r="D495" s="84"/>
      <c r="E495" s="84"/>
      <c r="F495" s="84"/>
    </row>
    <row r="496" ht="15.75" customHeight="1">
      <c r="A496" s="84"/>
      <c r="B496" s="84"/>
      <c r="C496" s="84"/>
      <c r="D496" s="84"/>
      <c r="E496" s="84"/>
      <c r="F496" s="84"/>
    </row>
    <row r="497" ht="15.75" customHeight="1">
      <c r="A497" s="84"/>
      <c r="B497" s="84"/>
      <c r="C497" s="84"/>
      <c r="D497" s="84"/>
      <c r="E497" s="84"/>
      <c r="F497" s="84"/>
    </row>
    <row r="498" ht="15.75" customHeight="1">
      <c r="A498" s="84"/>
      <c r="B498" s="84"/>
      <c r="C498" s="84"/>
      <c r="D498" s="84"/>
      <c r="E498" s="84"/>
      <c r="F498" s="84"/>
    </row>
    <row r="499" ht="15.75" customHeight="1">
      <c r="A499" s="84"/>
      <c r="B499" s="84"/>
      <c r="C499" s="84"/>
      <c r="D499" s="84"/>
      <c r="E499" s="84"/>
      <c r="F499" s="84"/>
    </row>
    <row r="500" ht="15.75" customHeight="1">
      <c r="A500" s="84"/>
      <c r="B500" s="84"/>
      <c r="C500" s="84"/>
      <c r="D500" s="84"/>
      <c r="E500" s="84"/>
      <c r="F500" s="84"/>
    </row>
    <row r="501" ht="15.75" customHeight="1">
      <c r="A501" s="84"/>
      <c r="B501" s="84"/>
      <c r="C501" s="84"/>
      <c r="D501" s="84"/>
      <c r="E501" s="84"/>
      <c r="F501" s="84"/>
    </row>
    <row r="502" ht="15.75" customHeight="1">
      <c r="A502" s="84"/>
      <c r="B502" s="84"/>
      <c r="C502" s="84"/>
      <c r="D502" s="84"/>
      <c r="E502" s="84"/>
      <c r="F502" s="84"/>
    </row>
    <row r="503" ht="15.75" customHeight="1">
      <c r="A503" s="84"/>
      <c r="B503" s="84"/>
      <c r="C503" s="84"/>
      <c r="D503" s="84"/>
      <c r="E503" s="84"/>
      <c r="F503" s="84"/>
    </row>
    <row r="504" ht="15.75" customHeight="1">
      <c r="A504" s="84"/>
      <c r="B504" s="84"/>
      <c r="C504" s="84"/>
      <c r="D504" s="84"/>
      <c r="E504" s="84"/>
      <c r="F504" s="84"/>
    </row>
    <row r="505" ht="15.75" customHeight="1">
      <c r="A505" s="84"/>
      <c r="B505" s="84"/>
      <c r="C505" s="84"/>
      <c r="D505" s="84"/>
      <c r="E505" s="84"/>
      <c r="F505" s="84"/>
    </row>
    <row r="506" ht="15.75" customHeight="1">
      <c r="A506" s="84"/>
      <c r="B506" s="84"/>
      <c r="C506" s="84"/>
      <c r="D506" s="84"/>
      <c r="E506" s="84"/>
      <c r="F506" s="84"/>
    </row>
    <row r="507" ht="15.75" customHeight="1">
      <c r="A507" s="84"/>
      <c r="B507" s="84"/>
      <c r="C507" s="84"/>
      <c r="D507" s="84"/>
      <c r="E507" s="84"/>
      <c r="F507" s="84"/>
    </row>
    <row r="508" ht="15.75" customHeight="1">
      <c r="A508" s="84"/>
      <c r="B508" s="84"/>
      <c r="C508" s="84"/>
      <c r="D508" s="84"/>
      <c r="E508" s="84"/>
      <c r="F508" s="84"/>
    </row>
    <row r="509" ht="15.75" customHeight="1">
      <c r="A509" s="84"/>
      <c r="B509" s="84"/>
      <c r="C509" s="84"/>
      <c r="D509" s="84"/>
      <c r="E509" s="84"/>
      <c r="F509" s="84"/>
    </row>
    <row r="510" ht="15.75" customHeight="1">
      <c r="A510" s="84"/>
      <c r="B510" s="84"/>
      <c r="C510" s="84"/>
      <c r="D510" s="84"/>
      <c r="E510" s="84"/>
      <c r="F510" s="84"/>
    </row>
    <row r="511" ht="15.75" customHeight="1">
      <c r="A511" s="84"/>
      <c r="B511" s="84"/>
      <c r="C511" s="84"/>
      <c r="D511" s="84"/>
      <c r="E511" s="84"/>
      <c r="F511" s="84"/>
    </row>
    <row r="512" ht="15.75" customHeight="1">
      <c r="A512" s="84"/>
      <c r="B512" s="84"/>
      <c r="C512" s="84"/>
      <c r="D512" s="84"/>
      <c r="E512" s="84"/>
      <c r="F512" s="84"/>
    </row>
    <row r="513" ht="15.75" customHeight="1">
      <c r="A513" s="84"/>
      <c r="B513" s="84"/>
      <c r="C513" s="84"/>
      <c r="D513" s="84"/>
      <c r="E513" s="84"/>
      <c r="F513" s="84"/>
    </row>
    <row r="514" ht="15.75" customHeight="1">
      <c r="A514" s="84"/>
      <c r="B514" s="84"/>
      <c r="C514" s="84"/>
      <c r="D514" s="84"/>
      <c r="E514" s="84"/>
      <c r="F514" s="84"/>
    </row>
    <row r="515" ht="15.75" customHeight="1">
      <c r="A515" s="84"/>
      <c r="B515" s="84"/>
      <c r="C515" s="84"/>
      <c r="D515" s="84"/>
      <c r="E515" s="84"/>
      <c r="F515" s="84"/>
    </row>
    <row r="516" ht="15.75" customHeight="1">
      <c r="A516" s="84"/>
      <c r="B516" s="84"/>
      <c r="C516" s="84"/>
      <c r="D516" s="84"/>
      <c r="E516" s="84"/>
      <c r="F516" s="84"/>
    </row>
    <row r="517" ht="15.75" customHeight="1">
      <c r="A517" s="84"/>
      <c r="B517" s="84"/>
      <c r="C517" s="84"/>
      <c r="D517" s="84"/>
      <c r="E517" s="84"/>
      <c r="F517" s="84"/>
    </row>
    <row r="518" ht="15.75" customHeight="1">
      <c r="A518" s="84"/>
      <c r="B518" s="84"/>
      <c r="C518" s="84"/>
      <c r="D518" s="84"/>
      <c r="E518" s="84"/>
      <c r="F518" s="84"/>
    </row>
    <row r="519" ht="15.75" customHeight="1">
      <c r="A519" s="84"/>
      <c r="B519" s="84"/>
      <c r="C519" s="84"/>
      <c r="D519" s="84"/>
      <c r="E519" s="84"/>
      <c r="F519" s="84"/>
    </row>
    <row r="520" ht="15.75" customHeight="1">
      <c r="A520" s="84"/>
      <c r="B520" s="84"/>
      <c r="C520" s="84"/>
      <c r="D520" s="84"/>
      <c r="E520" s="84"/>
      <c r="F520" s="84"/>
    </row>
    <row r="521" ht="15.75" customHeight="1">
      <c r="A521" s="84"/>
      <c r="B521" s="84"/>
      <c r="C521" s="84"/>
      <c r="D521" s="84"/>
      <c r="E521" s="84"/>
      <c r="F521" s="84"/>
    </row>
    <row r="522" ht="15.75" customHeight="1">
      <c r="A522" s="84"/>
      <c r="B522" s="84"/>
      <c r="C522" s="84"/>
      <c r="D522" s="84"/>
      <c r="E522" s="84"/>
      <c r="F522" s="84"/>
    </row>
    <row r="523" ht="15.75" customHeight="1">
      <c r="A523" s="84"/>
      <c r="B523" s="84"/>
      <c r="C523" s="84"/>
      <c r="D523" s="84"/>
      <c r="E523" s="84"/>
      <c r="F523" s="84"/>
    </row>
    <row r="524" ht="15.75" customHeight="1">
      <c r="A524" s="84"/>
      <c r="B524" s="84"/>
      <c r="C524" s="84"/>
      <c r="D524" s="84"/>
      <c r="E524" s="84"/>
      <c r="F524" s="84"/>
    </row>
    <row r="525" ht="15.75" customHeight="1">
      <c r="A525" s="84"/>
      <c r="B525" s="84"/>
      <c r="C525" s="84"/>
      <c r="D525" s="84"/>
      <c r="E525" s="84"/>
      <c r="F525" s="84"/>
    </row>
    <row r="526" ht="15.75" customHeight="1">
      <c r="A526" s="84"/>
      <c r="B526" s="84"/>
      <c r="C526" s="84"/>
      <c r="D526" s="84"/>
      <c r="E526" s="84"/>
      <c r="F526" s="84"/>
    </row>
    <row r="527" ht="15.75" customHeight="1">
      <c r="A527" s="84"/>
      <c r="B527" s="84"/>
      <c r="C527" s="84"/>
      <c r="D527" s="84"/>
      <c r="E527" s="84"/>
      <c r="F527" s="84"/>
    </row>
    <row r="528" ht="15.75" customHeight="1">
      <c r="A528" s="84"/>
      <c r="B528" s="84"/>
      <c r="C528" s="84"/>
      <c r="D528" s="84"/>
      <c r="E528" s="84"/>
      <c r="F528" s="84"/>
    </row>
    <row r="529" ht="15.75" customHeight="1">
      <c r="A529" s="84"/>
      <c r="B529" s="84"/>
      <c r="C529" s="84"/>
      <c r="D529" s="84"/>
      <c r="E529" s="84"/>
      <c r="F529" s="84"/>
    </row>
    <row r="530" ht="15.75" customHeight="1">
      <c r="A530" s="84"/>
      <c r="B530" s="84"/>
      <c r="C530" s="84"/>
      <c r="D530" s="84"/>
      <c r="E530" s="84"/>
      <c r="F530" s="84"/>
    </row>
    <row r="531" ht="15.75" customHeight="1">
      <c r="A531" s="84"/>
      <c r="B531" s="84"/>
      <c r="C531" s="84"/>
      <c r="D531" s="84"/>
      <c r="E531" s="84"/>
      <c r="F531" s="84"/>
    </row>
    <row r="532" ht="15.75" customHeight="1">
      <c r="A532" s="84"/>
      <c r="B532" s="84"/>
      <c r="C532" s="84"/>
      <c r="D532" s="84"/>
      <c r="E532" s="84"/>
      <c r="F532" s="84"/>
    </row>
    <row r="533" ht="15.75" customHeight="1">
      <c r="A533" s="84"/>
      <c r="B533" s="84"/>
      <c r="C533" s="84"/>
      <c r="D533" s="84"/>
      <c r="E533" s="84"/>
      <c r="F533" s="84"/>
    </row>
    <row r="534" ht="15.75" customHeight="1">
      <c r="A534" s="84"/>
      <c r="B534" s="84"/>
      <c r="C534" s="84"/>
      <c r="D534" s="84"/>
      <c r="E534" s="84"/>
      <c r="F534" s="84"/>
    </row>
    <row r="535" ht="15.75" customHeight="1">
      <c r="A535" s="84"/>
      <c r="B535" s="84"/>
      <c r="C535" s="84"/>
      <c r="D535" s="84"/>
      <c r="E535" s="84"/>
      <c r="F535" s="84"/>
    </row>
    <row r="536" ht="15.75" customHeight="1">
      <c r="A536" s="84"/>
      <c r="B536" s="84"/>
      <c r="C536" s="84"/>
      <c r="D536" s="84"/>
      <c r="E536" s="84"/>
      <c r="F536" s="84"/>
    </row>
    <row r="537" ht="15.75" customHeight="1">
      <c r="A537" s="84"/>
      <c r="B537" s="84"/>
      <c r="C537" s="84"/>
      <c r="D537" s="84"/>
      <c r="E537" s="84"/>
      <c r="F537" s="84"/>
    </row>
    <row r="538" ht="15.75" customHeight="1">
      <c r="A538" s="84"/>
      <c r="B538" s="84"/>
      <c r="C538" s="84"/>
      <c r="D538" s="84"/>
      <c r="E538" s="84"/>
      <c r="F538" s="84"/>
    </row>
    <row r="539" ht="15.75" customHeight="1">
      <c r="A539" s="84"/>
      <c r="B539" s="84"/>
      <c r="C539" s="84"/>
      <c r="D539" s="84"/>
      <c r="E539" s="84"/>
      <c r="F539" s="84"/>
    </row>
    <row r="540" ht="15.75" customHeight="1">
      <c r="A540" s="84"/>
      <c r="B540" s="84"/>
      <c r="C540" s="84"/>
      <c r="D540" s="84"/>
      <c r="E540" s="84"/>
      <c r="F540" s="84"/>
    </row>
    <row r="541" ht="15.75" customHeight="1">
      <c r="A541" s="84"/>
      <c r="B541" s="84"/>
      <c r="C541" s="84"/>
      <c r="D541" s="84"/>
      <c r="E541" s="84"/>
      <c r="F541" s="84"/>
    </row>
    <row r="542" ht="15.75" customHeight="1">
      <c r="A542" s="84"/>
      <c r="B542" s="84"/>
      <c r="C542" s="84"/>
      <c r="D542" s="84"/>
      <c r="E542" s="84"/>
      <c r="F542" s="84"/>
    </row>
    <row r="543" ht="15.75" customHeight="1">
      <c r="A543" s="84"/>
      <c r="B543" s="84"/>
      <c r="C543" s="84"/>
      <c r="D543" s="84"/>
      <c r="E543" s="84"/>
      <c r="F543" s="84"/>
    </row>
    <row r="544" ht="15.75" customHeight="1">
      <c r="A544" s="84"/>
      <c r="B544" s="84"/>
      <c r="C544" s="84"/>
      <c r="D544" s="84"/>
      <c r="E544" s="84"/>
      <c r="F544" s="84"/>
    </row>
    <row r="545" ht="15.75" customHeight="1">
      <c r="A545" s="84"/>
      <c r="B545" s="84"/>
      <c r="C545" s="84"/>
      <c r="D545" s="84"/>
      <c r="E545" s="84"/>
      <c r="F545" s="84"/>
    </row>
    <row r="546" ht="15.75" customHeight="1">
      <c r="A546" s="84"/>
      <c r="B546" s="84"/>
      <c r="C546" s="84"/>
      <c r="D546" s="84"/>
      <c r="E546" s="84"/>
      <c r="F546" s="84"/>
    </row>
    <row r="547" ht="15.75" customHeight="1">
      <c r="A547" s="84"/>
      <c r="B547" s="84"/>
      <c r="C547" s="84"/>
      <c r="D547" s="84"/>
      <c r="E547" s="84"/>
      <c r="F547" s="84"/>
    </row>
    <row r="548" ht="15.75" customHeight="1">
      <c r="A548" s="84"/>
      <c r="B548" s="84"/>
      <c r="C548" s="84"/>
      <c r="D548" s="84"/>
      <c r="E548" s="84"/>
      <c r="F548" s="84"/>
    </row>
    <row r="549" ht="15.75" customHeight="1">
      <c r="A549" s="84"/>
      <c r="B549" s="84"/>
      <c r="C549" s="84"/>
      <c r="D549" s="84"/>
      <c r="E549" s="84"/>
      <c r="F549" s="84"/>
    </row>
    <row r="550" ht="15.75" customHeight="1">
      <c r="A550" s="84"/>
      <c r="B550" s="84"/>
      <c r="C550" s="84"/>
      <c r="D550" s="84"/>
      <c r="E550" s="84"/>
      <c r="F550" s="84"/>
    </row>
    <row r="551" ht="15.75" customHeight="1">
      <c r="A551" s="84"/>
      <c r="B551" s="84"/>
      <c r="C551" s="84"/>
      <c r="D551" s="84"/>
      <c r="E551" s="84"/>
      <c r="F551" s="84"/>
    </row>
    <row r="552" ht="15.75" customHeight="1">
      <c r="A552" s="84"/>
      <c r="B552" s="84"/>
      <c r="C552" s="84"/>
      <c r="D552" s="84"/>
      <c r="E552" s="84"/>
      <c r="F552" s="84"/>
    </row>
    <row r="553" ht="15.75" customHeight="1">
      <c r="A553" s="84"/>
      <c r="B553" s="84"/>
      <c r="C553" s="84"/>
      <c r="D553" s="84"/>
      <c r="E553" s="84"/>
      <c r="F553" s="84"/>
    </row>
    <row r="554" ht="15.75" customHeight="1">
      <c r="A554" s="84"/>
      <c r="B554" s="84"/>
      <c r="C554" s="84"/>
      <c r="D554" s="84"/>
      <c r="E554" s="84"/>
      <c r="F554" s="84"/>
    </row>
    <row r="555" ht="15.75" customHeight="1">
      <c r="A555" s="84"/>
      <c r="B555" s="84"/>
      <c r="C555" s="84"/>
      <c r="D555" s="84"/>
      <c r="E555" s="84"/>
      <c r="F555" s="84"/>
    </row>
    <row r="556" ht="15.75" customHeight="1">
      <c r="A556" s="84"/>
      <c r="B556" s="84"/>
      <c r="C556" s="84"/>
      <c r="D556" s="84"/>
      <c r="E556" s="84"/>
      <c r="F556" s="84"/>
    </row>
    <row r="557" ht="15.75" customHeight="1">
      <c r="A557" s="84"/>
      <c r="B557" s="84"/>
      <c r="C557" s="84"/>
      <c r="D557" s="84"/>
      <c r="E557" s="84"/>
      <c r="F557" s="84"/>
    </row>
    <row r="558" ht="15.75" customHeight="1">
      <c r="A558" s="84"/>
      <c r="B558" s="84"/>
      <c r="C558" s="84"/>
      <c r="D558" s="84"/>
      <c r="E558" s="84"/>
      <c r="F558" s="84"/>
    </row>
    <row r="559" ht="15.75" customHeight="1">
      <c r="A559" s="84"/>
      <c r="B559" s="84"/>
      <c r="C559" s="84"/>
      <c r="D559" s="84"/>
      <c r="E559" s="84"/>
      <c r="F559" s="84"/>
    </row>
    <row r="560" ht="15.75" customHeight="1">
      <c r="A560" s="84"/>
      <c r="B560" s="84"/>
      <c r="C560" s="84"/>
      <c r="D560" s="84"/>
      <c r="E560" s="84"/>
      <c r="F560" s="84"/>
    </row>
    <row r="561" ht="15.75" customHeight="1">
      <c r="A561" s="84"/>
      <c r="B561" s="84"/>
      <c r="C561" s="84"/>
      <c r="D561" s="84"/>
      <c r="E561" s="84"/>
      <c r="F561" s="84"/>
    </row>
    <row r="562" ht="15.75" customHeight="1">
      <c r="A562" s="84"/>
      <c r="B562" s="84"/>
      <c r="C562" s="84"/>
      <c r="D562" s="84"/>
      <c r="E562" s="84"/>
      <c r="F562" s="84"/>
    </row>
    <row r="563" ht="15.75" customHeight="1">
      <c r="A563" s="84"/>
      <c r="B563" s="84"/>
      <c r="C563" s="84"/>
      <c r="D563" s="84"/>
      <c r="E563" s="84"/>
      <c r="F563" s="84"/>
    </row>
    <row r="564" ht="15.75" customHeight="1">
      <c r="A564" s="84"/>
      <c r="B564" s="84"/>
      <c r="C564" s="84"/>
      <c r="D564" s="84"/>
      <c r="E564" s="84"/>
      <c r="F564" s="84"/>
    </row>
    <row r="565" ht="15.75" customHeight="1">
      <c r="A565" s="84"/>
      <c r="B565" s="84"/>
      <c r="C565" s="84"/>
      <c r="D565" s="84"/>
      <c r="E565" s="84"/>
      <c r="F565" s="84"/>
    </row>
    <row r="566" ht="15.75" customHeight="1">
      <c r="A566" s="84"/>
      <c r="B566" s="84"/>
      <c r="C566" s="84"/>
      <c r="D566" s="84"/>
      <c r="E566" s="84"/>
      <c r="F566" s="84"/>
    </row>
    <row r="567" ht="15.75" customHeight="1">
      <c r="A567" s="84"/>
      <c r="B567" s="84"/>
      <c r="C567" s="84"/>
      <c r="D567" s="84"/>
      <c r="E567" s="84"/>
      <c r="F567" s="84"/>
    </row>
    <row r="568" ht="15.75" customHeight="1">
      <c r="A568" s="84"/>
      <c r="B568" s="84"/>
      <c r="C568" s="84"/>
      <c r="D568" s="84"/>
      <c r="E568" s="84"/>
      <c r="F568" s="84"/>
    </row>
    <row r="569" ht="15.75" customHeight="1">
      <c r="A569" s="84"/>
      <c r="B569" s="84"/>
      <c r="C569" s="84"/>
      <c r="D569" s="84"/>
      <c r="E569" s="84"/>
      <c r="F569" s="84"/>
    </row>
    <row r="570" ht="15.75" customHeight="1">
      <c r="A570" s="84"/>
      <c r="B570" s="84"/>
      <c r="C570" s="84"/>
      <c r="D570" s="84"/>
      <c r="E570" s="84"/>
      <c r="F570" s="84"/>
    </row>
    <row r="571" ht="15.75" customHeight="1">
      <c r="A571" s="84"/>
      <c r="B571" s="84"/>
      <c r="C571" s="84"/>
      <c r="D571" s="84"/>
      <c r="E571" s="84"/>
      <c r="F571" s="84"/>
    </row>
    <row r="572" ht="15.75" customHeight="1">
      <c r="A572" s="84"/>
      <c r="B572" s="84"/>
      <c r="C572" s="84"/>
      <c r="D572" s="84"/>
      <c r="E572" s="84"/>
      <c r="F572" s="84"/>
    </row>
    <row r="573" ht="15.75" customHeight="1">
      <c r="A573" s="84"/>
      <c r="B573" s="84"/>
      <c r="C573" s="84"/>
      <c r="D573" s="84"/>
      <c r="E573" s="84"/>
      <c r="F573" s="84"/>
    </row>
    <row r="574" ht="15.75" customHeight="1">
      <c r="A574" s="84"/>
      <c r="B574" s="84"/>
      <c r="C574" s="84"/>
      <c r="D574" s="84"/>
      <c r="E574" s="84"/>
      <c r="F574" s="84"/>
    </row>
    <row r="575" ht="15.75" customHeight="1">
      <c r="A575" s="84"/>
      <c r="B575" s="84"/>
      <c r="C575" s="84"/>
      <c r="D575" s="84"/>
      <c r="E575" s="84"/>
      <c r="F575" s="84"/>
    </row>
    <row r="576" ht="15.75" customHeight="1">
      <c r="A576" s="84"/>
      <c r="B576" s="84"/>
      <c r="C576" s="84"/>
      <c r="D576" s="84"/>
      <c r="E576" s="84"/>
      <c r="F576" s="84"/>
    </row>
    <row r="577" ht="15.75" customHeight="1">
      <c r="A577" s="84"/>
      <c r="B577" s="84"/>
      <c r="C577" s="84"/>
      <c r="D577" s="84"/>
      <c r="E577" s="84"/>
      <c r="F577" s="84"/>
    </row>
    <row r="578" ht="15.75" customHeight="1">
      <c r="A578" s="84"/>
      <c r="B578" s="84"/>
      <c r="C578" s="84"/>
      <c r="D578" s="84"/>
      <c r="E578" s="84"/>
      <c r="F578" s="84"/>
    </row>
    <row r="579" ht="15.75" customHeight="1">
      <c r="A579" s="84"/>
      <c r="B579" s="84"/>
      <c r="C579" s="84"/>
      <c r="D579" s="84"/>
      <c r="E579" s="84"/>
      <c r="F579" s="84"/>
    </row>
    <row r="580" ht="15.75" customHeight="1">
      <c r="A580" s="84"/>
      <c r="B580" s="84"/>
      <c r="C580" s="84"/>
      <c r="D580" s="84"/>
      <c r="E580" s="84"/>
      <c r="F580" s="84"/>
    </row>
    <row r="581" ht="15.75" customHeight="1">
      <c r="A581" s="84"/>
      <c r="B581" s="84"/>
      <c r="C581" s="84"/>
      <c r="D581" s="84"/>
      <c r="E581" s="84"/>
      <c r="F581" s="84"/>
    </row>
    <row r="582" ht="15.75" customHeight="1">
      <c r="A582" s="84"/>
      <c r="B582" s="84"/>
      <c r="C582" s="84"/>
      <c r="D582" s="84"/>
      <c r="E582" s="84"/>
      <c r="F582" s="84"/>
    </row>
    <row r="583" ht="15.75" customHeight="1">
      <c r="A583" s="84"/>
      <c r="B583" s="84"/>
      <c r="C583" s="84"/>
      <c r="D583" s="84"/>
      <c r="E583" s="84"/>
      <c r="F583" s="84"/>
    </row>
    <row r="584" ht="15.75" customHeight="1">
      <c r="A584" s="84"/>
      <c r="B584" s="84"/>
      <c r="C584" s="84"/>
      <c r="D584" s="84"/>
      <c r="E584" s="84"/>
      <c r="F584" s="84"/>
    </row>
    <row r="585" ht="15.75" customHeight="1">
      <c r="A585" s="84"/>
      <c r="B585" s="84"/>
      <c r="C585" s="84"/>
      <c r="D585" s="84"/>
      <c r="E585" s="84"/>
      <c r="F585" s="84"/>
    </row>
    <row r="586" ht="15.75" customHeight="1">
      <c r="A586" s="84"/>
      <c r="B586" s="84"/>
      <c r="C586" s="84"/>
      <c r="D586" s="84"/>
      <c r="E586" s="84"/>
      <c r="F586" s="84"/>
    </row>
    <row r="587" ht="15.75" customHeight="1">
      <c r="A587" s="84"/>
      <c r="B587" s="84"/>
      <c r="C587" s="84"/>
      <c r="D587" s="84"/>
      <c r="E587" s="84"/>
      <c r="F587" s="84"/>
    </row>
    <row r="588" ht="15.75" customHeight="1">
      <c r="A588" s="84"/>
      <c r="B588" s="84"/>
      <c r="C588" s="84"/>
      <c r="D588" s="84"/>
      <c r="E588" s="84"/>
      <c r="F588" s="84"/>
    </row>
    <row r="589" ht="15.75" customHeight="1">
      <c r="A589" s="84"/>
      <c r="B589" s="84"/>
      <c r="C589" s="84"/>
      <c r="D589" s="84"/>
      <c r="E589" s="84"/>
      <c r="F589" s="84"/>
    </row>
    <row r="590" ht="15.75" customHeight="1">
      <c r="A590" s="84"/>
      <c r="B590" s="84"/>
      <c r="C590" s="84"/>
      <c r="D590" s="84"/>
      <c r="E590" s="84"/>
      <c r="F590" s="84"/>
    </row>
    <row r="591" ht="15.75" customHeight="1">
      <c r="A591" s="84"/>
      <c r="B591" s="84"/>
      <c r="C591" s="84"/>
      <c r="D591" s="84"/>
      <c r="E591" s="84"/>
      <c r="F591" s="84"/>
    </row>
    <row r="592" ht="15.75" customHeight="1">
      <c r="A592" s="84"/>
      <c r="B592" s="84"/>
      <c r="C592" s="84"/>
      <c r="D592" s="84"/>
      <c r="E592" s="84"/>
      <c r="F592" s="84"/>
    </row>
    <row r="593" ht="15.75" customHeight="1">
      <c r="A593" s="84"/>
      <c r="B593" s="84"/>
      <c r="C593" s="84"/>
      <c r="D593" s="84"/>
      <c r="E593" s="84"/>
      <c r="F593" s="84"/>
    </row>
    <row r="594" ht="15.75" customHeight="1">
      <c r="A594" s="84"/>
      <c r="B594" s="84"/>
      <c r="C594" s="84"/>
      <c r="D594" s="84"/>
      <c r="E594" s="84"/>
      <c r="F594" s="84"/>
    </row>
    <row r="595" ht="15.75" customHeight="1">
      <c r="A595" s="84"/>
      <c r="B595" s="84"/>
      <c r="C595" s="84"/>
      <c r="D595" s="84"/>
      <c r="E595" s="84"/>
      <c r="F595" s="84"/>
    </row>
    <row r="596" ht="15.75" customHeight="1">
      <c r="A596" s="84"/>
      <c r="B596" s="84"/>
      <c r="C596" s="84"/>
      <c r="D596" s="84"/>
      <c r="E596" s="84"/>
      <c r="F596" s="84"/>
    </row>
    <row r="597" ht="15.75" customHeight="1">
      <c r="A597" s="84"/>
      <c r="B597" s="84"/>
      <c r="C597" s="84"/>
      <c r="D597" s="84"/>
      <c r="E597" s="84"/>
      <c r="F597" s="84"/>
    </row>
    <row r="598" ht="15.75" customHeight="1">
      <c r="A598" s="84"/>
      <c r="B598" s="84"/>
      <c r="C598" s="84"/>
      <c r="D598" s="84"/>
      <c r="E598" s="84"/>
      <c r="F598" s="84"/>
    </row>
    <row r="599" ht="15.75" customHeight="1">
      <c r="A599" s="84"/>
      <c r="B599" s="84"/>
      <c r="C599" s="84"/>
      <c r="D599" s="84"/>
      <c r="E599" s="84"/>
      <c r="F599" s="84"/>
    </row>
    <row r="600" ht="15.75" customHeight="1">
      <c r="A600" s="84"/>
      <c r="B600" s="84"/>
      <c r="C600" s="84"/>
      <c r="D600" s="84"/>
      <c r="E600" s="84"/>
      <c r="F600" s="84"/>
    </row>
    <row r="601" ht="15.75" customHeight="1">
      <c r="A601" s="84"/>
      <c r="B601" s="84"/>
      <c r="C601" s="84"/>
      <c r="D601" s="84"/>
      <c r="E601" s="84"/>
      <c r="F601" s="84"/>
    </row>
    <row r="602" ht="15.75" customHeight="1">
      <c r="A602" s="84"/>
      <c r="B602" s="84"/>
      <c r="C602" s="84"/>
      <c r="D602" s="84"/>
      <c r="E602" s="84"/>
      <c r="F602" s="84"/>
    </row>
    <row r="603" ht="15.75" customHeight="1">
      <c r="A603" s="84"/>
      <c r="B603" s="84"/>
      <c r="C603" s="84"/>
      <c r="D603" s="84"/>
      <c r="E603" s="84"/>
      <c r="F603" s="84"/>
    </row>
    <row r="604" ht="15.75" customHeight="1">
      <c r="A604" s="84"/>
      <c r="B604" s="84"/>
      <c r="C604" s="84"/>
      <c r="D604" s="84"/>
      <c r="E604" s="84"/>
      <c r="F604" s="84"/>
    </row>
    <row r="605" ht="15.75" customHeight="1">
      <c r="A605" s="84"/>
      <c r="B605" s="84"/>
      <c r="C605" s="84"/>
      <c r="D605" s="84"/>
      <c r="E605" s="84"/>
      <c r="F605" s="84"/>
    </row>
    <row r="606" ht="15.75" customHeight="1">
      <c r="A606" s="84"/>
      <c r="B606" s="84"/>
      <c r="C606" s="84"/>
      <c r="D606" s="84"/>
      <c r="E606" s="84"/>
      <c r="F606" s="84"/>
    </row>
    <row r="607" ht="15.75" customHeight="1">
      <c r="A607" s="84"/>
      <c r="B607" s="84"/>
      <c r="C607" s="84"/>
      <c r="D607" s="84"/>
      <c r="E607" s="84"/>
      <c r="F607" s="84"/>
    </row>
    <row r="608" ht="15.75" customHeight="1">
      <c r="A608" s="84"/>
      <c r="B608" s="84"/>
      <c r="C608" s="84"/>
      <c r="D608" s="84"/>
      <c r="E608" s="84"/>
      <c r="F608" s="84"/>
    </row>
    <row r="609" ht="15.75" customHeight="1">
      <c r="A609" s="84"/>
      <c r="B609" s="84"/>
      <c r="C609" s="84"/>
      <c r="D609" s="84"/>
      <c r="E609" s="84"/>
      <c r="F609" s="84"/>
    </row>
    <row r="610" ht="15.75" customHeight="1">
      <c r="A610" s="84"/>
      <c r="B610" s="84"/>
      <c r="C610" s="84"/>
      <c r="D610" s="84"/>
      <c r="E610" s="84"/>
      <c r="F610" s="84"/>
    </row>
    <row r="611" ht="15.75" customHeight="1">
      <c r="A611" s="84"/>
      <c r="B611" s="84"/>
      <c r="C611" s="84"/>
      <c r="D611" s="84"/>
      <c r="E611" s="84"/>
      <c r="F611" s="84"/>
    </row>
    <row r="612" ht="15.75" customHeight="1">
      <c r="A612" s="84"/>
      <c r="B612" s="84"/>
      <c r="C612" s="84"/>
      <c r="D612" s="84"/>
      <c r="E612" s="84"/>
      <c r="F612" s="84"/>
    </row>
    <row r="613" ht="15.75" customHeight="1">
      <c r="A613" s="84"/>
      <c r="B613" s="84"/>
      <c r="C613" s="84"/>
      <c r="D613" s="84"/>
      <c r="E613" s="84"/>
      <c r="F613" s="84"/>
    </row>
    <row r="614" ht="15.75" customHeight="1">
      <c r="A614" s="84"/>
      <c r="B614" s="84"/>
      <c r="C614" s="84"/>
      <c r="D614" s="84"/>
      <c r="E614" s="84"/>
      <c r="F614" s="84"/>
    </row>
    <row r="615" ht="15.75" customHeight="1">
      <c r="A615" s="84"/>
      <c r="B615" s="84"/>
      <c r="C615" s="84"/>
      <c r="D615" s="84"/>
      <c r="E615" s="84"/>
      <c r="F615" s="84"/>
    </row>
    <row r="616" ht="15.75" customHeight="1">
      <c r="A616" s="84"/>
      <c r="B616" s="84"/>
      <c r="C616" s="84"/>
      <c r="D616" s="84"/>
      <c r="E616" s="84"/>
      <c r="F616" s="84"/>
    </row>
    <row r="617" ht="15.75" customHeight="1">
      <c r="A617" s="84"/>
      <c r="B617" s="84"/>
      <c r="C617" s="84"/>
      <c r="D617" s="84"/>
      <c r="E617" s="84"/>
      <c r="F617" s="84"/>
    </row>
    <row r="618" ht="15.75" customHeight="1">
      <c r="A618" s="84"/>
      <c r="B618" s="84"/>
      <c r="C618" s="84"/>
      <c r="D618" s="84"/>
      <c r="E618" s="84"/>
      <c r="F618" s="84"/>
    </row>
    <row r="619" ht="15.75" customHeight="1">
      <c r="A619" s="84"/>
      <c r="B619" s="84"/>
      <c r="C619" s="84"/>
      <c r="D619" s="84"/>
      <c r="E619" s="84"/>
      <c r="F619" s="84"/>
    </row>
    <row r="620" ht="15.75" customHeight="1">
      <c r="A620" s="84"/>
      <c r="B620" s="84"/>
      <c r="C620" s="84"/>
      <c r="D620" s="84"/>
      <c r="E620" s="84"/>
      <c r="F620" s="84"/>
    </row>
    <row r="621" ht="15.75" customHeight="1">
      <c r="A621" s="84"/>
      <c r="B621" s="84"/>
      <c r="C621" s="84"/>
      <c r="D621" s="84"/>
      <c r="E621" s="84"/>
      <c r="F621" s="84"/>
    </row>
    <row r="622" ht="15.75" customHeight="1">
      <c r="A622" s="84"/>
      <c r="B622" s="84"/>
      <c r="C622" s="84"/>
      <c r="D622" s="84"/>
      <c r="E622" s="84"/>
      <c r="F622" s="84"/>
    </row>
    <row r="623" ht="15.75" customHeight="1">
      <c r="A623" s="84"/>
      <c r="B623" s="84"/>
      <c r="C623" s="84"/>
      <c r="D623" s="84"/>
      <c r="E623" s="84"/>
      <c r="F623" s="84"/>
    </row>
    <row r="624" ht="15.75" customHeight="1">
      <c r="A624" s="84"/>
      <c r="B624" s="84"/>
      <c r="C624" s="84"/>
      <c r="D624" s="84"/>
      <c r="E624" s="84"/>
      <c r="F624" s="84"/>
    </row>
    <row r="625" ht="15.75" customHeight="1">
      <c r="A625" s="84"/>
      <c r="B625" s="84"/>
      <c r="C625" s="84"/>
      <c r="D625" s="84"/>
      <c r="E625" s="84"/>
      <c r="F625" s="84"/>
    </row>
    <row r="626" ht="15.75" customHeight="1">
      <c r="A626" s="84"/>
      <c r="B626" s="84"/>
      <c r="C626" s="84"/>
      <c r="D626" s="84"/>
      <c r="E626" s="84"/>
      <c r="F626" s="84"/>
    </row>
    <row r="627" ht="15.75" customHeight="1">
      <c r="A627" s="84"/>
      <c r="B627" s="84"/>
      <c r="C627" s="84"/>
      <c r="D627" s="84"/>
      <c r="E627" s="84"/>
      <c r="F627" s="84"/>
    </row>
    <row r="628" ht="15.75" customHeight="1">
      <c r="A628" s="84"/>
      <c r="B628" s="84"/>
      <c r="C628" s="84"/>
      <c r="D628" s="84"/>
      <c r="E628" s="84"/>
      <c r="F628" s="84"/>
    </row>
    <row r="629" ht="15.75" customHeight="1">
      <c r="A629" s="84"/>
      <c r="B629" s="84"/>
      <c r="C629" s="84"/>
      <c r="D629" s="84"/>
      <c r="E629" s="84"/>
      <c r="F629" s="84"/>
    </row>
    <row r="630" ht="15.75" customHeight="1">
      <c r="A630" s="84"/>
      <c r="B630" s="84"/>
      <c r="C630" s="84"/>
      <c r="D630" s="84"/>
      <c r="E630" s="84"/>
      <c r="F630" s="84"/>
    </row>
    <row r="631" ht="15.75" customHeight="1">
      <c r="A631" s="84"/>
      <c r="B631" s="84"/>
      <c r="C631" s="84"/>
      <c r="D631" s="84"/>
      <c r="E631" s="84"/>
      <c r="F631" s="84"/>
    </row>
    <row r="632" ht="15.75" customHeight="1">
      <c r="A632" s="84"/>
      <c r="B632" s="84"/>
      <c r="C632" s="84"/>
      <c r="D632" s="84"/>
      <c r="E632" s="84"/>
      <c r="F632" s="84"/>
    </row>
    <row r="633" ht="15.75" customHeight="1">
      <c r="A633" s="84"/>
      <c r="B633" s="84"/>
      <c r="C633" s="84"/>
      <c r="D633" s="84"/>
      <c r="E633" s="84"/>
      <c r="F633" s="84"/>
    </row>
    <row r="634" ht="15.75" customHeight="1">
      <c r="A634" s="84"/>
      <c r="B634" s="84"/>
      <c r="C634" s="84"/>
      <c r="D634" s="84"/>
      <c r="E634" s="84"/>
      <c r="F634" s="84"/>
    </row>
    <row r="635" ht="15.75" customHeight="1">
      <c r="A635" s="84"/>
      <c r="B635" s="84"/>
      <c r="C635" s="84"/>
      <c r="D635" s="84"/>
      <c r="E635" s="84"/>
      <c r="F635" s="84"/>
    </row>
    <row r="636" ht="15.75" customHeight="1">
      <c r="A636" s="84"/>
      <c r="B636" s="84"/>
      <c r="C636" s="84"/>
      <c r="D636" s="84"/>
      <c r="E636" s="84"/>
      <c r="F636" s="84"/>
    </row>
    <row r="637" ht="15.75" customHeight="1">
      <c r="A637" s="84"/>
      <c r="B637" s="84"/>
      <c r="C637" s="84"/>
      <c r="D637" s="84"/>
      <c r="E637" s="84"/>
      <c r="F637" s="84"/>
    </row>
    <row r="638" ht="15.75" customHeight="1">
      <c r="A638" s="84"/>
      <c r="B638" s="84"/>
      <c r="C638" s="84"/>
      <c r="D638" s="84"/>
      <c r="E638" s="84"/>
      <c r="F638" s="84"/>
    </row>
    <row r="639" ht="15.75" customHeight="1">
      <c r="A639" s="84"/>
      <c r="B639" s="84"/>
      <c r="C639" s="84"/>
      <c r="D639" s="84"/>
      <c r="E639" s="84"/>
      <c r="F639" s="84"/>
    </row>
    <row r="640" ht="15.75" customHeight="1">
      <c r="A640" s="84"/>
      <c r="B640" s="84"/>
      <c r="C640" s="84"/>
      <c r="D640" s="84"/>
      <c r="E640" s="84"/>
      <c r="F640" s="84"/>
    </row>
    <row r="641" ht="15.75" customHeight="1">
      <c r="A641" s="84"/>
      <c r="B641" s="84"/>
      <c r="C641" s="84"/>
      <c r="D641" s="84"/>
      <c r="E641" s="84"/>
      <c r="F641" s="84"/>
    </row>
    <row r="642" ht="15.75" customHeight="1">
      <c r="A642" s="84"/>
      <c r="B642" s="84"/>
      <c r="C642" s="84"/>
      <c r="D642" s="84"/>
      <c r="E642" s="84"/>
      <c r="F642" s="84"/>
    </row>
    <row r="643" ht="15.75" customHeight="1">
      <c r="A643" s="84"/>
      <c r="B643" s="84"/>
      <c r="C643" s="84"/>
      <c r="D643" s="84"/>
      <c r="E643" s="84"/>
      <c r="F643" s="84"/>
    </row>
    <row r="644" ht="15.75" customHeight="1">
      <c r="A644" s="84"/>
      <c r="B644" s="84"/>
      <c r="C644" s="84"/>
      <c r="D644" s="84"/>
      <c r="E644" s="84"/>
      <c r="F644" s="84"/>
    </row>
    <row r="645" ht="15.75" customHeight="1">
      <c r="A645" s="84"/>
      <c r="B645" s="84"/>
      <c r="C645" s="84"/>
      <c r="D645" s="84"/>
      <c r="E645" s="84"/>
      <c r="F645" s="84"/>
    </row>
    <row r="646" ht="15.75" customHeight="1">
      <c r="A646" s="84"/>
      <c r="B646" s="84"/>
      <c r="C646" s="84"/>
      <c r="D646" s="84"/>
      <c r="E646" s="84"/>
      <c r="F646" s="84"/>
    </row>
    <row r="647" ht="15.75" customHeight="1">
      <c r="A647" s="84"/>
      <c r="B647" s="84"/>
      <c r="C647" s="84"/>
      <c r="D647" s="84"/>
      <c r="E647" s="84"/>
      <c r="F647" s="84"/>
    </row>
    <row r="648" ht="15.75" customHeight="1">
      <c r="A648" s="84"/>
      <c r="B648" s="84"/>
      <c r="C648" s="84"/>
      <c r="D648" s="84"/>
      <c r="E648" s="84"/>
      <c r="F648" s="84"/>
    </row>
    <row r="649" ht="15.75" customHeight="1">
      <c r="A649" s="84"/>
      <c r="B649" s="84"/>
      <c r="C649" s="84"/>
      <c r="D649" s="84"/>
      <c r="E649" s="84"/>
      <c r="F649" s="84"/>
    </row>
    <row r="650" ht="15.75" customHeight="1">
      <c r="A650" s="84"/>
      <c r="B650" s="84"/>
      <c r="C650" s="84"/>
      <c r="D650" s="84"/>
      <c r="E650" s="84"/>
      <c r="F650" s="84"/>
    </row>
    <row r="651" ht="15.75" customHeight="1">
      <c r="A651" s="84"/>
      <c r="B651" s="84"/>
      <c r="C651" s="84"/>
      <c r="D651" s="84"/>
      <c r="E651" s="84"/>
      <c r="F651" s="84"/>
    </row>
    <row r="652" ht="15.75" customHeight="1">
      <c r="A652" s="84"/>
      <c r="B652" s="84"/>
      <c r="C652" s="84"/>
      <c r="D652" s="84"/>
      <c r="E652" s="84"/>
      <c r="F652" s="84"/>
    </row>
    <row r="653" ht="15.75" customHeight="1">
      <c r="A653" s="84"/>
      <c r="B653" s="84"/>
      <c r="C653" s="84"/>
      <c r="D653" s="84"/>
      <c r="E653" s="84"/>
      <c r="F653" s="84"/>
    </row>
    <row r="654" ht="15.75" customHeight="1">
      <c r="A654" s="84"/>
      <c r="B654" s="84"/>
      <c r="C654" s="84"/>
      <c r="D654" s="84"/>
      <c r="E654" s="84"/>
      <c r="F654" s="84"/>
    </row>
    <row r="655" ht="15.75" customHeight="1">
      <c r="A655" s="84"/>
      <c r="B655" s="84"/>
      <c r="C655" s="84"/>
      <c r="D655" s="84"/>
      <c r="E655" s="84"/>
      <c r="F655" s="84"/>
    </row>
    <row r="656" ht="15.75" customHeight="1">
      <c r="A656" s="84"/>
      <c r="B656" s="84"/>
      <c r="C656" s="84"/>
      <c r="D656" s="84"/>
      <c r="E656" s="84"/>
      <c r="F656" s="84"/>
    </row>
    <row r="657" ht="15.75" customHeight="1">
      <c r="A657" s="84"/>
      <c r="B657" s="84"/>
      <c r="C657" s="84"/>
      <c r="D657" s="84"/>
      <c r="E657" s="84"/>
      <c r="F657" s="84"/>
    </row>
    <row r="658" ht="15.75" customHeight="1">
      <c r="A658" s="84"/>
      <c r="B658" s="84"/>
      <c r="C658" s="84"/>
      <c r="D658" s="84"/>
      <c r="E658" s="84"/>
      <c r="F658" s="84"/>
    </row>
    <row r="659" ht="15.75" customHeight="1">
      <c r="A659" s="84"/>
      <c r="B659" s="84"/>
      <c r="C659" s="84"/>
      <c r="D659" s="84"/>
      <c r="E659" s="84"/>
      <c r="F659" s="84"/>
    </row>
    <row r="660" ht="15.75" customHeight="1">
      <c r="A660" s="84"/>
      <c r="B660" s="84"/>
      <c r="C660" s="84"/>
      <c r="D660" s="84"/>
      <c r="E660" s="84"/>
      <c r="F660" s="84"/>
    </row>
    <row r="661" ht="15.75" customHeight="1">
      <c r="A661" s="84"/>
      <c r="B661" s="84"/>
      <c r="C661" s="84"/>
      <c r="D661" s="84"/>
      <c r="E661" s="84"/>
      <c r="F661" s="84"/>
    </row>
    <row r="662" ht="15.75" customHeight="1">
      <c r="A662" s="84"/>
      <c r="B662" s="84"/>
      <c r="C662" s="84"/>
      <c r="D662" s="84"/>
      <c r="E662" s="84"/>
      <c r="F662" s="84"/>
    </row>
    <row r="663" ht="15.75" customHeight="1">
      <c r="A663" s="84"/>
      <c r="B663" s="84"/>
      <c r="C663" s="84"/>
      <c r="D663" s="84"/>
      <c r="E663" s="84"/>
      <c r="F663" s="84"/>
    </row>
    <row r="664" ht="15.75" customHeight="1">
      <c r="A664" s="84"/>
      <c r="B664" s="84"/>
      <c r="C664" s="84"/>
      <c r="D664" s="84"/>
      <c r="E664" s="84"/>
      <c r="F664" s="84"/>
    </row>
    <row r="665" ht="15.75" customHeight="1">
      <c r="A665" s="84"/>
      <c r="B665" s="84"/>
      <c r="C665" s="84"/>
      <c r="D665" s="84"/>
      <c r="E665" s="84"/>
      <c r="F665" s="84"/>
    </row>
    <row r="666" ht="15.75" customHeight="1">
      <c r="A666" s="84"/>
      <c r="B666" s="84"/>
      <c r="C666" s="84"/>
      <c r="D666" s="84"/>
      <c r="E666" s="84"/>
      <c r="F666" s="84"/>
    </row>
    <row r="667" ht="15.75" customHeight="1">
      <c r="A667" s="84"/>
      <c r="B667" s="84"/>
      <c r="C667" s="84"/>
      <c r="D667" s="84"/>
      <c r="E667" s="84"/>
      <c r="F667" s="84"/>
    </row>
    <row r="668" ht="15.75" customHeight="1">
      <c r="A668" s="84"/>
      <c r="B668" s="84"/>
      <c r="C668" s="84"/>
      <c r="D668" s="84"/>
      <c r="E668" s="84"/>
      <c r="F668" s="84"/>
    </row>
    <row r="669" ht="15.75" customHeight="1">
      <c r="A669" s="84"/>
      <c r="B669" s="84"/>
      <c r="C669" s="84"/>
      <c r="D669" s="84"/>
      <c r="E669" s="84"/>
      <c r="F669" s="84"/>
    </row>
    <row r="670" ht="15.75" customHeight="1">
      <c r="A670" s="84"/>
      <c r="B670" s="84"/>
      <c r="C670" s="84"/>
      <c r="D670" s="84"/>
      <c r="E670" s="84"/>
      <c r="F670" s="84"/>
    </row>
    <row r="671" ht="15.75" customHeight="1">
      <c r="A671" s="84"/>
      <c r="B671" s="84"/>
      <c r="C671" s="84"/>
      <c r="D671" s="84"/>
      <c r="E671" s="84"/>
      <c r="F671" s="84"/>
    </row>
    <row r="672" ht="15.75" customHeight="1">
      <c r="A672" s="84"/>
      <c r="B672" s="84"/>
      <c r="C672" s="84"/>
      <c r="D672" s="84"/>
      <c r="E672" s="84"/>
      <c r="F672" s="84"/>
    </row>
    <row r="673" ht="15.75" customHeight="1">
      <c r="A673" s="84"/>
      <c r="B673" s="84"/>
      <c r="C673" s="84"/>
      <c r="D673" s="84"/>
      <c r="E673" s="84"/>
      <c r="F673" s="84"/>
    </row>
    <row r="674" ht="15.75" customHeight="1">
      <c r="A674" s="84"/>
      <c r="B674" s="84"/>
      <c r="C674" s="84"/>
      <c r="D674" s="84"/>
      <c r="E674" s="84"/>
      <c r="F674" s="84"/>
    </row>
    <row r="675" ht="15.75" customHeight="1">
      <c r="A675" s="84"/>
      <c r="B675" s="84"/>
      <c r="C675" s="84"/>
      <c r="D675" s="84"/>
      <c r="E675" s="84"/>
      <c r="F675" s="84"/>
    </row>
    <row r="676" ht="15.75" customHeight="1">
      <c r="A676" s="84"/>
      <c r="B676" s="84"/>
      <c r="C676" s="84"/>
      <c r="D676" s="84"/>
      <c r="E676" s="84"/>
      <c r="F676" s="84"/>
    </row>
    <row r="677" ht="15.75" customHeight="1">
      <c r="A677" s="84"/>
      <c r="B677" s="84"/>
      <c r="C677" s="84"/>
      <c r="D677" s="84"/>
      <c r="E677" s="84"/>
      <c r="F677" s="84"/>
    </row>
    <row r="678" ht="15.75" customHeight="1">
      <c r="A678" s="84"/>
      <c r="B678" s="84"/>
      <c r="C678" s="84"/>
      <c r="D678" s="84"/>
      <c r="E678" s="84"/>
      <c r="F678" s="84"/>
    </row>
    <row r="679" ht="15.75" customHeight="1">
      <c r="A679" s="84"/>
      <c r="B679" s="84"/>
      <c r="C679" s="84"/>
      <c r="D679" s="84"/>
      <c r="E679" s="84"/>
      <c r="F679" s="84"/>
    </row>
    <row r="680" ht="15.75" customHeight="1">
      <c r="A680" s="84"/>
      <c r="B680" s="84"/>
      <c r="C680" s="84"/>
      <c r="D680" s="84"/>
      <c r="E680" s="84"/>
      <c r="F680" s="84"/>
    </row>
    <row r="681" ht="15.75" customHeight="1">
      <c r="A681" s="84"/>
      <c r="B681" s="84"/>
      <c r="C681" s="84"/>
      <c r="D681" s="84"/>
      <c r="E681" s="84"/>
      <c r="F681" s="84"/>
    </row>
    <row r="682" ht="15.75" customHeight="1">
      <c r="A682" s="84"/>
      <c r="B682" s="84"/>
      <c r="C682" s="84"/>
      <c r="D682" s="84"/>
      <c r="E682" s="84"/>
      <c r="F682" s="84"/>
    </row>
    <row r="683" ht="15.75" customHeight="1">
      <c r="A683" s="84"/>
      <c r="B683" s="84"/>
      <c r="C683" s="84"/>
      <c r="D683" s="84"/>
      <c r="E683" s="84"/>
      <c r="F683" s="84"/>
    </row>
    <row r="684" ht="15.75" customHeight="1">
      <c r="A684" s="84"/>
      <c r="B684" s="84"/>
      <c r="C684" s="84"/>
      <c r="D684" s="84"/>
      <c r="E684" s="84"/>
      <c r="F684" s="84"/>
    </row>
    <row r="685" ht="15.75" customHeight="1">
      <c r="A685" s="84"/>
      <c r="B685" s="84"/>
      <c r="C685" s="84"/>
      <c r="D685" s="84"/>
      <c r="E685" s="84"/>
      <c r="F685" s="84"/>
    </row>
    <row r="686" ht="15.75" customHeight="1">
      <c r="A686" s="84"/>
      <c r="B686" s="84"/>
      <c r="C686" s="84"/>
      <c r="D686" s="84"/>
      <c r="E686" s="84"/>
      <c r="F686" s="84"/>
    </row>
    <row r="687" ht="15.75" customHeight="1">
      <c r="A687" s="84"/>
      <c r="B687" s="84"/>
      <c r="C687" s="84"/>
      <c r="D687" s="84"/>
      <c r="E687" s="84"/>
      <c r="F687" s="84"/>
    </row>
    <row r="688" ht="15.75" customHeight="1">
      <c r="A688" s="84"/>
      <c r="B688" s="84"/>
      <c r="C688" s="84"/>
      <c r="D688" s="84"/>
      <c r="E688" s="84"/>
      <c r="F688" s="84"/>
    </row>
    <row r="689" ht="15.75" customHeight="1">
      <c r="A689" s="84"/>
      <c r="B689" s="84"/>
      <c r="C689" s="84"/>
      <c r="D689" s="84"/>
      <c r="E689" s="84"/>
      <c r="F689" s="84"/>
    </row>
    <row r="690" ht="15.75" customHeight="1">
      <c r="A690" s="84"/>
      <c r="B690" s="84"/>
      <c r="C690" s="84"/>
      <c r="D690" s="84"/>
      <c r="E690" s="84"/>
      <c r="F690" s="84"/>
    </row>
    <row r="691" ht="15.75" customHeight="1">
      <c r="A691" s="84"/>
      <c r="B691" s="84"/>
      <c r="C691" s="84"/>
      <c r="D691" s="84"/>
      <c r="E691" s="84"/>
      <c r="F691" s="84"/>
    </row>
    <row r="692" ht="15.75" customHeight="1">
      <c r="A692" s="84"/>
      <c r="B692" s="84"/>
      <c r="C692" s="84"/>
      <c r="D692" s="84"/>
      <c r="E692" s="84"/>
      <c r="F692" s="84"/>
    </row>
    <row r="693" ht="15.75" customHeight="1">
      <c r="A693" s="84"/>
      <c r="B693" s="84"/>
      <c r="C693" s="84"/>
      <c r="D693" s="84"/>
      <c r="E693" s="84"/>
      <c r="F693" s="84"/>
    </row>
    <row r="694" ht="15.75" customHeight="1">
      <c r="A694" s="84"/>
      <c r="B694" s="84"/>
      <c r="C694" s="84"/>
      <c r="D694" s="84"/>
      <c r="E694" s="84"/>
      <c r="F694" s="84"/>
    </row>
    <row r="695" ht="15.75" customHeight="1">
      <c r="A695" s="84"/>
      <c r="B695" s="84"/>
      <c r="C695" s="84"/>
      <c r="D695" s="84"/>
      <c r="E695" s="84"/>
      <c r="F695" s="84"/>
    </row>
    <row r="696" ht="15.75" customHeight="1">
      <c r="A696" s="84"/>
      <c r="B696" s="84"/>
      <c r="C696" s="84"/>
      <c r="D696" s="84"/>
      <c r="E696" s="84"/>
      <c r="F696" s="84"/>
    </row>
    <row r="697" ht="15.75" customHeight="1">
      <c r="A697" s="84"/>
      <c r="B697" s="84"/>
      <c r="C697" s="84"/>
      <c r="D697" s="84"/>
      <c r="E697" s="84"/>
      <c r="F697" s="84"/>
    </row>
    <row r="698" ht="15.75" customHeight="1">
      <c r="A698" s="84"/>
      <c r="B698" s="84"/>
      <c r="C698" s="84"/>
      <c r="D698" s="84"/>
      <c r="E698" s="84"/>
      <c r="F698" s="84"/>
    </row>
    <row r="699" ht="15.75" customHeight="1">
      <c r="A699" s="84"/>
      <c r="B699" s="84"/>
      <c r="C699" s="84"/>
      <c r="D699" s="84"/>
      <c r="E699" s="84"/>
      <c r="F699" s="84"/>
    </row>
    <row r="700" ht="15.75" customHeight="1">
      <c r="A700" s="84"/>
      <c r="B700" s="84"/>
      <c r="C700" s="84"/>
      <c r="D700" s="84"/>
      <c r="E700" s="84"/>
      <c r="F700" s="84"/>
    </row>
    <row r="701" ht="15.75" customHeight="1">
      <c r="A701" s="84"/>
      <c r="B701" s="84"/>
      <c r="C701" s="84"/>
      <c r="D701" s="84"/>
      <c r="E701" s="84"/>
      <c r="F701" s="84"/>
    </row>
    <row r="702" ht="15.75" customHeight="1">
      <c r="A702" s="84"/>
      <c r="B702" s="84"/>
      <c r="C702" s="84"/>
      <c r="D702" s="84"/>
      <c r="E702" s="84"/>
      <c r="F702" s="84"/>
    </row>
    <row r="703" ht="15.75" customHeight="1">
      <c r="A703" s="84"/>
      <c r="B703" s="84"/>
      <c r="C703" s="84"/>
      <c r="D703" s="84"/>
      <c r="E703" s="84"/>
      <c r="F703" s="84"/>
    </row>
    <row r="704" ht="15.75" customHeight="1">
      <c r="A704" s="84"/>
      <c r="B704" s="84"/>
      <c r="C704" s="84"/>
      <c r="D704" s="84"/>
      <c r="E704" s="84"/>
      <c r="F704" s="84"/>
    </row>
    <row r="705" ht="15.75" customHeight="1">
      <c r="A705" s="84"/>
      <c r="B705" s="84"/>
      <c r="C705" s="84"/>
      <c r="D705" s="84"/>
      <c r="E705" s="84"/>
      <c r="F705" s="84"/>
    </row>
    <row r="706" ht="15.75" customHeight="1">
      <c r="A706" s="84"/>
      <c r="B706" s="84"/>
      <c r="C706" s="84"/>
      <c r="D706" s="84"/>
      <c r="E706" s="84"/>
      <c r="F706" s="84"/>
    </row>
    <row r="707" ht="15.75" customHeight="1">
      <c r="A707" s="84"/>
      <c r="B707" s="84"/>
      <c r="C707" s="84"/>
      <c r="D707" s="84"/>
      <c r="E707" s="84"/>
      <c r="F707" s="84"/>
    </row>
    <row r="708" ht="15.75" customHeight="1">
      <c r="A708" s="84"/>
      <c r="B708" s="84"/>
      <c r="C708" s="84"/>
      <c r="D708" s="84"/>
      <c r="E708" s="84"/>
      <c r="F708" s="84"/>
    </row>
    <row r="709" ht="15.75" customHeight="1">
      <c r="A709" s="84"/>
      <c r="B709" s="84"/>
      <c r="C709" s="84"/>
      <c r="D709" s="84"/>
      <c r="E709" s="84"/>
      <c r="F709" s="84"/>
    </row>
    <row r="710" ht="15.75" customHeight="1">
      <c r="A710" s="84"/>
      <c r="B710" s="84"/>
      <c r="C710" s="84"/>
      <c r="D710" s="84"/>
      <c r="E710" s="84"/>
      <c r="F710" s="84"/>
    </row>
    <row r="711" ht="15.75" customHeight="1">
      <c r="A711" s="84"/>
      <c r="B711" s="84"/>
      <c r="C711" s="84"/>
      <c r="D711" s="84"/>
      <c r="E711" s="84"/>
      <c r="F711" s="84"/>
    </row>
    <row r="712" ht="15.75" customHeight="1">
      <c r="A712" s="84"/>
      <c r="B712" s="84"/>
      <c r="C712" s="84"/>
      <c r="D712" s="84"/>
      <c r="E712" s="84"/>
      <c r="F712" s="84"/>
    </row>
    <row r="713" ht="15.75" customHeight="1">
      <c r="A713" s="84"/>
      <c r="B713" s="84"/>
      <c r="C713" s="84"/>
      <c r="D713" s="84"/>
      <c r="E713" s="84"/>
      <c r="F713" s="84"/>
    </row>
    <row r="714" ht="15.75" customHeight="1">
      <c r="A714" s="84"/>
      <c r="B714" s="84"/>
      <c r="C714" s="84"/>
      <c r="D714" s="84"/>
      <c r="E714" s="84"/>
      <c r="F714" s="84"/>
    </row>
    <row r="715" ht="15.75" customHeight="1">
      <c r="A715" s="84"/>
      <c r="B715" s="84"/>
      <c r="C715" s="84"/>
      <c r="D715" s="84"/>
      <c r="E715" s="84"/>
      <c r="F715" s="84"/>
    </row>
    <row r="716" ht="15.75" customHeight="1">
      <c r="A716" s="84"/>
      <c r="B716" s="84"/>
      <c r="C716" s="84"/>
      <c r="D716" s="84"/>
      <c r="E716" s="84"/>
      <c r="F716" s="84"/>
    </row>
    <row r="717" ht="15.75" customHeight="1">
      <c r="A717" s="84"/>
      <c r="B717" s="84"/>
      <c r="C717" s="84"/>
      <c r="D717" s="84"/>
      <c r="E717" s="84"/>
      <c r="F717" s="84"/>
    </row>
    <row r="718" ht="15.75" customHeight="1">
      <c r="A718" s="84"/>
      <c r="B718" s="84"/>
      <c r="C718" s="84"/>
      <c r="D718" s="84"/>
      <c r="E718" s="84"/>
      <c r="F718" s="84"/>
    </row>
    <row r="719" ht="15.75" customHeight="1">
      <c r="A719" s="84"/>
      <c r="B719" s="84"/>
      <c r="C719" s="84"/>
      <c r="D719" s="84"/>
      <c r="E719" s="84"/>
      <c r="F719" s="84"/>
    </row>
    <row r="720" ht="15.75" customHeight="1">
      <c r="A720" s="84"/>
      <c r="B720" s="84"/>
      <c r="C720" s="84"/>
      <c r="D720" s="84"/>
      <c r="E720" s="84"/>
      <c r="F720" s="84"/>
    </row>
    <row r="721" ht="15.75" customHeight="1">
      <c r="A721" s="84"/>
      <c r="B721" s="84"/>
      <c r="C721" s="84"/>
      <c r="D721" s="84"/>
      <c r="E721" s="84"/>
      <c r="F721" s="84"/>
    </row>
    <row r="722" ht="15.75" customHeight="1">
      <c r="A722" s="84"/>
      <c r="B722" s="84"/>
      <c r="C722" s="84"/>
      <c r="D722" s="84"/>
      <c r="E722" s="84"/>
      <c r="F722" s="84"/>
    </row>
    <row r="723" ht="15.75" customHeight="1">
      <c r="A723" s="84"/>
      <c r="B723" s="84"/>
      <c r="C723" s="84"/>
      <c r="D723" s="84"/>
      <c r="E723" s="84"/>
      <c r="F723" s="84"/>
    </row>
    <row r="724" ht="15.75" customHeight="1">
      <c r="A724" s="84"/>
      <c r="B724" s="84"/>
      <c r="C724" s="84"/>
      <c r="D724" s="84"/>
      <c r="E724" s="84"/>
      <c r="F724" s="84"/>
    </row>
    <row r="725" ht="15.75" customHeight="1">
      <c r="A725" s="84"/>
      <c r="B725" s="84"/>
      <c r="C725" s="84"/>
      <c r="D725" s="84"/>
      <c r="E725" s="84"/>
      <c r="F725" s="84"/>
    </row>
    <row r="726" ht="15.75" customHeight="1">
      <c r="A726" s="84"/>
      <c r="B726" s="84"/>
      <c r="C726" s="84"/>
      <c r="D726" s="84"/>
      <c r="E726" s="84"/>
      <c r="F726" s="84"/>
    </row>
    <row r="727" ht="15.75" customHeight="1">
      <c r="A727" s="84"/>
      <c r="B727" s="84"/>
      <c r="C727" s="84"/>
      <c r="D727" s="84"/>
      <c r="E727" s="84"/>
      <c r="F727" s="84"/>
    </row>
    <row r="728" ht="15.75" customHeight="1">
      <c r="A728" s="84"/>
      <c r="B728" s="84"/>
      <c r="C728" s="84"/>
      <c r="D728" s="84"/>
      <c r="E728" s="84"/>
      <c r="F728" s="84"/>
    </row>
    <row r="729" ht="15.75" customHeight="1">
      <c r="A729" s="84"/>
      <c r="B729" s="84"/>
      <c r="C729" s="84"/>
      <c r="D729" s="84"/>
      <c r="E729" s="84"/>
      <c r="F729" s="84"/>
    </row>
    <row r="730" ht="15.75" customHeight="1">
      <c r="A730" s="84"/>
      <c r="B730" s="84"/>
      <c r="C730" s="84"/>
      <c r="D730" s="84"/>
      <c r="E730" s="84"/>
      <c r="F730" s="84"/>
    </row>
    <row r="731" ht="15.75" customHeight="1">
      <c r="A731" s="84"/>
      <c r="B731" s="84"/>
      <c r="C731" s="84"/>
      <c r="D731" s="84"/>
      <c r="E731" s="84"/>
      <c r="F731" s="84"/>
    </row>
    <row r="732" ht="15.75" customHeight="1">
      <c r="A732" s="84"/>
      <c r="B732" s="84"/>
      <c r="C732" s="84"/>
      <c r="D732" s="84"/>
      <c r="E732" s="84"/>
      <c r="F732" s="84"/>
    </row>
    <row r="733" ht="15.75" customHeight="1">
      <c r="A733" s="84"/>
      <c r="B733" s="84"/>
      <c r="C733" s="84"/>
      <c r="D733" s="84"/>
      <c r="E733" s="84"/>
      <c r="F733" s="84"/>
    </row>
    <row r="734" ht="15.75" customHeight="1">
      <c r="A734" s="84"/>
      <c r="B734" s="84"/>
      <c r="C734" s="84"/>
      <c r="D734" s="84"/>
      <c r="E734" s="84"/>
      <c r="F734" s="84"/>
    </row>
    <row r="735" ht="15.75" customHeight="1">
      <c r="A735" s="84"/>
      <c r="B735" s="84"/>
      <c r="C735" s="84"/>
      <c r="D735" s="84"/>
      <c r="E735" s="84"/>
      <c r="F735" s="84"/>
    </row>
    <row r="736" ht="15.75" customHeight="1">
      <c r="A736" s="84"/>
      <c r="B736" s="84"/>
      <c r="C736" s="84"/>
      <c r="D736" s="84"/>
      <c r="E736" s="84"/>
      <c r="F736" s="84"/>
    </row>
    <row r="737" ht="15.75" customHeight="1">
      <c r="A737" s="84"/>
      <c r="B737" s="84"/>
      <c r="C737" s="84"/>
      <c r="D737" s="84"/>
      <c r="E737" s="84"/>
      <c r="F737" s="84"/>
    </row>
    <row r="738" ht="15.75" customHeight="1">
      <c r="A738" s="84"/>
      <c r="B738" s="84"/>
      <c r="C738" s="84"/>
      <c r="D738" s="84"/>
      <c r="E738" s="84"/>
      <c r="F738" s="84"/>
    </row>
    <row r="739" ht="15.75" customHeight="1">
      <c r="A739" s="84"/>
      <c r="B739" s="84"/>
      <c r="C739" s="84"/>
      <c r="D739" s="84"/>
      <c r="E739" s="84"/>
      <c r="F739" s="84"/>
    </row>
    <row r="740" ht="15.75" customHeight="1">
      <c r="A740" s="84"/>
      <c r="B740" s="84"/>
      <c r="C740" s="84"/>
      <c r="D740" s="84"/>
      <c r="E740" s="84"/>
      <c r="F740" s="84"/>
    </row>
    <row r="741" ht="15.75" customHeight="1">
      <c r="A741" s="84"/>
      <c r="B741" s="84"/>
      <c r="C741" s="84"/>
      <c r="D741" s="84"/>
      <c r="E741" s="84"/>
      <c r="F741" s="84"/>
    </row>
    <row r="742" ht="15.75" customHeight="1">
      <c r="A742" s="84"/>
      <c r="B742" s="84"/>
      <c r="C742" s="84"/>
      <c r="D742" s="84"/>
      <c r="E742" s="84"/>
      <c r="F742" s="84"/>
    </row>
    <row r="743" ht="15.75" customHeight="1">
      <c r="A743" s="84"/>
      <c r="B743" s="84"/>
      <c r="C743" s="84"/>
      <c r="D743" s="84"/>
      <c r="E743" s="84"/>
      <c r="F743" s="84"/>
    </row>
    <row r="744" ht="15.75" customHeight="1">
      <c r="A744" s="84"/>
      <c r="B744" s="84"/>
      <c r="C744" s="84"/>
      <c r="D744" s="84"/>
      <c r="E744" s="84"/>
      <c r="F744" s="84"/>
    </row>
    <row r="745" ht="15.75" customHeight="1">
      <c r="A745" s="84"/>
      <c r="B745" s="84"/>
      <c r="C745" s="84"/>
      <c r="D745" s="84"/>
      <c r="E745" s="84"/>
      <c r="F745" s="84"/>
    </row>
    <row r="746" ht="15.75" customHeight="1">
      <c r="A746" s="84"/>
      <c r="B746" s="84"/>
      <c r="C746" s="84"/>
      <c r="D746" s="84"/>
      <c r="E746" s="84"/>
      <c r="F746" s="84"/>
    </row>
    <row r="747" ht="15.75" customHeight="1">
      <c r="A747" s="84"/>
      <c r="B747" s="84"/>
      <c r="C747" s="84"/>
      <c r="D747" s="84"/>
      <c r="E747" s="84"/>
      <c r="F747" s="84"/>
    </row>
    <row r="748" ht="15.75" customHeight="1">
      <c r="A748" s="84"/>
      <c r="B748" s="84"/>
      <c r="C748" s="84"/>
      <c r="D748" s="84"/>
      <c r="E748" s="84"/>
      <c r="F748" s="84"/>
    </row>
    <row r="749" ht="15.75" customHeight="1">
      <c r="A749" s="84"/>
      <c r="B749" s="84"/>
      <c r="C749" s="84"/>
      <c r="D749" s="84"/>
      <c r="E749" s="84"/>
      <c r="F749" s="84"/>
    </row>
    <row r="750" ht="15.75" customHeight="1">
      <c r="A750" s="84"/>
      <c r="B750" s="84"/>
      <c r="C750" s="84"/>
      <c r="D750" s="84"/>
      <c r="E750" s="84"/>
      <c r="F750" s="84"/>
    </row>
    <row r="751" ht="15.75" customHeight="1">
      <c r="A751" s="84"/>
      <c r="B751" s="84"/>
      <c r="C751" s="84"/>
      <c r="D751" s="84"/>
      <c r="E751" s="84"/>
      <c r="F751" s="84"/>
    </row>
    <row r="752" ht="15.75" customHeight="1">
      <c r="A752" s="84"/>
      <c r="B752" s="84"/>
      <c r="C752" s="84"/>
      <c r="D752" s="84"/>
      <c r="E752" s="84"/>
      <c r="F752" s="84"/>
    </row>
    <row r="753" ht="15.75" customHeight="1">
      <c r="A753" s="84"/>
      <c r="B753" s="84"/>
      <c r="C753" s="84"/>
      <c r="D753" s="84"/>
      <c r="E753" s="84"/>
      <c r="F753" s="84"/>
    </row>
    <row r="754" ht="15.75" customHeight="1">
      <c r="A754" s="84"/>
      <c r="B754" s="84"/>
      <c r="C754" s="84"/>
      <c r="D754" s="84"/>
      <c r="E754" s="84"/>
      <c r="F754" s="84"/>
    </row>
    <row r="755" ht="15.75" customHeight="1">
      <c r="A755" s="84"/>
      <c r="B755" s="84"/>
      <c r="C755" s="84"/>
      <c r="D755" s="84"/>
      <c r="E755" s="84"/>
      <c r="F755" s="84"/>
    </row>
    <row r="756" ht="15.75" customHeight="1">
      <c r="A756" s="84"/>
      <c r="B756" s="84"/>
      <c r="C756" s="84"/>
      <c r="D756" s="84"/>
      <c r="E756" s="84"/>
      <c r="F756" s="84"/>
    </row>
    <row r="757" ht="15.75" customHeight="1">
      <c r="A757" s="84"/>
      <c r="B757" s="84"/>
      <c r="C757" s="84"/>
      <c r="D757" s="84"/>
      <c r="E757" s="84"/>
      <c r="F757" s="84"/>
    </row>
    <row r="758" ht="15.75" customHeight="1">
      <c r="A758" s="84"/>
      <c r="B758" s="84"/>
      <c r="C758" s="84"/>
      <c r="D758" s="84"/>
      <c r="E758" s="84"/>
      <c r="F758" s="84"/>
    </row>
    <row r="759" ht="15.75" customHeight="1">
      <c r="A759" s="84"/>
      <c r="B759" s="84"/>
      <c r="C759" s="84"/>
      <c r="D759" s="84"/>
      <c r="E759" s="84"/>
      <c r="F759" s="84"/>
    </row>
    <row r="760" ht="15.75" customHeight="1">
      <c r="A760" s="84"/>
      <c r="B760" s="84"/>
      <c r="C760" s="84"/>
      <c r="D760" s="84"/>
      <c r="E760" s="84"/>
      <c r="F760" s="84"/>
    </row>
    <row r="761" ht="15.75" customHeight="1">
      <c r="A761" s="84"/>
      <c r="B761" s="84"/>
      <c r="C761" s="84"/>
      <c r="D761" s="84"/>
      <c r="E761" s="84"/>
      <c r="F761" s="84"/>
    </row>
    <row r="762" ht="15.75" customHeight="1">
      <c r="A762" s="84"/>
      <c r="B762" s="84"/>
      <c r="C762" s="84"/>
      <c r="D762" s="84"/>
      <c r="E762" s="84"/>
      <c r="F762" s="84"/>
    </row>
    <row r="763" ht="15.75" customHeight="1">
      <c r="A763" s="84"/>
      <c r="B763" s="84"/>
      <c r="C763" s="84"/>
      <c r="D763" s="84"/>
      <c r="E763" s="84"/>
      <c r="F763" s="84"/>
    </row>
    <row r="764" ht="15.75" customHeight="1">
      <c r="A764" s="84"/>
      <c r="B764" s="84"/>
      <c r="C764" s="84"/>
      <c r="D764" s="84"/>
      <c r="E764" s="84"/>
      <c r="F764" s="84"/>
    </row>
    <row r="765" ht="15.75" customHeight="1">
      <c r="A765" s="84"/>
      <c r="B765" s="84"/>
      <c r="C765" s="84"/>
      <c r="D765" s="84"/>
      <c r="E765" s="84"/>
      <c r="F765" s="84"/>
    </row>
    <row r="766" ht="15.75" customHeight="1">
      <c r="A766" s="84"/>
      <c r="B766" s="84"/>
      <c r="C766" s="84"/>
      <c r="D766" s="84"/>
      <c r="E766" s="84"/>
      <c r="F766" s="84"/>
    </row>
    <row r="767" ht="15.75" customHeight="1">
      <c r="A767" s="84"/>
      <c r="B767" s="84"/>
      <c r="C767" s="84"/>
      <c r="D767" s="84"/>
      <c r="E767" s="84"/>
      <c r="F767" s="84"/>
    </row>
    <row r="768" ht="15.75" customHeight="1">
      <c r="A768" s="84"/>
      <c r="B768" s="84"/>
      <c r="C768" s="84"/>
      <c r="D768" s="84"/>
      <c r="E768" s="84"/>
      <c r="F768" s="84"/>
    </row>
    <row r="769" ht="15.75" customHeight="1">
      <c r="A769" s="84"/>
      <c r="B769" s="84"/>
      <c r="C769" s="84"/>
      <c r="D769" s="84"/>
      <c r="E769" s="84"/>
      <c r="F769" s="84"/>
    </row>
    <row r="770" ht="15.75" customHeight="1">
      <c r="A770" s="84"/>
      <c r="B770" s="84"/>
      <c r="C770" s="84"/>
      <c r="D770" s="84"/>
      <c r="E770" s="84"/>
      <c r="F770" s="84"/>
    </row>
    <row r="771" ht="15.75" customHeight="1">
      <c r="A771" s="84"/>
      <c r="B771" s="84"/>
      <c r="C771" s="84"/>
      <c r="D771" s="84"/>
      <c r="E771" s="84"/>
      <c r="F771" s="84"/>
    </row>
    <row r="772" ht="15.75" customHeight="1">
      <c r="A772" s="84"/>
      <c r="B772" s="84"/>
      <c r="C772" s="84"/>
      <c r="D772" s="84"/>
      <c r="E772" s="84"/>
      <c r="F772" s="84"/>
    </row>
    <row r="773" ht="15.75" customHeight="1">
      <c r="A773" s="84"/>
      <c r="B773" s="84"/>
      <c r="C773" s="84"/>
      <c r="D773" s="84"/>
      <c r="E773" s="84"/>
      <c r="F773" s="84"/>
    </row>
    <row r="774" ht="15.75" customHeight="1">
      <c r="A774" s="84"/>
      <c r="B774" s="84"/>
      <c r="C774" s="84"/>
      <c r="D774" s="84"/>
      <c r="E774" s="84"/>
      <c r="F774" s="84"/>
    </row>
    <row r="775" ht="15.75" customHeight="1">
      <c r="A775" s="84"/>
      <c r="B775" s="84"/>
      <c r="C775" s="84"/>
      <c r="D775" s="84"/>
      <c r="E775" s="84"/>
      <c r="F775" s="84"/>
    </row>
    <row r="776" ht="15.75" customHeight="1">
      <c r="A776" s="84"/>
      <c r="B776" s="84"/>
      <c r="C776" s="84"/>
      <c r="D776" s="84"/>
      <c r="E776" s="84"/>
      <c r="F776" s="84"/>
    </row>
    <row r="777" ht="15.75" customHeight="1">
      <c r="A777" s="84"/>
      <c r="B777" s="84"/>
      <c r="C777" s="84"/>
      <c r="D777" s="84"/>
      <c r="E777" s="84"/>
      <c r="F777" s="84"/>
    </row>
    <row r="778" ht="15.75" customHeight="1">
      <c r="A778" s="84"/>
      <c r="B778" s="84"/>
      <c r="C778" s="84"/>
      <c r="D778" s="84"/>
      <c r="E778" s="84"/>
      <c r="F778" s="84"/>
    </row>
    <row r="779" ht="15.75" customHeight="1">
      <c r="A779" s="84"/>
      <c r="B779" s="84"/>
      <c r="C779" s="84"/>
      <c r="D779" s="84"/>
      <c r="E779" s="84"/>
      <c r="F779" s="84"/>
    </row>
    <row r="780" ht="15.75" customHeight="1">
      <c r="A780" s="84"/>
      <c r="B780" s="84"/>
      <c r="C780" s="84"/>
      <c r="D780" s="84"/>
      <c r="E780" s="84"/>
      <c r="F780" s="84"/>
    </row>
    <row r="781" ht="15.75" customHeight="1">
      <c r="A781" s="84"/>
      <c r="B781" s="84"/>
      <c r="C781" s="84"/>
      <c r="D781" s="84"/>
      <c r="E781" s="84"/>
      <c r="F781" s="84"/>
    </row>
    <row r="782" ht="15.75" customHeight="1">
      <c r="A782" s="84"/>
      <c r="B782" s="84"/>
      <c r="C782" s="84"/>
      <c r="D782" s="84"/>
      <c r="E782" s="84"/>
      <c r="F782" s="84"/>
    </row>
    <row r="783" ht="15.75" customHeight="1">
      <c r="A783" s="84"/>
      <c r="B783" s="84"/>
      <c r="C783" s="84"/>
      <c r="D783" s="84"/>
      <c r="E783" s="84"/>
      <c r="F783" s="84"/>
    </row>
    <row r="784" ht="15.75" customHeight="1">
      <c r="A784" s="84"/>
      <c r="B784" s="84"/>
      <c r="C784" s="84"/>
      <c r="D784" s="84"/>
      <c r="E784" s="84"/>
      <c r="F784" s="84"/>
    </row>
    <row r="785" ht="15.75" customHeight="1">
      <c r="A785" s="84"/>
      <c r="B785" s="84"/>
      <c r="C785" s="84"/>
      <c r="D785" s="84"/>
      <c r="E785" s="84"/>
      <c r="F785" s="84"/>
    </row>
    <row r="786" ht="15.75" customHeight="1">
      <c r="A786" s="84"/>
      <c r="B786" s="84"/>
      <c r="C786" s="84"/>
      <c r="D786" s="84"/>
      <c r="E786" s="84"/>
      <c r="F786" s="84"/>
    </row>
    <row r="787" ht="15.75" customHeight="1">
      <c r="A787" s="84"/>
      <c r="B787" s="84"/>
      <c r="C787" s="84"/>
      <c r="D787" s="84"/>
      <c r="E787" s="84"/>
      <c r="F787" s="84"/>
    </row>
    <row r="788" ht="15.75" customHeight="1">
      <c r="A788" s="84"/>
      <c r="B788" s="84"/>
      <c r="C788" s="84"/>
      <c r="D788" s="84"/>
      <c r="E788" s="84"/>
      <c r="F788" s="84"/>
    </row>
    <row r="789" ht="15.75" customHeight="1">
      <c r="A789" s="84"/>
      <c r="B789" s="84"/>
      <c r="C789" s="84"/>
      <c r="D789" s="84"/>
      <c r="E789" s="84"/>
      <c r="F789" s="84"/>
    </row>
    <row r="790" ht="15.75" customHeight="1">
      <c r="A790" s="84"/>
      <c r="B790" s="84"/>
      <c r="C790" s="84"/>
      <c r="D790" s="84"/>
      <c r="E790" s="84"/>
      <c r="F790" s="84"/>
    </row>
    <row r="791" ht="15.75" customHeight="1">
      <c r="A791" s="84"/>
      <c r="B791" s="84"/>
      <c r="C791" s="84"/>
      <c r="D791" s="84"/>
      <c r="E791" s="84"/>
      <c r="F791" s="84"/>
    </row>
    <row r="792" ht="15.75" customHeight="1">
      <c r="A792" s="84"/>
      <c r="B792" s="84"/>
      <c r="C792" s="84"/>
      <c r="D792" s="84"/>
      <c r="E792" s="84"/>
      <c r="F792" s="84"/>
    </row>
    <row r="793" ht="15.75" customHeight="1">
      <c r="A793" s="84"/>
      <c r="B793" s="84"/>
      <c r="C793" s="84"/>
      <c r="D793" s="84"/>
      <c r="E793" s="84"/>
      <c r="F793" s="84"/>
    </row>
    <row r="794" ht="15.75" customHeight="1">
      <c r="A794" s="84"/>
      <c r="B794" s="84"/>
      <c r="C794" s="84"/>
      <c r="D794" s="84"/>
      <c r="E794" s="84"/>
      <c r="F794" s="84"/>
    </row>
    <row r="795" ht="15.75" customHeight="1">
      <c r="A795" s="84"/>
      <c r="B795" s="84"/>
      <c r="C795" s="84"/>
      <c r="D795" s="84"/>
      <c r="E795" s="84"/>
      <c r="F795" s="84"/>
    </row>
    <row r="796" ht="15.75" customHeight="1">
      <c r="A796" s="84"/>
      <c r="B796" s="84"/>
      <c r="C796" s="84"/>
      <c r="D796" s="84"/>
      <c r="E796" s="84"/>
      <c r="F796" s="84"/>
    </row>
    <row r="797" ht="15.75" customHeight="1">
      <c r="A797" s="84"/>
      <c r="B797" s="84"/>
      <c r="C797" s="84"/>
      <c r="D797" s="84"/>
      <c r="E797" s="84"/>
      <c r="F797" s="84"/>
    </row>
    <row r="798" ht="15.75" customHeight="1">
      <c r="A798" s="84"/>
      <c r="B798" s="84"/>
      <c r="C798" s="84"/>
      <c r="D798" s="84"/>
      <c r="E798" s="84"/>
      <c r="F798" s="84"/>
    </row>
    <row r="799" ht="15.75" customHeight="1">
      <c r="A799" s="84"/>
      <c r="B799" s="84"/>
      <c r="C799" s="84"/>
      <c r="D799" s="84"/>
      <c r="E799" s="84"/>
      <c r="F799" s="84"/>
    </row>
    <row r="800" ht="15.75" customHeight="1">
      <c r="A800" s="84"/>
      <c r="B800" s="84"/>
      <c r="C800" s="84"/>
      <c r="D800" s="84"/>
      <c r="E800" s="84"/>
      <c r="F800" s="84"/>
    </row>
    <row r="801" ht="15.75" customHeight="1">
      <c r="A801" s="84"/>
      <c r="B801" s="84"/>
      <c r="C801" s="84"/>
      <c r="D801" s="84"/>
      <c r="E801" s="84"/>
      <c r="F801" s="84"/>
    </row>
    <row r="802" ht="15.75" customHeight="1">
      <c r="A802" s="84"/>
      <c r="B802" s="84"/>
      <c r="C802" s="84"/>
      <c r="D802" s="84"/>
      <c r="E802" s="84"/>
      <c r="F802" s="84"/>
    </row>
    <row r="803" ht="15.75" customHeight="1">
      <c r="A803" s="84"/>
      <c r="B803" s="84"/>
      <c r="C803" s="84"/>
      <c r="D803" s="84"/>
      <c r="E803" s="84"/>
      <c r="F803" s="84"/>
    </row>
    <row r="804" ht="15.75" customHeight="1">
      <c r="A804" s="84"/>
      <c r="B804" s="84"/>
      <c r="C804" s="84"/>
      <c r="D804" s="84"/>
      <c r="E804" s="84"/>
      <c r="F804" s="84"/>
    </row>
    <row r="805" ht="15.75" customHeight="1">
      <c r="A805" s="84"/>
      <c r="B805" s="84"/>
      <c r="C805" s="84"/>
      <c r="D805" s="84"/>
      <c r="E805" s="84"/>
      <c r="F805" s="84"/>
    </row>
    <row r="806" ht="15.75" customHeight="1">
      <c r="A806" s="84"/>
      <c r="B806" s="84"/>
      <c r="C806" s="84"/>
      <c r="D806" s="84"/>
      <c r="E806" s="84"/>
      <c r="F806" s="84"/>
    </row>
    <row r="807" ht="15.75" customHeight="1">
      <c r="A807" s="84"/>
      <c r="B807" s="84"/>
      <c r="C807" s="84"/>
      <c r="D807" s="84"/>
      <c r="E807" s="84"/>
      <c r="F807" s="84"/>
    </row>
    <row r="808" ht="15.75" customHeight="1">
      <c r="A808" s="84"/>
      <c r="B808" s="84"/>
      <c r="C808" s="84"/>
      <c r="D808" s="84"/>
      <c r="E808" s="84"/>
      <c r="F808" s="84"/>
    </row>
    <row r="809" ht="15.75" customHeight="1">
      <c r="A809" s="84"/>
      <c r="B809" s="84"/>
      <c r="C809" s="84"/>
      <c r="D809" s="84"/>
      <c r="E809" s="84"/>
      <c r="F809" s="84"/>
    </row>
    <row r="810" ht="15.75" customHeight="1">
      <c r="A810" s="84"/>
      <c r="B810" s="84"/>
      <c r="C810" s="84"/>
      <c r="D810" s="84"/>
      <c r="E810" s="84"/>
      <c r="F810" s="84"/>
    </row>
    <row r="811" ht="15.75" customHeight="1">
      <c r="A811" s="84"/>
      <c r="B811" s="84"/>
      <c r="C811" s="84"/>
      <c r="D811" s="84"/>
      <c r="E811" s="84"/>
      <c r="F811" s="84"/>
    </row>
    <row r="812" ht="15.75" customHeight="1">
      <c r="A812" s="84"/>
      <c r="B812" s="84"/>
      <c r="C812" s="84"/>
      <c r="D812" s="84"/>
      <c r="E812" s="84"/>
      <c r="F812" s="84"/>
    </row>
    <row r="813" ht="15.75" customHeight="1">
      <c r="A813" s="84"/>
      <c r="B813" s="84"/>
      <c r="C813" s="84"/>
      <c r="D813" s="84"/>
      <c r="E813" s="84"/>
      <c r="F813" s="84"/>
    </row>
    <row r="814" ht="15.75" customHeight="1">
      <c r="A814" s="84"/>
      <c r="B814" s="84"/>
      <c r="C814" s="84"/>
      <c r="D814" s="84"/>
      <c r="E814" s="84"/>
      <c r="F814" s="84"/>
    </row>
    <row r="815" ht="15.75" customHeight="1">
      <c r="A815" s="84"/>
      <c r="B815" s="84"/>
      <c r="C815" s="84"/>
      <c r="D815" s="84"/>
      <c r="E815" s="84"/>
      <c r="F815" s="84"/>
    </row>
    <row r="816" ht="15.75" customHeight="1">
      <c r="A816" s="84"/>
      <c r="B816" s="84"/>
      <c r="C816" s="84"/>
      <c r="D816" s="84"/>
      <c r="E816" s="84"/>
      <c r="F816" s="84"/>
    </row>
    <row r="817" ht="15.75" customHeight="1">
      <c r="A817" s="84"/>
      <c r="B817" s="84"/>
      <c r="C817" s="84"/>
      <c r="D817" s="84"/>
      <c r="E817" s="84"/>
      <c r="F817" s="84"/>
    </row>
    <row r="818" ht="15.75" customHeight="1">
      <c r="A818" s="84"/>
      <c r="B818" s="84"/>
      <c r="C818" s="84"/>
      <c r="D818" s="84"/>
      <c r="E818" s="84"/>
      <c r="F818" s="84"/>
    </row>
    <row r="819" ht="15.75" customHeight="1">
      <c r="A819" s="84"/>
      <c r="B819" s="84"/>
      <c r="C819" s="84"/>
      <c r="D819" s="84"/>
      <c r="E819" s="84"/>
      <c r="F819" s="84"/>
    </row>
    <row r="820" ht="15.75" customHeight="1">
      <c r="A820" s="84"/>
      <c r="B820" s="84"/>
      <c r="C820" s="84"/>
      <c r="D820" s="84"/>
      <c r="E820" s="84"/>
      <c r="F820" s="84"/>
    </row>
    <row r="821" ht="15.75" customHeight="1">
      <c r="A821" s="84"/>
      <c r="B821" s="84"/>
      <c r="C821" s="84"/>
      <c r="D821" s="84"/>
      <c r="E821" s="84"/>
      <c r="F821" s="84"/>
    </row>
    <row r="822" ht="15.75" customHeight="1">
      <c r="A822" s="84"/>
      <c r="B822" s="84"/>
      <c r="C822" s="84"/>
      <c r="D822" s="84"/>
      <c r="E822" s="84"/>
      <c r="F822" s="84"/>
    </row>
    <row r="823" ht="15.75" customHeight="1">
      <c r="A823" s="84"/>
      <c r="B823" s="84"/>
      <c r="C823" s="84"/>
      <c r="D823" s="84"/>
      <c r="E823" s="84"/>
      <c r="F823" s="84"/>
    </row>
    <row r="824" ht="15.75" customHeight="1">
      <c r="A824" s="84"/>
      <c r="B824" s="84"/>
      <c r="C824" s="84"/>
      <c r="D824" s="84"/>
      <c r="E824" s="84"/>
      <c r="F824" s="84"/>
    </row>
    <row r="825" ht="15.75" customHeight="1">
      <c r="A825" s="84"/>
      <c r="B825" s="84"/>
      <c r="C825" s="84"/>
      <c r="D825" s="84"/>
      <c r="E825" s="84"/>
      <c r="F825" s="84"/>
    </row>
    <row r="826" ht="15.75" customHeight="1">
      <c r="A826" s="84"/>
      <c r="B826" s="84"/>
      <c r="C826" s="84"/>
      <c r="D826" s="84"/>
      <c r="E826" s="84"/>
      <c r="F826" s="84"/>
    </row>
    <row r="827" ht="15.75" customHeight="1">
      <c r="A827" s="84"/>
      <c r="B827" s="84"/>
      <c r="C827" s="84"/>
      <c r="D827" s="84"/>
      <c r="E827" s="84"/>
      <c r="F827" s="84"/>
    </row>
    <row r="828" ht="15.75" customHeight="1">
      <c r="A828" s="84"/>
      <c r="B828" s="84"/>
      <c r="C828" s="84"/>
      <c r="D828" s="84"/>
      <c r="E828" s="84"/>
      <c r="F828" s="84"/>
    </row>
    <row r="829" ht="15.75" customHeight="1">
      <c r="A829" s="84"/>
      <c r="B829" s="84"/>
      <c r="C829" s="84"/>
      <c r="D829" s="84"/>
      <c r="E829" s="84"/>
      <c r="F829" s="84"/>
    </row>
    <row r="830" ht="15.75" customHeight="1">
      <c r="A830" s="84"/>
      <c r="B830" s="84"/>
      <c r="C830" s="84"/>
      <c r="D830" s="84"/>
      <c r="E830" s="84"/>
      <c r="F830" s="84"/>
    </row>
    <row r="831" ht="15.75" customHeight="1">
      <c r="A831" s="84"/>
      <c r="B831" s="84"/>
      <c r="C831" s="84"/>
      <c r="D831" s="84"/>
      <c r="E831" s="84"/>
      <c r="F831" s="84"/>
    </row>
    <row r="832" ht="15.75" customHeight="1">
      <c r="A832" s="84"/>
      <c r="B832" s="84"/>
      <c r="C832" s="84"/>
      <c r="D832" s="84"/>
      <c r="E832" s="84"/>
      <c r="F832" s="84"/>
    </row>
    <row r="833" ht="15.75" customHeight="1">
      <c r="A833" s="84"/>
      <c r="B833" s="84"/>
      <c r="C833" s="84"/>
      <c r="D833" s="84"/>
      <c r="E833" s="84"/>
      <c r="F833" s="84"/>
    </row>
    <row r="834" ht="15.75" customHeight="1">
      <c r="A834" s="84"/>
      <c r="B834" s="84"/>
      <c r="C834" s="84"/>
      <c r="D834" s="84"/>
      <c r="E834" s="84"/>
      <c r="F834" s="84"/>
    </row>
    <row r="835" ht="15.75" customHeight="1">
      <c r="A835" s="84"/>
      <c r="B835" s="84"/>
      <c r="C835" s="84"/>
      <c r="D835" s="84"/>
      <c r="E835" s="84"/>
      <c r="F835" s="84"/>
    </row>
    <row r="836" ht="15.75" customHeight="1">
      <c r="A836" s="84"/>
      <c r="B836" s="84"/>
      <c r="C836" s="84"/>
      <c r="D836" s="84"/>
      <c r="E836" s="84"/>
      <c r="F836" s="84"/>
    </row>
    <row r="837" ht="15.75" customHeight="1">
      <c r="A837" s="84"/>
      <c r="B837" s="84"/>
      <c r="C837" s="84"/>
      <c r="D837" s="84"/>
      <c r="E837" s="84"/>
      <c r="F837" s="84"/>
    </row>
    <row r="838" ht="15.75" customHeight="1">
      <c r="A838" s="84"/>
      <c r="B838" s="84"/>
      <c r="C838" s="84"/>
      <c r="D838" s="84"/>
      <c r="E838" s="84"/>
      <c r="F838" s="84"/>
    </row>
    <row r="839" ht="15.75" customHeight="1">
      <c r="A839" s="84"/>
      <c r="B839" s="84"/>
      <c r="C839" s="84"/>
      <c r="D839" s="84"/>
      <c r="E839" s="84"/>
      <c r="F839" s="84"/>
    </row>
    <row r="840" ht="15.75" customHeight="1">
      <c r="A840" s="84"/>
      <c r="B840" s="84"/>
      <c r="C840" s="84"/>
      <c r="D840" s="84"/>
      <c r="E840" s="84"/>
      <c r="F840" s="84"/>
    </row>
    <row r="841" ht="15.75" customHeight="1">
      <c r="A841" s="84"/>
      <c r="B841" s="84"/>
      <c r="C841" s="84"/>
      <c r="D841" s="84"/>
      <c r="E841" s="84"/>
      <c r="F841" s="84"/>
    </row>
    <row r="842" ht="15.75" customHeight="1">
      <c r="A842" s="84"/>
      <c r="B842" s="84"/>
      <c r="C842" s="84"/>
      <c r="D842" s="84"/>
      <c r="E842" s="84"/>
      <c r="F842" s="84"/>
    </row>
    <row r="843" ht="15.75" customHeight="1">
      <c r="A843" s="84"/>
      <c r="B843" s="84"/>
      <c r="C843" s="84"/>
      <c r="D843" s="84"/>
      <c r="E843" s="84"/>
      <c r="F843" s="84"/>
    </row>
    <row r="844" ht="15.75" customHeight="1">
      <c r="A844" s="84"/>
      <c r="B844" s="84"/>
      <c r="C844" s="84"/>
      <c r="D844" s="84"/>
      <c r="E844" s="84"/>
      <c r="F844" s="84"/>
    </row>
    <row r="845" ht="15.75" customHeight="1">
      <c r="A845" s="84"/>
      <c r="B845" s="84"/>
      <c r="C845" s="84"/>
      <c r="D845" s="84"/>
      <c r="E845" s="84"/>
      <c r="F845" s="84"/>
    </row>
    <row r="846" ht="15.75" customHeight="1">
      <c r="A846" s="84"/>
      <c r="B846" s="84"/>
      <c r="C846" s="84"/>
      <c r="D846" s="84"/>
      <c r="E846" s="84"/>
      <c r="F846" s="84"/>
    </row>
    <row r="847" ht="15.75" customHeight="1">
      <c r="A847" s="84"/>
      <c r="B847" s="84"/>
      <c r="C847" s="84"/>
      <c r="D847" s="84"/>
      <c r="E847" s="84"/>
      <c r="F847" s="84"/>
    </row>
    <row r="848" ht="15.75" customHeight="1">
      <c r="A848" s="84"/>
      <c r="B848" s="84"/>
      <c r="C848" s="84"/>
      <c r="D848" s="84"/>
      <c r="E848" s="84"/>
      <c r="F848" s="84"/>
    </row>
    <row r="849" ht="15.75" customHeight="1">
      <c r="A849" s="84"/>
      <c r="B849" s="84"/>
      <c r="C849" s="84"/>
      <c r="D849" s="84"/>
      <c r="E849" s="84"/>
      <c r="F849" s="84"/>
    </row>
    <row r="850" ht="15.75" customHeight="1">
      <c r="A850" s="84"/>
      <c r="B850" s="84"/>
      <c r="C850" s="84"/>
      <c r="D850" s="84"/>
      <c r="E850" s="84"/>
      <c r="F850" s="84"/>
    </row>
    <row r="851" ht="15.75" customHeight="1">
      <c r="A851" s="84"/>
      <c r="B851" s="84"/>
      <c r="C851" s="84"/>
      <c r="D851" s="84"/>
      <c r="E851" s="84"/>
      <c r="F851" s="84"/>
    </row>
    <row r="852" ht="15.75" customHeight="1">
      <c r="A852" s="84"/>
      <c r="B852" s="84"/>
      <c r="C852" s="84"/>
      <c r="D852" s="84"/>
      <c r="E852" s="84"/>
      <c r="F852" s="84"/>
    </row>
    <row r="853" ht="15.75" customHeight="1">
      <c r="A853" s="84"/>
      <c r="B853" s="84"/>
      <c r="C853" s="84"/>
      <c r="D853" s="84"/>
      <c r="E853" s="84"/>
      <c r="F853" s="84"/>
    </row>
    <row r="854" ht="15.75" customHeight="1">
      <c r="A854" s="84"/>
      <c r="B854" s="84"/>
      <c r="C854" s="84"/>
      <c r="D854" s="84"/>
      <c r="E854" s="84"/>
      <c r="F854" s="84"/>
    </row>
    <row r="855" ht="15.75" customHeight="1">
      <c r="A855" s="84"/>
      <c r="B855" s="84"/>
      <c r="C855" s="84"/>
      <c r="D855" s="84"/>
      <c r="E855" s="84"/>
      <c r="F855" s="84"/>
    </row>
    <row r="856" ht="15.75" customHeight="1">
      <c r="A856" s="84"/>
      <c r="B856" s="84"/>
      <c r="C856" s="84"/>
      <c r="D856" s="84"/>
      <c r="E856" s="84"/>
      <c r="F856" s="84"/>
    </row>
    <row r="857" ht="15.75" customHeight="1">
      <c r="A857" s="84"/>
      <c r="B857" s="84"/>
      <c r="C857" s="84"/>
      <c r="D857" s="84"/>
      <c r="E857" s="84"/>
      <c r="F857" s="84"/>
    </row>
    <row r="858" ht="15.75" customHeight="1">
      <c r="A858" s="84"/>
      <c r="B858" s="84"/>
      <c r="C858" s="84"/>
      <c r="D858" s="84"/>
      <c r="E858" s="84"/>
      <c r="F858" s="84"/>
    </row>
    <row r="859" ht="15.75" customHeight="1">
      <c r="A859" s="84"/>
      <c r="B859" s="84"/>
      <c r="C859" s="84"/>
      <c r="D859" s="84"/>
      <c r="E859" s="84"/>
      <c r="F859" s="84"/>
    </row>
    <row r="860" ht="15.75" customHeight="1">
      <c r="A860" s="84"/>
      <c r="B860" s="84"/>
      <c r="C860" s="84"/>
      <c r="D860" s="84"/>
      <c r="E860" s="84"/>
      <c r="F860" s="84"/>
    </row>
    <row r="861" ht="15.75" customHeight="1">
      <c r="A861" s="84"/>
      <c r="B861" s="84"/>
      <c r="C861" s="84"/>
      <c r="D861" s="84"/>
      <c r="E861" s="84"/>
      <c r="F861" s="84"/>
    </row>
    <row r="862" ht="15.75" customHeight="1">
      <c r="A862" s="84"/>
      <c r="B862" s="84"/>
      <c r="C862" s="84"/>
      <c r="D862" s="84"/>
      <c r="E862" s="84"/>
      <c r="F862" s="84"/>
    </row>
    <row r="863" ht="15.75" customHeight="1">
      <c r="A863" s="84"/>
      <c r="B863" s="84"/>
      <c r="C863" s="84"/>
      <c r="D863" s="84"/>
      <c r="E863" s="84"/>
      <c r="F863" s="84"/>
    </row>
    <row r="864" ht="15.75" customHeight="1">
      <c r="A864" s="84"/>
      <c r="B864" s="84"/>
      <c r="C864" s="84"/>
      <c r="D864" s="84"/>
      <c r="E864" s="84"/>
      <c r="F864" s="84"/>
    </row>
    <row r="865" ht="15.75" customHeight="1">
      <c r="A865" s="84"/>
      <c r="B865" s="84"/>
      <c r="C865" s="84"/>
      <c r="D865" s="84"/>
      <c r="E865" s="84"/>
      <c r="F865" s="84"/>
    </row>
    <row r="866" ht="15.75" customHeight="1">
      <c r="A866" s="84"/>
      <c r="B866" s="84"/>
      <c r="C866" s="84"/>
      <c r="D866" s="84"/>
      <c r="E866" s="84"/>
      <c r="F866" s="84"/>
    </row>
    <row r="867" ht="15.75" customHeight="1">
      <c r="A867" s="84"/>
      <c r="B867" s="84"/>
      <c r="C867" s="84"/>
      <c r="D867" s="84"/>
      <c r="E867" s="84"/>
      <c r="F867" s="84"/>
    </row>
    <row r="868" ht="15.75" customHeight="1">
      <c r="A868" s="84"/>
      <c r="B868" s="84"/>
      <c r="C868" s="84"/>
      <c r="D868" s="84"/>
      <c r="E868" s="84"/>
      <c r="F868" s="84"/>
    </row>
    <row r="869" ht="15.75" customHeight="1">
      <c r="A869" s="84"/>
      <c r="B869" s="84"/>
      <c r="C869" s="84"/>
      <c r="D869" s="84"/>
      <c r="E869" s="84"/>
      <c r="F869" s="84"/>
    </row>
    <row r="870" ht="15.75" customHeight="1">
      <c r="A870" s="84"/>
      <c r="B870" s="84"/>
      <c r="C870" s="84"/>
      <c r="D870" s="84"/>
      <c r="E870" s="84"/>
      <c r="F870" s="84"/>
    </row>
    <row r="871" ht="15.75" customHeight="1">
      <c r="A871" s="84"/>
      <c r="B871" s="84"/>
      <c r="C871" s="84"/>
      <c r="D871" s="84"/>
      <c r="E871" s="84"/>
      <c r="F871" s="84"/>
    </row>
    <row r="872" ht="15.75" customHeight="1">
      <c r="A872" s="84"/>
      <c r="B872" s="84"/>
      <c r="C872" s="84"/>
      <c r="D872" s="84"/>
      <c r="E872" s="84"/>
      <c r="F872" s="84"/>
    </row>
    <row r="873" ht="15.75" customHeight="1">
      <c r="A873" s="84"/>
      <c r="B873" s="84"/>
      <c r="C873" s="84"/>
      <c r="D873" s="84"/>
      <c r="E873" s="84"/>
      <c r="F873" s="84"/>
    </row>
    <row r="874" ht="15.75" customHeight="1">
      <c r="A874" s="84"/>
      <c r="B874" s="84"/>
      <c r="C874" s="84"/>
      <c r="D874" s="84"/>
      <c r="E874" s="84"/>
      <c r="F874" s="84"/>
    </row>
    <row r="875" ht="15.75" customHeight="1">
      <c r="A875" s="84"/>
      <c r="B875" s="84"/>
      <c r="C875" s="84"/>
      <c r="D875" s="84"/>
      <c r="E875" s="84"/>
      <c r="F875" s="84"/>
    </row>
    <row r="876" ht="15.75" customHeight="1">
      <c r="A876" s="84"/>
      <c r="B876" s="84"/>
      <c r="C876" s="84"/>
      <c r="D876" s="84"/>
      <c r="E876" s="84"/>
      <c r="F876" s="84"/>
    </row>
    <row r="877" ht="15.75" customHeight="1">
      <c r="A877" s="84"/>
      <c r="B877" s="84"/>
      <c r="C877" s="84"/>
      <c r="D877" s="84"/>
      <c r="E877" s="84"/>
      <c r="F877" s="84"/>
    </row>
    <row r="878" ht="15.75" customHeight="1">
      <c r="A878" s="84"/>
      <c r="B878" s="84"/>
      <c r="C878" s="84"/>
      <c r="D878" s="84"/>
      <c r="E878" s="84"/>
      <c r="F878" s="84"/>
    </row>
    <row r="879" ht="15.75" customHeight="1">
      <c r="A879" s="84"/>
      <c r="B879" s="84"/>
      <c r="C879" s="84"/>
      <c r="D879" s="84"/>
      <c r="E879" s="84"/>
      <c r="F879" s="84"/>
    </row>
    <row r="880" ht="15.75" customHeight="1">
      <c r="A880" s="84"/>
      <c r="B880" s="84"/>
      <c r="C880" s="84"/>
      <c r="D880" s="84"/>
      <c r="E880" s="84"/>
      <c r="F880" s="84"/>
    </row>
    <row r="881" ht="15.75" customHeight="1">
      <c r="A881" s="84"/>
      <c r="B881" s="84"/>
      <c r="C881" s="84"/>
      <c r="D881" s="84"/>
      <c r="E881" s="84"/>
      <c r="F881" s="84"/>
    </row>
    <row r="882" ht="15.75" customHeight="1">
      <c r="A882" s="84"/>
      <c r="B882" s="84"/>
      <c r="C882" s="84"/>
      <c r="D882" s="84"/>
      <c r="E882" s="84"/>
      <c r="F882" s="84"/>
    </row>
    <row r="883" ht="15.75" customHeight="1">
      <c r="A883" s="84"/>
      <c r="B883" s="84"/>
      <c r="C883" s="84"/>
      <c r="D883" s="84"/>
      <c r="E883" s="84"/>
      <c r="F883" s="84"/>
    </row>
    <row r="884" ht="15.75" customHeight="1">
      <c r="A884" s="84"/>
      <c r="B884" s="84"/>
      <c r="C884" s="84"/>
      <c r="D884" s="84"/>
      <c r="E884" s="84"/>
      <c r="F884" s="84"/>
    </row>
    <row r="885" ht="15.75" customHeight="1">
      <c r="A885" s="84"/>
      <c r="B885" s="84"/>
      <c r="C885" s="84"/>
      <c r="D885" s="84"/>
      <c r="E885" s="84"/>
      <c r="F885" s="84"/>
    </row>
    <row r="886" ht="15.75" customHeight="1">
      <c r="A886" s="84"/>
      <c r="B886" s="84"/>
      <c r="C886" s="84"/>
      <c r="D886" s="84"/>
      <c r="E886" s="84"/>
      <c r="F886" s="84"/>
    </row>
    <row r="887" ht="15.75" customHeight="1">
      <c r="A887" s="84"/>
      <c r="B887" s="84"/>
      <c r="C887" s="84"/>
      <c r="D887" s="84"/>
      <c r="E887" s="84"/>
      <c r="F887" s="84"/>
    </row>
    <row r="888" ht="15.75" customHeight="1">
      <c r="A888" s="84"/>
      <c r="B888" s="84"/>
      <c r="C888" s="84"/>
      <c r="D888" s="84"/>
      <c r="E888" s="84"/>
      <c r="F888" s="84"/>
    </row>
    <row r="889" ht="15.75" customHeight="1">
      <c r="A889" s="84"/>
      <c r="B889" s="84"/>
      <c r="C889" s="84"/>
      <c r="D889" s="84"/>
      <c r="E889" s="84"/>
      <c r="F889" s="84"/>
    </row>
    <row r="890" ht="15.75" customHeight="1">
      <c r="A890" s="84"/>
      <c r="B890" s="84"/>
      <c r="C890" s="84"/>
      <c r="D890" s="84"/>
      <c r="E890" s="84"/>
      <c r="F890" s="84"/>
    </row>
    <row r="891" ht="15.75" customHeight="1">
      <c r="A891" s="84"/>
      <c r="B891" s="84"/>
      <c r="C891" s="84"/>
      <c r="D891" s="84"/>
      <c r="E891" s="84"/>
      <c r="F891" s="84"/>
    </row>
    <row r="892" ht="15.75" customHeight="1">
      <c r="A892" s="84"/>
      <c r="B892" s="84"/>
      <c r="C892" s="84"/>
      <c r="D892" s="84"/>
      <c r="E892" s="84"/>
      <c r="F892" s="84"/>
    </row>
    <row r="893" ht="15.75" customHeight="1">
      <c r="A893" s="84"/>
      <c r="B893" s="84"/>
      <c r="C893" s="84"/>
      <c r="D893" s="84"/>
      <c r="E893" s="84"/>
      <c r="F893" s="84"/>
    </row>
    <row r="894" ht="15.75" customHeight="1">
      <c r="A894" s="84"/>
      <c r="B894" s="84"/>
      <c r="C894" s="84"/>
      <c r="D894" s="84"/>
      <c r="E894" s="84"/>
      <c r="F894" s="84"/>
    </row>
    <row r="895" ht="15.75" customHeight="1">
      <c r="A895" s="84"/>
      <c r="B895" s="84"/>
      <c r="C895" s="84"/>
      <c r="D895" s="84"/>
      <c r="E895" s="84"/>
      <c r="F895" s="84"/>
    </row>
    <row r="896" ht="15.75" customHeight="1">
      <c r="A896" s="84"/>
      <c r="B896" s="84"/>
      <c r="C896" s="84"/>
      <c r="D896" s="84"/>
      <c r="E896" s="84"/>
      <c r="F896" s="84"/>
    </row>
    <row r="897" ht="15.75" customHeight="1">
      <c r="A897" s="84"/>
      <c r="B897" s="84"/>
      <c r="C897" s="84"/>
      <c r="D897" s="84"/>
      <c r="E897" s="84"/>
      <c r="F897" s="84"/>
    </row>
    <row r="898" ht="15.75" customHeight="1">
      <c r="A898" s="84"/>
      <c r="B898" s="84"/>
      <c r="C898" s="84"/>
      <c r="D898" s="84"/>
      <c r="E898" s="84"/>
      <c r="F898" s="84"/>
    </row>
    <row r="899" ht="15.75" customHeight="1">
      <c r="A899" s="84"/>
      <c r="B899" s="84"/>
      <c r="C899" s="84"/>
      <c r="D899" s="84"/>
      <c r="E899" s="84"/>
      <c r="F899" s="84"/>
    </row>
    <row r="900" ht="15.75" customHeight="1">
      <c r="A900" s="84"/>
      <c r="B900" s="84"/>
      <c r="C900" s="84"/>
      <c r="D900" s="84"/>
      <c r="E900" s="84"/>
      <c r="F900" s="84"/>
    </row>
    <row r="901" ht="15.75" customHeight="1">
      <c r="A901" s="84"/>
      <c r="B901" s="84"/>
      <c r="C901" s="84"/>
      <c r="D901" s="84"/>
      <c r="E901" s="84"/>
      <c r="F901" s="84"/>
    </row>
    <row r="902" ht="15.75" customHeight="1">
      <c r="A902" s="84"/>
      <c r="B902" s="84"/>
      <c r="C902" s="84"/>
      <c r="D902" s="84"/>
      <c r="E902" s="84"/>
      <c r="F902" s="84"/>
    </row>
    <row r="903" ht="15.75" customHeight="1">
      <c r="A903" s="84"/>
      <c r="B903" s="84"/>
      <c r="C903" s="84"/>
      <c r="D903" s="84"/>
      <c r="E903" s="84"/>
      <c r="F903" s="84"/>
    </row>
    <row r="904" ht="15.75" customHeight="1">
      <c r="A904" s="84"/>
      <c r="B904" s="84"/>
      <c r="C904" s="84"/>
      <c r="D904" s="84"/>
      <c r="E904" s="84"/>
      <c r="F904" s="84"/>
    </row>
    <row r="905" ht="15.75" customHeight="1">
      <c r="A905" s="84"/>
      <c r="B905" s="84"/>
      <c r="C905" s="84"/>
      <c r="D905" s="84"/>
      <c r="E905" s="84"/>
      <c r="F905" s="84"/>
    </row>
    <row r="906" ht="15.75" customHeight="1">
      <c r="A906" s="84"/>
      <c r="B906" s="84"/>
      <c r="C906" s="84"/>
      <c r="D906" s="84"/>
      <c r="E906" s="84"/>
      <c r="F906" s="84"/>
    </row>
    <row r="907" ht="15.75" customHeight="1">
      <c r="A907" s="84"/>
      <c r="B907" s="84"/>
      <c r="C907" s="84"/>
      <c r="D907" s="84"/>
      <c r="E907" s="84"/>
      <c r="F907" s="84"/>
    </row>
    <row r="908" ht="15.75" customHeight="1">
      <c r="A908" s="84"/>
      <c r="B908" s="84"/>
      <c r="C908" s="84"/>
      <c r="D908" s="84"/>
      <c r="E908" s="84"/>
      <c r="F908" s="84"/>
    </row>
    <row r="909" ht="15.75" customHeight="1">
      <c r="A909" s="84"/>
      <c r="B909" s="84"/>
      <c r="C909" s="84"/>
      <c r="D909" s="84"/>
      <c r="E909" s="84"/>
      <c r="F909" s="84"/>
    </row>
    <row r="910" ht="15.75" customHeight="1">
      <c r="A910" s="84"/>
      <c r="B910" s="84"/>
      <c r="C910" s="84"/>
      <c r="D910" s="84"/>
      <c r="E910" s="84"/>
      <c r="F910" s="84"/>
    </row>
    <row r="911" ht="15.75" customHeight="1">
      <c r="A911" s="84"/>
      <c r="B911" s="84"/>
      <c r="C911" s="84"/>
      <c r="D911" s="84"/>
      <c r="E911" s="84"/>
      <c r="F911" s="84"/>
    </row>
    <row r="912" ht="15.75" customHeight="1">
      <c r="A912" s="84"/>
      <c r="B912" s="84"/>
      <c r="C912" s="84"/>
      <c r="D912" s="84"/>
      <c r="E912" s="84"/>
      <c r="F912" s="84"/>
    </row>
    <row r="913" ht="15.75" customHeight="1">
      <c r="A913" s="84"/>
      <c r="B913" s="84"/>
      <c r="C913" s="84"/>
      <c r="D913" s="84"/>
      <c r="E913" s="84"/>
      <c r="F913" s="84"/>
    </row>
    <row r="914" ht="15.75" customHeight="1">
      <c r="A914" s="84"/>
      <c r="B914" s="84"/>
      <c r="C914" s="84"/>
      <c r="D914" s="84"/>
      <c r="E914" s="84"/>
      <c r="F914" s="84"/>
    </row>
    <row r="915" ht="15.75" customHeight="1">
      <c r="A915" s="84"/>
      <c r="B915" s="84"/>
      <c r="C915" s="84"/>
      <c r="D915" s="84"/>
      <c r="E915" s="84"/>
      <c r="F915" s="84"/>
    </row>
    <row r="916" ht="15.75" customHeight="1">
      <c r="A916" s="84"/>
      <c r="B916" s="84"/>
      <c r="C916" s="84"/>
      <c r="D916" s="84"/>
      <c r="E916" s="84"/>
      <c r="F916" s="84"/>
    </row>
    <row r="917" ht="15.75" customHeight="1">
      <c r="A917" s="84"/>
      <c r="B917" s="84"/>
      <c r="C917" s="84"/>
      <c r="D917" s="84"/>
      <c r="E917" s="84"/>
      <c r="F917" s="84"/>
    </row>
    <row r="918" ht="15.75" customHeight="1">
      <c r="A918" s="84"/>
      <c r="B918" s="84"/>
      <c r="C918" s="84"/>
      <c r="D918" s="84"/>
      <c r="E918" s="84"/>
      <c r="F918" s="84"/>
    </row>
    <row r="919" ht="15.75" customHeight="1">
      <c r="A919" s="84"/>
      <c r="B919" s="84"/>
      <c r="C919" s="84"/>
      <c r="D919" s="84"/>
      <c r="E919" s="84"/>
      <c r="F919" s="84"/>
    </row>
    <row r="920" ht="15.75" customHeight="1">
      <c r="A920" s="84"/>
      <c r="B920" s="84"/>
      <c r="C920" s="84"/>
      <c r="D920" s="84"/>
      <c r="E920" s="84"/>
      <c r="F920" s="84"/>
    </row>
    <row r="921" ht="15.75" customHeight="1">
      <c r="A921" s="84"/>
      <c r="B921" s="84"/>
      <c r="C921" s="84"/>
      <c r="D921" s="84"/>
      <c r="E921" s="84"/>
      <c r="F921" s="84"/>
    </row>
    <row r="922" ht="15.75" customHeight="1">
      <c r="A922" s="84"/>
      <c r="B922" s="84"/>
      <c r="C922" s="84"/>
      <c r="D922" s="84"/>
      <c r="E922" s="84"/>
      <c r="F922" s="84"/>
    </row>
    <row r="923" ht="15.75" customHeight="1">
      <c r="A923" s="84"/>
      <c r="B923" s="84"/>
      <c r="C923" s="84"/>
      <c r="D923" s="84"/>
      <c r="E923" s="84"/>
      <c r="F923" s="84"/>
    </row>
    <row r="924" ht="15.75" customHeight="1">
      <c r="A924" s="84"/>
      <c r="B924" s="84"/>
      <c r="C924" s="84"/>
      <c r="D924" s="84"/>
      <c r="E924" s="84"/>
      <c r="F924" s="84"/>
    </row>
    <row r="925" ht="15.75" customHeight="1">
      <c r="A925" s="84"/>
      <c r="B925" s="84"/>
      <c r="C925" s="84"/>
      <c r="D925" s="84"/>
      <c r="E925" s="84"/>
      <c r="F925" s="84"/>
    </row>
    <row r="926" ht="15.75" customHeight="1">
      <c r="A926" s="84"/>
      <c r="B926" s="84"/>
      <c r="C926" s="84"/>
      <c r="D926" s="84"/>
      <c r="E926" s="84"/>
      <c r="F926" s="84"/>
    </row>
    <row r="927" ht="15.75" customHeight="1">
      <c r="A927" s="84"/>
      <c r="B927" s="84"/>
      <c r="C927" s="84"/>
      <c r="D927" s="84"/>
      <c r="E927" s="84"/>
      <c r="F927" s="84"/>
    </row>
    <row r="928" ht="15.75" customHeight="1">
      <c r="A928" s="84"/>
      <c r="B928" s="84"/>
      <c r="C928" s="84"/>
      <c r="D928" s="84"/>
      <c r="E928" s="84"/>
      <c r="F928" s="84"/>
    </row>
    <row r="929" ht="15.75" customHeight="1">
      <c r="A929" s="84"/>
      <c r="B929" s="84"/>
      <c r="C929" s="84"/>
      <c r="D929" s="84"/>
      <c r="E929" s="84"/>
      <c r="F929" s="84"/>
    </row>
    <row r="930" ht="15.75" customHeight="1">
      <c r="A930" s="84"/>
      <c r="B930" s="84"/>
      <c r="C930" s="84"/>
      <c r="D930" s="84"/>
      <c r="E930" s="84"/>
      <c r="F930" s="84"/>
    </row>
    <row r="931" ht="15.75" customHeight="1">
      <c r="A931" s="84"/>
      <c r="B931" s="84"/>
      <c r="C931" s="84"/>
      <c r="D931" s="84"/>
      <c r="E931" s="84"/>
      <c r="F931" s="84"/>
    </row>
    <row r="932" ht="15.75" customHeight="1">
      <c r="A932" s="84"/>
      <c r="B932" s="84"/>
      <c r="C932" s="84"/>
      <c r="D932" s="84"/>
      <c r="E932" s="84"/>
      <c r="F932" s="84"/>
    </row>
    <row r="933" ht="15.75" customHeight="1">
      <c r="A933" s="84"/>
      <c r="B933" s="84"/>
      <c r="C933" s="84"/>
      <c r="D933" s="84"/>
      <c r="E933" s="84"/>
      <c r="F933" s="84"/>
    </row>
    <row r="934" ht="15.75" customHeight="1">
      <c r="A934" s="84"/>
      <c r="B934" s="84"/>
      <c r="C934" s="84"/>
      <c r="D934" s="84"/>
      <c r="E934" s="84"/>
      <c r="F934" s="84"/>
    </row>
    <row r="935" ht="15.75" customHeight="1">
      <c r="A935" s="84"/>
      <c r="B935" s="84"/>
      <c r="C935" s="84"/>
      <c r="D935" s="84"/>
      <c r="E935" s="84"/>
      <c r="F935" s="84"/>
    </row>
    <row r="936" ht="15.75" customHeight="1">
      <c r="A936" s="84"/>
      <c r="B936" s="84"/>
      <c r="C936" s="84"/>
      <c r="D936" s="84"/>
      <c r="E936" s="84"/>
      <c r="F936" s="84"/>
    </row>
    <row r="937" ht="15.75" customHeight="1">
      <c r="A937" s="84"/>
      <c r="B937" s="84"/>
      <c r="C937" s="84"/>
      <c r="D937" s="84"/>
      <c r="E937" s="84"/>
      <c r="F937" s="84"/>
    </row>
    <row r="938" ht="15.75" customHeight="1">
      <c r="A938" s="84"/>
      <c r="B938" s="84"/>
      <c r="C938" s="84"/>
      <c r="D938" s="84"/>
      <c r="E938" s="84"/>
      <c r="F938" s="84"/>
    </row>
    <row r="939" ht="15.75" customHeight="1">
      <c r="A939" s="84"/>
      <c r="B939" s="84"/>
      <c r="C939" s="84"/>
      <c r="D939" s="84"/>
      <c r="E939" s="84"/>
      <c r="F939" s="84"/>
    </row>
    <row r="940" ht="15.75" customHeight="1">
      <c r="A940" s="84"/>
      <c r="B940" s="84"/>
      <c r="C940" s="84"/>
      <c r="D940" s="84"/>
      <c r="E940" s="84"/>
      <c r="F940" s="84"/>
    </row>
    <row r="941" ht="15.75" customHeight="1">
      <c r="A941" s="84"/>
      <c r="B941" s="84"/>
      <c r="C941" s="84"/>
      <c r="D941" s="84"/>
      <c r="E941" s="84"/>
      <c r="F941" s="84"/>
    </row>
    <row r="942" ht="15.75" customHeight="1">
      <c r="A942" s="84"/>
      <c r="B942" s="84"/>
      <c r="C942" s="84"/>
      <c r="D942" s="84"/>
      <c r="E942" s="84"/>
      <c r="F942" s="84"/>
    </row>
    <row r="943" ht="15.75" customHeight="1">
      <c r="A943" s="84"/>
      <c r="B943" s="84"/>
      <c r="C943" s="84"/>
      <c r="D943" s="84"/>
      <c r="E943" s="84"/>
      <c r="F943" s="84"/>
    </row>
    <row r="944" ht="15.75" customHeight="1">
      <c r="A944" s="84"/>
      <c r="B944" s="84"/>
      <c r="C944" s="84"/>
      <c r="D944" s="84"/>
      <c r="E944" s="84"/>
      <c r="F944" s="84"/>
    </row>
    <row r="945" ht="15.75" customHeight="1">
      <c r="A945" s="84"/>
      <c r="B945" s="84"/>
      <c r="C945" s="84"/>
      <c r="D945" s="84"/>
      <c r="E945" s="84"/>
      <c r="F945" s="84"/>
    </row>
    <row r="946" ht="15.75" customHeight="1">
      <c r="A946" s="84"/>
      <c r="B946" s="84"/>
      <c r="C946" s="84"/>
      <c r="D946" s="84"/>
      <c r="E946" s="84"/>
      <c r="F946" s="84"/>
    </row>
    <row r="947" ht="15.75" customHeight="1">
      <c r="A947" s="84"/>
      <c r="B947" s="84"/>
      <c r="C947" s="84"/>
      <c r="D947" s="84"/>
      <c r="E947" s="84"/>
      <c r="F947" s="84"/>
    </row>
    <row r="948" ht="15.75" customHeight="1">
      <c r="A948" s="84"/>
      <c r="B948" s="84"/>
      <c r="C948" s="84"/>
      <c r="D948" s="84"/>
      <c r="E948" s="84"/>
      <c r="F948" s="84"/>
    </row>
    <row r="949" ht="15.75" customHeight="1">
      <c r="A949" s="84"/>
      <c r="B949" s="84"/>
      <c r="C949" s="84"/>
      <c r="D949" s="84"/>
      <c r="E949" s="84"/>
      <c r="F949" s="84"/>
    </row>
    <row r="950" ht="15.75" customHeight="1">
      <c r="A950" s="84"/>
      <c r="B950" s="84"/>
      <c r="C950" s="84"/>
      <c r="D950" s="84"/>
      <c r="E950" s="84"/>
      <c r="F950" s="84"/>
    </row>
    <row r="951" ht="15.75" customHeight="1">
      <c r="A951" s="84"/>
      <c r="B951" s="84"/>
      <c r="C951" s="84"/>
      <c r="D951" s="84"/>
      <c r="E951" s="84"/>
      <c r="F951" s="84"/>
    </row>
    <row r="952" ht="15.75" customHeight="1">
      <c r="A952" s="84"/>
      <c r="B952" s="84"/>
      <c r="C952" s="84"/>
      <c r="D952" s="84"/>
      <c r="E952" s="84"/>
      <c r="F952" s="84"/>
    </row>
    <row r="953" ht="15.75" customHeight="1">
      <c r="A953" s="84"/>
      <c r="B953" s="84"/>
      <c r="C953" s="84"/>
      <c r="D953" s="84"/>
      <c r="E953" s="84"/>
      <c r="F953" s="84"/>
    </row>
    <row r="954" ht="15.75" customHeight="1">
      <c r="A954" s="84"/>
      <c r="B954" s="84"/>
      <c r="C954" s="84"/>
      <c r="D954" s="84"/>
      <c r="E954" s="84"/>
      <c r="F954" s="84"/>
    </row>
    <row r="955" ht="15.75" customHeight="1">
      <c r="A955" s="84"/>
      <c r="B955" s="84"/>
      <c r="C955" s="84"/>
      <c r="D955" s="84"/>
      <c r="E955" s="84"/>
      <c r="F955" s="84"/>
    </row>
    <row r="956" ht="15.75" customHeight="1">
      <c r="A956" s="84"/>
      <c r="B956" s="84"/>
      <c r="C956" s="84"/>
      <c r="D956" s="84"/>
      <c r="E956" s="84"/>
      <c r="F956" s="84"/>
    </row>
    <row r="957" ht="15.75" customHeight="1">
      <c r="A957" s="84"/>
      <c r="B957" s="84"/>
      <c r="C957" s="84"/>
      <c r="D957" s="84"/>
      <c r="E957" s="84"/>
      <c r="F957" s="84"/>
    </row>
    <row r="958" ht="15.75" customHeight="1">
      <c r="A958" s="84"/>
      <c r="B958" s="84"/>
      <c r="C958" s="84"/>
      <c r="D958" s="84"/>
      <c r="E958" s="84"/>
      <c r="F958" s="84"/>
    </row>
    <row r="959" ht="15.75" customHeight="1">
      <c r="A959" s="84"/>
      <c r="B959" s="84"/>
      <c r="C959" s="84"/>
      <c r="D959" s="84"/>
      <c r="E959" s="84"/>
      <c r="F959" s="84"/>
    </row>
    <row r="960" ht="15.75" customHeight="1">
      <c r="A960" s="84"/>
      <c r="B960" s="84"/>
      <c r="C960" s="84"/>
      <c r="D960" s="84"/>
      <c r="E960" s="84"/>
      <c r="F960" s="84"/>
    </row>
    <row r="961" ht="15.75" customHeight="1">
      <c r="A961" s="84"/>
      <c r="B961" s="84"/>
      <c r="C961" s="84"/>
      <c r="D961" s="84"/>
      <c r="E961" s="84"/>
      <c r="F961" s="84"/>
    </row>
    <row r="962" ht="15.75" customHeight="1">
      <c r="A962" s="84"/>
      <c r="B962" s="84"/>
      <c r="C962" s="84"/>
      <c r="D962" s="84"/>
      <c r="E962" s="84"/>
      <c r="F962" s="84"/>
    </row>
    <row r="963" ht="15.75" customHeight="1">
      <c r="A963" s="84"/>
      <c r="B963" s="84"/>
      <c r="C963" s="84"/>
      <c r="D963" s="84"/>
      <c r="E963" s="84"/>
      <c r="F963" s="84"/>
    </row>
    <row r="964" ht="15.75" customHeight="1">
      <c r="A964" s="84"/>
      <c r="B964" s="84"/>
      <c r="C964" s="84"/>
      <c r="D964" s="84"/>
      <c r="E964" s="84"/>
      <c r="F964" s="84"/>
    </row>
    <row r="965" ht="15.75" customHeight="1">
      <c r="A965" s="84"/>
      <c r="B965" s="84"/>
      <c r="C965" s="84"/>
      <c r="D965" s="84"/>
      <c r="E965" s="84"/>
      <c r="F965" s="84"/>
    </row>
    <row r="966" ht="15.75" customHeight="1">
      <c r="A966" s="84"/>
      <c r="B966" s="84"/>
      <c r="C966" s="84"/>
      <c r="D966" s="84"/>
      <c r="E966" s="84"/>
      <c r="F966" s="84"/>
    </row>
    <row r="967" ht="15.75" customHeight="1">
      <c r="A967" s="84"/>
      <c r="B967" s="84"/>
      <c r="C967" s="84"/>
      <c r="D967" s="84"/>
      <c r="E967" s="84"/>
      <c r="F967" s="84"/>
    </row>
    <row r="968" ht="15.75" customHeight="1">
      <c r="A968" s="84"/>
      <c r="B968" s="84"/>
      <c r="C968" s="84"/>
      <c r="D968" s="84"/>
      <c r="E968" s="84"/>
      <c r="F968" s="84"/>
    </row>
    <row r="969" ht="15.75" customHeight="1">
      <c r="A969" s="84"/>
      <c r="B969" s="84"/>
      <c r="C969" s="84"/>
      <c r="D969" s="84"/>
      <c r="E969" s="84"/>
      <c r="F969" s="84"/>
    </row>
    <row r="970" ht="15.75" customHeight="1">
      <c r="A970" s="84"/>
      <c r="B970" s="84"/>
      <c r="C970" s="84"/>
      <c r="D970" s="84"/>
      <c r="E970" s="84"/>
      <c r="F970" s="84"/>
    </row>
    <row r="971" ht="15.75" customHeight="1">
      <c r="A971" s="84"/>
      <c r="B971" s="84"/>
      <c r="C971" s="84"/>
      <c r="D971" s="84"/>
      <c r="E971" s="84"/>
      <c r="F971" s="84"/>
    </row>
    <row r="972" ht="15.75" customHeight="1">
      <c r="A972" s="84"/>
      <c r="B972" s="84"/>
      <c r="C972" s="84"/>
      <c r="D972" s="84"/>
      <c r="E972" s="84"/>
      <c r="F972" s="84"/>
    </row>
    <row r="973" ht="15.75" customHeight="1">
      <c r="A973" s="84"/>
      <c r="B973" s="84"/>
      <c r="C973" s="84"/>
      <c r="D973" s="84"/>
      <c r="E973" s="84"/>
      <c r="F973" s="84"/>
    </row>
    <row r="974" ht="15.75" customHeight="1">
      <c r="A974" s="84"/>
      <c r="B974" s="84"/>
      <c r="C974" s="84"/>
      <c r="D974" s="84"/>
      <c r="E974" s="84"/>
      <c r="F974" s="84"/>
    </row>
    <row r="975" ht="15.75" customHeight="1">
      <c r="A975" s="84"/>
      <c r="B975" s="84"/>
      <c r="C975" s="84"/>
      <c r="D975" s="84"/>
      <c r="E975" s="84"/>
      <c r="F975" s="84"/>
    </row>
    <row r="976" ht="15.75" customHeight="1">
      <c r="A976" s="84"/>
      <c r="B976" s="84"/>
      <c r="C976" s="84"/>
      <c r="D976" s="84"/>
      <c r="E976" s="84"/>
      <c r="F976" s="84"/>
    </row>
    <row r="977" ht="15.75" customHeight="1">
      <c r="A977" s="84"/>
      <c r="B977" s="84"/>
      <c r="C977" s="84"/>
      <c r="D977" s="84"/>
      <c r="E977" s="84"/>
      <c r="F977" s="84"/>
    </row>
    <row r="978" ht="15.75" customHeight="1">
      <c r="A978" s="84"/>
      <c r="B978" s="84"/>
      <c r="C978" s="84"/>
      <c r="D978" s="84"/>
      <c r="E978" s="84"/>
      <c r="F978" s="84"/>
    </row>
    <row r="979" ht="15.75" customHeight="1">
      <c r="A979" s="84"/>
      <c r="B979" s="84"/>
      <c r="C979" s="84"/>
      <c r="D979" s="84"/>
      <c r="E979" s="84"/>
      <c r="F979" s="84"/>
    </row>
    <row r="980" ht="15.75" customHeight="1">
      <c r="A980" s="84"/>
      <c r="B980" s="84"/>
      <c r="C980" s="84"/>
      <c r="D980" s="84"/>
      <c r="E980" s="84"/>
      <c r="F980" s="84"/>
    </row>
    <row r="981" ht="15.75" customHeight="1">
      <c r="A981" s="84"/>
      <c r="B981" s="84"/>
      <c r="C981" s="84"/>
      <c r="D981" s="84"/>
      <c r="E981" s="84"/>
      <c r="F981" s="84"/>
    </row>
    <row r="982" ht="15.75" customHeight="1">
      <c r="A982" s="84"/>
      <c r="B982" s="84"/>
      <c r="C982" s="84"/>
      <c r="D982" s="84"/>
      <c r="E982" s="84"/>
      <c r="F982" s="84"/>
    </row>
    <row r="983" ht="15.75" customHeight="1">
      <c r="A983" s="84"/>
      <c r="B983" s="84"/>
      <c r="C983" s="84"/>
      <c r="D983" s="84"/>
      <c r="E983" s="84"/>
      <c r="F983" s="84"/>
    </row>
    <row r="984" ht="15.75" customHeight="1">
      <c r="A984" s="84"/>
      <c r="B984" s="84"/>
      <c r="C984" s="84"/>
      <c r="D984" s="84"/>
      <c r="E984" s="84"/>
      <c r="F984" s="84"/>
    </row>
    <row r="985" ht="15.75" customHeight="1">
      <c r="A985" s="84"/>
      <c r="B985" s="84"/>
      <c r="C985" s="84"/>
      <c r="D985" s="84"/>
      <c r="E985" s="84"/>
      <c r="F985" s="84"/>
    </row>
    <row r="986" ht="15.75" customHeight="1">
      <c r="A986" s="84"/>
      <c r="B986" s="84"/>
      <c r="C986" s="84"/>
      <c r="D986" s="84"/>
      <c r="E986" s="84"/>
      <c r="F986" s="84"/>
    </row>
    <row r="987" ht="15.75" customHeight="1">
      <c r="A987" s="84"/>
      <c r="B987" s="84"/>
      <c r="C987" s="84"/>
      <c r="D987" s="84"/>
      <c r="E987" s="84"/>
      <c r="F987" s="84"/>
    </row>
    <row r="988" ht="15.75" customHeight="1">
      <c r="A988" s="84"/>
      <c r="B988" s="84"/>
      <c r="C988" s="84"/>
      <c r="D988" s="84"/>
      <c r="E988" s="84"/>
      <c r="F988" s="84"/>
    </row>
    <row r="989" ht="15.75" customHeight="1">
      <c r="A989" s="84"/>
      <c r="B989" s="84"/>
      <c r="C989" s="84"/>
      <c r="D989" s="84"/>
      <c r="E989" s="84"/>
      <c r="F989" s="84"/>
    </row>
    <row r="990" ht="15.75" customHeight="1">
      <c r="A990" s="84"/>
      <c r="B990" s="84"/>
      <c r="C990" s="84"/>
      <c r="D990" s="84"/>
      <c r="E990" s="84"/>
      <c r="F990" s="84"/>
    </row>
    <row r="991" ht="15.75" customHeight="1">
      <c r="A991" s="84"/>
      <c r="B991" s="84"/>
      <c r="C991" s="84"/>
      <c r="D991" s="84"/>
      <c r="E991" s="84"/>
      <c r="F991" s="84"/>
    </row>
    <row r="992" ht="15.75" customHeight="1">
      <c r="A992" s="84"/>
      <c r="B992" s="84"/>
      <c r="C992" s="84"/>
      <c r="D992" s="84"/>
      <c r="E992" s="84"/>
      <c r="F992" s="84"/>
    </row>
    <row r="993" ht="15.75" customHeight="1">
      <c r="A993" s="84"/>
      <c r="B993" s="84"/>
      <c r="C993" s="84"/>
      <c r="D993" s="84"/>
      <c r="E993" s="84"/>
      <c r="F993" s="84"/>
    </row>
    <row r="994" ht="15.75" customHeight="1">
      <c r="A994" s="84"/>
      <c r="B994" s="84"/>
      <c r="C994" s="84"/>
      <c r="D994" s="84"/>
      <c r="E994" s="84"/>
      <c r="F994" s="84"/>
    </row>
    <row r="995" ht="15.75" customHeight="1">
      <c r="A995" s="84"/>
      <c r="B995" s="84"/>
      <c r="C995" s="84"/>
      <c r="D995" s="84"/>
      <c r="E995" s="84"/>
      <c r="F995" s="84"/>
    </row>
    <row r="996" ht="15.75" customHeight="1">
      <c r="A996" s="84"/>
      <c r="B996" s="84"/>
      <c r="C996" s="84"/>
      <c r="D996" s="84"/>
      <c r="E996" s="84"/>
      <c r="F996" s="84"/>
    </row>
    <row r="997" ht="15.75" customHeight="1">
      <c r="A997" s="84"/>
      <c r="B997" s="84"/>
      <c r="C997" s="84"/>
      <c r="D997" s="84"/>
      <c r="E997" s="84"/>
      <c r="F997" s="84"/>
    </row>
    <row r="998" ht="15.75" customHeight="1">
      <c r="A998" s="84"/>
      <c r="B998" s="84"/>
      <c r="C998" s="84"/>
      <c r="D998" s="84"/>
      <c r="E998" s="84"/>
      <c r="F998" s="84"/>
    </row>
    <row r="999" ht="15.75" customHeight="1">
      <c r="A999" s="84"/>
      <c r="B999" s="84"/>
      <c r="C999" s="84"/>
      <c r="D999" s="84"/>
      <c r="E999" s="84"/>
      <c r="F999" s="84"/>
    </row>
    <row r="1000" ht="15.75" customHeight="1">
      <c r="A1000" s="84"/>
      <c r="B1000" s="84"/>
      <c r="C1000" s="84"/>
      <c r="D1000" s="84"/>
      <c r="E1000" s="84"/>
      <c r="F1000" s="84"/>
    </row>
  </sheetData>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0.0"/>
    <col customWidth="1" min="2" max="2" width="12.0"/>
    <col customWidth="1" min="3" max="3" width="110.0"/>
    <col customWidth="1" min="4" max="6" width="10.0"/>
  </cols>
  <sheetData>
    <row r="1" ht="21.0" customHeight="1">
      <c r="A1" s="1" t="s">
        <v>2240</v>
      </c>
      <c r="B1" s="3"/>
      <c r="C1" s="3"/>
      <c r="D1" s="3"/>
      <c r="E1" s="3"/>
      <c r="F1" s="3"/>
      <c r="G1" s="3"/>
      <c r="H1" s="3"/>
      <c r="I1" s="3"/>
      <c r="J1" s="3"/>
      <c r="K1" s="3"/>
      <c r="L1" s="3"/>
      <c r="M1" s="3"/>
      <c r="N1" s="3"/>
      <c r="O1" s="3"/>
      <c r="P1" s="3"/>
      <c r="Q1" s="3"/>
      <c r="R1" s="3"/>
      <c r="S1" s="3"/>
      <c r="T1" s="3"/>
      <c r="U1" s="3"/>
      <c r="V1" s="3"/>
      <c r="W1" s="3"/>
      <c r="X1" s="3"/>
      <c r="Y1" s="3"/>
      <c r="Z1" s="3"/>
    </row>
    <row r="2" ht="15.0" customHeight="1">
      <c r="A2" s="17" t="s">
        <v>1696</v>
      </c>
      <c r="B2" s="3"/>
      <c r="C2" s="3"/>
      <c r="D2" s="3"/>
      <c r="E2" s="3"/>
      <c r="F2" s="3"/>
      <c r="G2" s="3"/>
      <c r="H2" s="3"/>
      <c r="I2" s="3"/>
      <c r="J2" s="3"/>
      <c r="K2" s="3"/>
      <c r="L2" s="3"/>
      <c r="M2" s="3"/>
      <c r="N2" s="3"/>
      <c r="O2" s="3"/>
      <c r="P2" s="3"/>
      <c r="Q2" s="3"/>
      <c r="R2" s="3"/>
      <c r="S2" s="3"/>
      <c r="T2" s="3"/>
      <c r="U2" s="3"/>
      <c r="V2" s="3"/>
      <c r="W2" s="3"/>
      <c r="X2" s="3"/>
      <c r="Y2" s="3"/>
      <c r="Z2" s="3"/>
    </row>
    <row r="3" ht="15.0" customHeight="1">
      <c r="A3" s="3"/>
      <c r="B3" s="3"/>
      <c r="C3" s="3"/>
      <c r="D3" s="3"/>
      <c r="E3" s="3"/>
      <c r="F3" s="3"/>
      <c r="G3" s="3"/>
      <c r="H3" s="3"/>
      <c r="I3" s="3"/>
      <c r="J3" s="3"/>
      <c r="K3" s="3"/>
      <c r="L3" s="3"/>
      <c r="M3" s="3"/>
      <c r="N3" s="3"/>
      <c r="O3" s="3"/>
      <c r="P3" s="3"/>
      <c r="Q3" s="3"/>
      <c r="R3" s="3"/>
      <c r="S3" s="3"/>
      <c r="T3" s="3"/>
      <c r="U3" s="3"/>
      <c r="V3" s="3"/>
      <c r="W3" s="3"/>
      <c r="X3" s="3"/>
      <c r="Y3" s="3"/>
      <c r="Z3" s="3"/>
    </row>
    <row r="4" ht="31.5" customHeight="1">
      <c r="A4" s="13" t="s">
        <v>2241</v>
      </c>
      <c r="B4" s="10" t="s">
        <v>2242</v>
      </c>
      <c r="C4" s="10" t="s">
        <v>2243</v>
      </c>
      <c r="D4" s="10" t="s">
        <v>63</v>
      </c>
      <c r="E4" s="10" t="s">
        <v>21</v>
      </c>
      <c r="F4" s="10" t="s">
        <v>1946</v>
      </c>
      <c r="G4" s="15"/>
      <c r="H4" s="15"/>
      <c r="I4" s="15"/>
      <c r="J4" s="15"/>
      <c r="K4" s="15"/>
      <c r="L4" s="15"/>
      <c r="M4" s="15"/>
      <c r="N4" s="15"/>
      <c r="O4" s="15"/>
      <c r="P4" s="15"/>
      <c r="Q4" s="15"/>
      <c r="R4" s="15"/>
      <c r="S4" s="15"/>
      <c r="T4" s="15"/>
      <c r="U4" s="15"/>
      <c r="V4" s="15"/>
      <c r="W4" s="15"/>
      <c r="X4" s="15"/>
      <c r="Y4" s="15"/>
      <c r="Z4" s="15"/>
    </row>
    <row r="5" ht="86.25" customHeight="1">
      <c r="A5" s="46" t="s">
        <v>2244</v>
      </c>
      <c r="B5" s="203" t="s">
        <v>2245</v>
      </c>
      <c r="C5" s="203" t="s">
        <v>2246</v>
      </c>
      <c r="D5" s="202" t="s">
        <v>125</v>
      </c>
      <c r="E5" s="202" t="s">
        <v>130</v>
      </c>
      <c r="F5" s="202" t="s">
        <v>2247</v>
      </c>
      <c r="G5" s="15"/>
      <c r="H5" s="15"/>
      <c r="I5" s="15"/>
      <c r="J5" s="15"/>
      <c r="K5" s="15"/>
      <c r="L5" s="15"/>
      <c r="M5" s="15"/>
      <c r="N5" s="15"/>
      <c r="O5" s="15"/>
      <c r="P5" s="15"/>
      <c r="Q5" s="15"/>
      <c r="R5" s="15"/>
      <c r="S5" s="15"/>
      <c r="T5" s="15"/>
      <c r="U5" s="15"/>
      <c r="V5" s="15"/>
      <c r="W5" s="15"/>
      <c r="X5" s="15"/>
      <c r="Y5" s="15"/>
      <c r="Z5" s="15"/>
    </row>
    <row r="6" ht="58.5" customHeight="1">
      <c r="A6" s="39" t="s">
        <v>2248</v>
      </c>
      <c r="B6" s="42" t="s">
        <v>2245</v>
      </c>
      <c r="C6" s="39" t="s">
        <v>2249</v>
      </c>
      <c r="D6" s="39" t="s">
        <v>281</v>
      </c>
      <c r="E6" s="42" t="s">
        <v>73</v>
      </c>
      <c r="F6" s="42" t="s">
        <v>1201</v>
      </c>
      <c r="G6" s="15"/>
      <c r="H6" s="15"/>
      <c r="I6" s="15"/>
      <c r="J6" s="15"/>
      <c r="K6" s="15"/>
      <c r="L6" s="15"/>
      <c r="M6" s="15"/>
      <c r="N6" s="15"/>
      <c r="O6" s="15"/>
      <c r="P6" s="15"/>
      <c r="Q6" s="15"/>
      <c r="R6" s="15"/>
      <c r="S6" s="15"/>
      <c r="T6" s="15"/>
      <c r="U6" s="15"/>
      <c r="V6" s="15"/>
      <c r="W6" s="15"/>
      <c r="X6" s="15"/>
      <c r="Y6" s="15"/>
      <c r="Z6" s="15"/>
    </row>
    <row r="7" ht="17.25" customHeight="1">
      <c r="A7" s="46" t="s">
        <v>2250</v>
      </c>
      <c r="B7" s="44" t="s">
        <v>2245</v>
      </c>
      <c r="C7" s="46" t="s">
        <v>2251</v>
      </c>
      <c r="D7" s="46" t="s">
        <v>125</v>
      </c>
      <c r="E7" s="46" t="s">
        <v>130</v>
      </c>
      <c r="F7" s="44" t="s">
        <v>1989</v>
      </c>
      <c r="G7" s="15"/>
      <c r="H7" s="15"/>
      <c r="I7" s="15"/>
      <c r="J7" s="15"/>
      <c r="K7" s="15"/>
      <c r="L7" s="15"/>
      <c r="M7" s="15"/>
      <c r="N7" s="15"/>
      <c r="O7" s="15"/>
      <c r="P7" s="15"/>
      <c r="Q7" s="15"/>
      <c r="R7" s="15"/>
      <c r="S7" s="15"/>
      <c r="T7" s="15"/>
      <c r="U7" s="15"/>
      <c r="V7" s="15"/>
      <c r="W7" s="15"/>
      <c r="X7" s="15"/>
      <c r="Y7" s="15"/>
      <c r="Z7" s="15"/>
    </row>
    <row r="8" ht="141.75" customHeight="1">
      <c r="A8" s="46" t="s">
        <v>2252</v>
      </c>
      <c r="B8" s="203" t="s">
        <v>2245</v>
      </c>
      <c r="C8" s="203" t="s">
        <v>2253</v>
      </c>
      <c r="D8" s="202" t="s">
        <v>281</v>
      </c>
      <c r="E8" s="202" t="s">
        <v>175</v>
      </c>
      <c r="F8" s="203" t="s">
        <v>2254</v>
      </c>
      <c r="G8" s="15"/>
      <c r="H8" s="15"/>
      <c r="I8" s="15"/>
      <c r="J8" s="15"/>
      <c r="K8" s="15"/>
      <c r="L8" s="15"/>
      <c r="M8" s="15"/>
      <c r="N8" s="15"/>
      <c r="O8" s="15"/>
      <c r="P8" s="15"/>
      <c r="Q8" s="15"/>
      <c r="R8" s="15"/>
      <c r="S8" s="15"/>
      <c r="T8" s="15"/>
      <c r="U8" s="15"/>
      <c r="V8" s="15"/>
      <c r="W8" s="15"/>
      <c r="X8" s="15"/>
      <c r="Y8" s="15"/>
      <c r="Z8" s="15"/>
    </row>
    <row r="9" ht="86.25" customHeight="1">
      <c r="A9" s="39" t="s">
        <v>2255</v>
      </c>
      <c r="B9" s="42" t="s">
        <v>2245</v>
      </c>
      <c r="C9" s="42" t="s">
        <v>2256</v>
      </c>
      <c r="D9" s="39" t="s">
        <v>281</v>
      </c>
      <c r="E9" s="42" t="s">
        <v>73</v>
      </c>
      <c r="F9" s="39" t="s">
        <v>2257</v>
      </c>
      <c r="G9" s="15"/>
      <c r="H9" s="15"/>
      <c r="I9" s="15"/>
      <c r="J9" s="15"/>
      <c r="K9" s="15"/>
      <c r="L9" s="15"/>
      <c r="M9" s="15"/>
      <c r="N9" s="15"/>
      <c r="O9" s="15"/>
      <c r="P9" s="15"/>
      <c r="Q9" s="15"/>
      <c r="R9" s="15"/>
      <c r="S9" s="15"/>
      <c r="T9" s="15"/>
      <c r="U9" s="15"/>
      <c r="V9" s="15"/>
      <c r="W9" s="15"/>
      <c r="X9" s="15"/>
      <c r="Y9" s="15"/>
      <c r="Z9" s="15"/>
    </row>
    <row r="10" ht="100.5" customHeight="1">
      <c r="A10" s="39" t="s">
        <v>2258</v>
      </c>
      <c r="B10" s="42" t="s">
        <v>2245</v>
      </c>
      <c r="C10" s="42" t="s">
        <v>2259</v>
      </c>
      <c r="D10" s="39" t="s">
        <v>281</v>
      </c>
      <c r="E10" s="42" t="s">
        <v>73</v>
      </c>
      <c r="F10" s="42" t="s">
        <v>2260</v>
      </c>
      <c r="G10" s="15"/>
      <c r="H10" s="15"/>
      <c r="I10" s="15"/>
      <c r="J10" s="15"/>
      <c r="K10" s="15"/>
      <c r="L10" s="15"/>
      <c r="M10" s="15"/>
      <c r="N10" s="15"/>
      <c r="O10" s="15"/>
      <c r="P10" s="15"/>
      <c r="Q10" s="15"/>
      <c r="R10" s="15"/>
      <c r="S10" s="15"/>
      <c r="T10" s="15"/>
      <c r="U10" s="15"/>
      <c r="V10" s="15"/>
      <c r="W10" s="15"/>
      <c r="X10" s="15"/>
      <c r="Y10" s="15"/>
      <c r="Z10" s="15"/>
    </row>
    <row r="11" ht="86.25" customHeight="1">
      <c r="A11" s="46" t="s">
        <v>2261</v>
      </c>
      <c r="B11" s="44" t="s">
        <v>2245</v>
      </c>
      <c r="C11" s="44" t="s">
        <v>2262</v>
      </c>
      <c r="D11" s="46" t="s">
        <v>281</v>
      </c>
      <c r="E11" s="46" t="s">
        <v>175</v>
      </c>
      <c r="F11" s="44" t="s">
        <v>2263</v>
      </c>
      <c r="G11" s="15"/>
      <c r="H11" s="15"/>
      <c r="I11" s="15"/>
      <c r="J11" s="15"/>
      <c r="K11" s="15"/>
      <c r="L11" s="15"/>
      <c r="M11" s="15"/>
      <c r="N11" s="15"/>
      <c r="O11" s="15"/>
      <c r="P11" s="15"/>
      <c r="Q11" s="15"/>
      <c r="R11" s="15"/>
      <c r="S11" s="15"/>
      <c r="T11" s="15"/>
      <c r="U11" s="15"/>
      <c r="V11" s="15"/>
      <c r="W11" s="15"/>
      <c r="X11" s="15"/>
      <c r="Y11" s="15"/>
      <c r="Z11" s="15"/>
    </row>
    <row r="12" ht="17.25" customHeight="1">
      <c r="A12" s="46" t="s">
        <v>2264</v>
      </c>
      <c r="B12" s="44" t="s">
        <v>2265</v>
      </c>
      <c r="C12" s="46" t="s">
        <v>2266</v>
      </c>
      <c r="D12" s="46" t="s">
        <v>125</v>
      </c>
      <c r="E12" s="46" t="s">
        <v>130</v>
      </c>
      <c r="F12" s="46"/>
      <c r="G12" s="15"/>
      <c r="H12" s="15"/>
      <c r="I12" s="15"/>
      <c r="J12" s="15"/>
      <c r="K12" s="15"/>
      <c r="L12" s="15"/>
      <c r="M12" s="15"/>
      <c r="N12" s="15"/>
      <c r="O12" s="15"/>
      <c r="P12" s="15"/>
      <c r="Q12" s="15"/>
      <c r="R12" s="15"/>
      <c r="S12" s="15"/>
      <c r="T12" s="15"/>
      <c r="U12" s="15"/>
      <c r="V12" s="15"/>
      <c r="W12" s="15"/>
      <c r="X12" s="15"/>
      <c r="Y12" s="15"/>
      <c r="Z12" s="15"/>
    </row>
    <row r="13" ht="114.0" customHeight="1">
      <c r="A13" s="18" t="s">
        <v>2267</v>
      </c>
      <c r="B13" s="24" t="s">
        <v>2265</v>
      </c>
      <c r="C13" s="24" t="s">
        <v>2268</v>
      </c>
      <c r="D13" s="18" t="s">
        <v>125</v>
      </c>
      <c r="E13" s="18" t="s">
        <v>130</v>
      </c>
      <c r="F13" s="18" t="s">
        <v>2269</v>
      </c>
      <c r="G13" s="15"/>
      <c r="H13" s="15"/>
      <c r="I13" s="15"/>
      <c r="J13" s="15"/>
      <c r="K13" s="15"/>
      <c r="L13" s="15"/>
      <c r="M13" s="15"/>
      <c r="N13" s="15"/>
      <c r="O13" s="15"/>
      <c r="P13" s="15"/>
      <c r="Q13" s="15"/>
      <c r="R13" s="15"/>
      <c r="S13" s="15"/>
      <c r="T13" s="15"/>
      <c r="U13" s="15"/>
      <c r="V13" s="15"/>
      <c r="W13" s="15"/>
      <c r="X13" s="15"/>
      <c r="Y13" s="15"/>
      <c r="Z13" s="15"/>
    </row>
    <row r="14" ht="58.5" customHeight="1">
      <c r="A14" s="39" t="s">
        <v>2270</v>
      </c>
      <c r="B14" s="42" t="s">
        <v>2265</v>
      </c>
      <c r="C14" s="39" t="s">
        <v>2271</v>
      </c>
      <c r="D14" s="39" t="s">
        <v>281</v>
      </c>
      <c r="E14" s="42" t="s">
        <v>73</v>
      </c>
      <c r="F14" s="42" t="s">
        <v>1201</v>
      </c>
      <c r="G14" s="15"/>
      <c r="H14" s="15"/>
      <c r="I14" s="15"/>
      <c r="J14" s="15"/>
      <c r="K14" s="15"/>
      <c r="L14" s="15"/>
      <c r="M14" s="15"/>
      <c r="N14" s="15"/>
      <c r="O14" s="15"/>
      <c r="P14" s="15"/>
      <c r="Q14" s="15"/>
      <c r="R14" s="15"/>
      <c r="S14" s="15"/>
      <c r="T14" s="15"/>
      <c r="U14" s="15"/>
      <c r="V14" s="15"/>
      <c r="W14" s="15"/>
      <c r="X14" s="15"/>
      <c r="Y14" s="15"/>
      <c r="Z14" s="15"/>
    </row>
    <row r="15" ht="86.25" customHeight="1">
      <c r="A15" s="46" t="s">
        <v>2272</v>
      </c>
      <c r="B15" s="44" t="s">
        <v>2265</v>
      </c>
      <c r="C15" s="44" t="s">
        <v>2273</v>
      </c>
      <c r="D15" s="46" t="s">
        <v>281</v>
      </c>
      <c r="E15" s="46" t="s">
        <v>175</v>
      </c>
      <c r="F15" s="44" t="s">
        <v>2263</v>
      </c>
      <c r="G15" s="15"/>
      <c r="H15" s="15"/>
      <c r="I15" s="15"/>
      <c r="J15" s="15"/>
      <c r="K15" s="15"/>
      <c r="L15" s="15"/>
      <c r="M15" s="15"/>
      <c r="N15" s="15"/>
      <c r="O15" s="15"/>
      <c r="P15" s="15"/>
      <c r="Q15" s="15"/>
      <c r="R15" s="15"/>
      <c r="S15" s="15"/>
      <c r="T15" s="15"/>
      <c r="U15" s="15"/>
      <c r="V15" s="15"/>
      <c r="W15" s="15"/>
      <c r="X15" s="15"/>
      <c r="Y15" s="15"/>
      <c r="Z15" s="15"/>
    </row>
    <row r="16" ht="72.75" customHeight="1">
      <c r="A16" s="46" t="s">
        <v>2274</v>
      </c>
      <c r="B16" s="203" t="s">
        <v>2275</v>
      </c>
      <c r="C16" s="203" t="s">
        <v>2276</v>
      </c>
      <c r="D16" s="202" t="s">
        <v>125</v>
      </c>
      <c r="E16" s="202" t="s">
        <v>130</v>
      </c>
      <c r="F16" s="202" t="s">
        <v>2277</v>
      </c>
      <c r="G16" s="15"/>
      <c r="H16" s="15"/>
      <c r="I16" s="15"/>
      <c r="J16" s="15"/>
      <c r="K16" s="15"/>
      <c r="L16" s="15"/>
      <c r="M16" s="15"/>
      <c r="N16" s="15"/>
      <c r="O16" s="15"/>
      <c r="P16" s="15"/>
      <c r="Q16" s="15"/>
      <c r="R16" s="15"/>
      <c r="S16" s="15"/>
      <c r="T16" s="15"/>
      <c r="U16" s="15"/>
      <c r="V16" s="15"/>
      <c r="W16" s="15"/>
      <c r="X16" s="15"/>
      <c r="Y16" s="15"/>
      <c r="Z16" s="15"/>
    </row>
    <row r="17" ht="17.25" customHeight="1">
      <c r="A17" s="46" t="s">
        <v>2278</v>
      </c>
      <c r="B17" s="44" t="s">
        <v>2275</v>
      </c>
      <c r="C17" s="44" t="s">
        <v>2279</v>
      </c>
      <c r="D17" s="46" t="s">
        <v>125</v>
      </c>
      <c r="E17" s="46" t="s">
        <v>130</v>
      </c>
      <c r="F17" s="46"/>
      <c r="G17" s="15"/>
      <c r="H17" s="15"/>
      <c r="I17" s="15"/>
      <c r="J17" s="15"/>
      <c r="K17" s="15"/>
      <c r="L17" s="15"/>
      <c r="M17" s="15"/>
      <c r="N17" s="15"/>
      <c r="O17" s="15"/>
      <c r="P17" s="15"/>
      <c r="Q17" s="15"/>
      <c r="R17" s="15"/>
      <c r="S17" s="15"/>
      <c r="T17" s="15"/>
      <c r="U17" s="15"/>
      <c r="V17" s="15"/>
      <c r="W17" s="15"/>
      <c r="X17" s="15"/>
      <c r="Y17" s="15"/>
      <c r="Z17" s="15"/>
    </row>
    <row r="18" ht="17.25" customHeight="1">
      <c r="A18" s="46" t="s">
        <v>2280</v>
      </c>
      <c r="B18" s="44" t="s">
        <v>2275</v>
      </c>
      <c r="C18" s="44" t="s">
        <v>2281</v>
      </c>
      <c r="D18" s="46" t="s">
        <v>125</v>
      </c>
      <c r="E18" s="46" t="s">
        <v>130</v>
      </c>
      <c r="F18" s="46"/>
      <c r="G18" s="15"/>
      <c r="H18" s="15"/>
      <c r="I18" s="15"/>
      <c r="J18" s="15"/>
      <c r="K18" s="15"/>
      <c r="L18" s="15"/>
      <c r="M18" s="15"/>
      <c r="N18" s="15"/>
      <c r="O18" s="15"/>
      <c r="P18" s="15"/>
      <c r="Q18" s="15"/>
      <c r="R18" s="15"/>
      <c r="S18" s="15"/>
      <c r="T18" s="15"/>
      <c r="U18" s="15"/>
      <c r="V18" s="15"/>
      <c r="W18" s="15"/>
      <c r="X18" s="15"/>
      <c r="Y18" s="15"/>
      <c r="Z18" s="15"/>
    </row>
    <row r="19" ht="17.25" customHeight="1">
      <c r="A19" s="46" t="s">
        <v>2282</v>
      </c>
      <c r="B19" s="44" t="s">
        <v>2275</v>
      </c>
      <c r="C19" s="44" t="s">
        <v>2283</v>
      </c>
      <c r="D19" s="46" t="s">
        <v>125</v>
      </c>
      <c r="E19" s="46" t="s">
        <v>130</v>
      </c>
      <c r="F19" s="46"/>
      <c r="G19" s="15"/>
      <c r="H19" s="15"/>
      <c r="I19" s="15"/>
      <c r="J19" s="15"/>
      <c r="K19" s="15"/>
      <c r="L19" s="15"/>
      <c r="M19" s="15"/>
      <c r="N19" s="15"/>
      <c r="O19" s="15"/>
      <c r="P19" s="15"/>
      <c r="Q19" s="15"/>
      <c r="R19" s="15"/>
      <c r="S19" s="15"/>
      <c r="T19" s="15"/>
      <c r="U19" s="15"/>
      <c r="V19" s="15"/>
      <c r="W19" s="15"/>
      <c r="X19" s="15"/>
      <c r="Y19" s="15"/>
      <c r="Z19" s="15"/>
    </row>
    <row r="20" ht="31.5" customHeight="1">
      <c r="A20" s="46" t="s">
        <v>2284</v>
      </c>
      <c r="B20" s="44" t="s">
        <v>2275</v>
      </c>
      <c r="C20" s="44" t="s">
        <v>2285</v>
      </c>
      <c r="D20" s="46" t="s">
        <v>125</v>
      </c>
      <c r="E20" s="46" t="s">
        <v>130</v>
      </c>
      <c r="F20" s="44" t="s">
        <v>1989</v>
      </c>
      <c r="G20" s="15"/>
      <c r="H20" s="15"/>
      <c r="I20" s="15"/>
      <c r="J20" s="15"/>
      <c r="K20" s="15"/>
      <c r="L20" s="15"/>
      <c r="M20" s="15"/>
      <c r="N20" s="15"/>
      <c r="O20" s="15"/>
      <c r="P20" s="15"/>
      <c r="Q20" s="15"/>
      <c r="R20" s="15"/>
      <c r="S20" s="15"/>
      <c r="T20" s="15"/>
      <c r="U20" s="15"/>
      <c r="V20" s="15"/>
      <c r="W20" s="15"/>
      <c r="X20" s="15"/>
      <c r="Y20" s="15"/>
      <c r="Z20" s="15"/>
    </row>
    <row r="21" ht="72.75" customHeight="1">
      <c r="A21" s="46" t="s">
        <v>2286</v>
      </c>
      <c r="B21" s="203" t="s">
        <v>2275</v>
      </c>
      <c r="C21" s="203" t="s">
        <v>2287</v>
      </c>
      <c r="D21" s="202" t="s">
        <v>125</v>
      </c>
      <c r="E21" s="202" t="s">
        <v>130</v>
      </c>
      <c r="F21" s="202" t="s">
        <v>1743</v>
      </c>
      <c r="G21" s="15"/>
      <c r="H21" s="15"/>
      <c r="I21" s="15"/>
      <c r="J21" s="15"/>
      <c r="K21" s="15"/>
      <c r="L21" s="15"/>
      <c r="M21" s="15"/>
      <c r="N21" s="15"/>
      <c r="O21" s="15"/>
      <c r="P21" s="15"/>
      <c r="Q21" s="15"/>
      <c r="R21" s="15"/>
      <c r="S21" s="15"/>
      <c r="T21" s="15"/>
      <c r="U21" s="15"/>
      <c r="V21" s="15"/>
      <c r="W21" s="15"/>
      <c r="X21" s="15"/>
      <c r="Y21" s="15"/>
      <c r="Z21" s="15"/>
    </row>
    <row r="22" ht="58.5" customHeight="1">
      <c r="A22" s="46" t="s">
        <v>2288</v>
      </c>
      <c r="B22" s="203" t="s">
        <v>2275</v>
      </c>
      <c r="C22" s="203" t="s">
        <v>2289</v>
      </c>
      <c r="D22" s="202" t="s">
        <v>281</v>
      </c>
      <c r="E22" s="202" t="s">
        <v>175</v>
      </c>
      <c r="F22" s="203" t="s">
        <v>2290</v>
      </c>
      <c r="G22" s="15"/>
      <c r="H22" s="15"/>
      <c r="I22" s="15"/>
      <c r="J22" s="15"/>
      <c r="K22" s="15"/>
      <c r="L22" s="15"/>
      <c r="M22" s="15"/>
      <c r="N22" s="15"/>
      <c r="O22" s="15"/>
      <c r="P22" s="15"/>
      <c r="Q22" s="15"/>
      <c r="R22" s="15"/>
      <c r="S22" s="15"/>
      <c r="T22" s="15"/>
      <c r="U22" s="15"/>
      <c r="V22" s="15"/>
      <c r="W22" s="15"/>
      <c r="X22" s="15"/>
      <c r="Y22" s="15"/>
      <c r="Z22" s="15"/>
    </row>
    <row r="23" ht="17.25" customHeight="1">
      <c r="A23" s="46" t="s">
        <v>2291</v>
      </c>
      <c r="B23" s="44" t="s">
        <v>2292</v>
      </c>
      <c r="C23" s="44" t="s">
        <v>2293</v>
      </c>
      <c r="D23" s="46" t="s">
        <v>125</v>
      </c>
      <c r="E23" s="46" t="s">
        <v>130</v>
      </c>
      <c r="F23" s="46"/>
      <c r="G23" s="15"/>
      <c r="H23" s="15"/>
      <c r="I23" s="15"/>
      <c r="J23" s="15"/>
      <c r="K23" s="15"/>
      <c r="L23" s="15"/>
      <c r="M23" s="15"/>
      <c r="N23" s="15"/>
      <c r="O23" s="15"/>
      <c r="P23" s="15"/>
      <c r="Q23" s="15"/>
      <c r="R23" s="15"/>
      <c r="S23" s="15"/>
      <c r="T23" s="15"/>
      <c r="U23" s="15"/>
      <c r="V23" s="15"/>
      <c r="W23" s="15"/>
      <c r="X23" s="15"/>
      <c r="Y23" s="15"/>
      <c r="Z23" s="15"/>
    </row>
    <row r="24" ht="17.25" customHeight="1">
      <c r="A24" s="46" t="s">
        <v>2294</v>
      </c>
      <c r="B24" s="44" t="s">
        <v>2292</v>
      </c>
      <c r="C24" s="44" t="s">
        <v>2295</v>
      </c>
      <c r="D24" s="46" t="s">
        <v>125</v>
      </c>
      <c r="E24" s="46" t="s">
        <v>130</v>
      </c>
      <c r="F24" s="46"/>
      <c r="G24" s="15"/>
      <c r="H24" s="15"/>
      <c r="I24" s="15"/>
      <c r="J24" s="15"/>
      <c r="K24" s="15"/>
      <c r="L24" s="15"/>
      <c r="M24" s="15"/>
      <c r="N24" s="15"/>
      <c r="O24" s="15"/>
      <c r="P24" s="15"/>
      <c r="Q24" s="15"/>
      <c r="R24" s="15"/>
      <c r="S24" s="15"/>
      <c r="T24" s="15"/>
      <c r="U24" s="15"/>
      <c r="V24" s="15"/>
      <c r="W24" s="15"/>
      <c r="X24" s="15"/>
      <c r="Y24" s="15"/>
      <c r="Z24" s="15"/>
    </row>
    <row r="25" ht="17.25" customHeight="1">
      <c r="A25" s="46" t="s">
        <v>2296</v>
      </c>
      <c r="B25" s="44" t="s">
        <v>2292</v>
      </c>
      <c r="C25" s="44" t="s">
        <v>2297</v>
      </c>
      <c r="D25" s="46" t="s">
        <v>281</v>
      </c>
      <c r="E25" s="46" t="s">
        <v>175</v>
      </c>
      <c r="F25" s="44" t="s">
        <v>1989</v>
      </c>
      <c r="G25" s="15"/>
      <c r="H25" s="15"/>
      <c r="I25" s="15"/>
      <c r="J25" s="15"/>
      <c r="K25" s="15"/>
      <c r="L25" s="15"/>
      <c r="M25" s="15"/>
      <c r="N25" s="15"/>
      <c r="O25" s="15"/>
      <c r="P25" s="15"/>
      <c r="Q25" s="15"/>
      <c r="R25" s="15"/>
      <c r="S25" s="15"/>
      <c r="T25" s="15"/>
      <c r="U25" s="15"/>
      <c r="V25" s="15"/>
      <c r="W25" s="15"/>
      <c r="X25" s="15"/>
      <c r="Y25" s="15"/>
      <c r="Z25" s="15"/>
    </row>
    <row r="26" ht="17.25" customHeight="1">
      <c r="A26" s="46" t="s">
        <v>2298</v>
      </c>
      <c r="B26" s="44" t="s">
        <v>2299</v>
      </c>
      <c r="C26" s="44" t="s">
        <v>2300</v>
      </c>
      <c r="D26" s="46" t="s">
        <v>125</v>
      </c>
      <c r="E26" s="46" t="s">
        <v>130</v>
      </c>
      <c r="F26" s="44" t="s">
        <v>1989</v>
      </c>
      <c r="G26" s="15"/>
      <c r="H26" s="15"/>
      <c r="I26" s="15"/>
      <c r="J26" s="15"/>
      <c r="K26" s="15"/>
      <c r="L26" s="15"/>
      <c r="M26" s="15"/>
      <c r="N26" s="15"/>
      <c r="O26" s="15"/>
      <c r="P26" s="15"/>
      <c r="Q26" s="15"/>
      <c r="R26" s="15"/>
      <c r="S26" s="15"/>
      <c r="T26" s="15"/>
      <c r="U26" s="15"/>
      <c r="V26" s="15"/>
      <c r="W26" s="15"/>
      <c r="X26" s="15"/>
      <c r="Y26" s="15"/>
      <c r="Z26" s="15"/>
    </row>
    <row r="27" ht="17.25" customHeight="1">
      <c r="A27" s="46" t="s">
        <v>2301</v>
      </c>
      <c r="B27" s="44" t="s">
        <v>2299</v>
      </c>
      <c r="C27" s="44" t="s">
        <v>2302</v>
      </c>
      <c r="D27" s="46" t="s">
        <v>125</v>
      </c>
      <c r="E27" s="46" t="s">
        <v>130</v>
      </c>
      <c r="F27" s="44" t="s">
        <v>1989</v>
      </c>
      <c r="G27" s="15"/>
      <c r="H27" s="15"/>
      <c r="I27" s="15"/>
      <c r="J27" s="15"/>
      <c r="K27" s="15"/>
      <c r="L27" s="15"/>
      <c r="M27" s="15"/>
      <c r="N27" s="15"/>
      <c r="O27" s="15"/>
      <c r="P27" s="15"/>
      <c r="Q27" s="15"/>
      <c r="R27" s="15"/>
      <c r="S27" s="15"/>
      <c r="T27" s="15"/>
      <c r="U27" s="15"/>
      <c r="V27" s="15"/>
      <c r="W27" s="15"/>
      <c r="X27" s="15"/>
      <c r="Y27" s="15"/>
      <c r="Z27" s="15"/>
    </row>
    <row r="28" ht="31.5" customHeight="1">
      <c r="A28" s="46" t="s">
        <v>2303</v>
      </c>
      <c r="B28" s="44" t="s">
        <v>2304</v>
      </c>
      <c r="C28" s="44" t="s">
        <v>2305</v>
      </c>
      <c r="D28" s="46" t="s">
        <v>125</v>
      </c>
      <c r="E28" s="46" t="s">
        <v>130</v>
      </c>
      <c r="F28" s="44" t="s">
        <v>1989</v>
      </c>
      <c r="G28" s="15"/>
      <c r="H28" s="15"/>
      <c r="I28" s="15"/>
      <c r="J28" s="15"/>
      <c r="K28" s="15"/>
      <c r="L28" s="15"/>
      <c r="M28" s="15"/>
      <c r="N28" s="15"/>
      <c r="O28" s="15"/>
      <c r="P28" s="15"/>
      <c r="Q28" s="15"/>
      <c r="R28" s="15"/>
      <c r="S28" s="15"/>
      <c r="T28" s="15"/>
      <c r="U28" s="15"/>
      <c r="V28" s="15"/>
      <c r="W28" s="15"/>
      <c r="X28" s="15"/>
      <c r="Y28" s="15"/>
      <c r="Z28" s="15"/>
    </row>
    <row r="29" ht="17.25" customHeight="1">
      <c r="A29" s="46" t="s">
        <v>2306</v>
      </c>
      <c r="B29" s="44" t="s">
        <v>2060</v>
      </c>
      <c r="C29" s="44" t="s">
        <v>2307</v>
      </c>
      <c r="D29" s="46" t="s">
        <v>335</v>
      </c>
      <c r="E29" s="46" t="s">
        <v>175</v>
      </c>
      <c r="F29" s="44" t="s">
        <v>1989</v>
      </c>
      <c r="G29" s="15"/>
      <c r="H29" s="15"/>
      <c r="I29" s="15"/>
      <c r="J29" s="15"/>
      <c r="K29" s="15"/>
      <c r="L29" s="15"/>
      <c r="M29" s="15"/>
      <c r="N29" s="15"/>
      <c r="O29" s="15"/>
      <c r="P29" s="15"/>
      <c r="Q29" s="15"/>
      <c r="R29" s="15"/>
      <c r="S29" s="15"/>
      <c r="T29" s="15"/>
      <c r="U29" s="15"/>
      <c r="V29" s="15"/>
      <c r="W29" s="15"/>
      <c r="X29" s="15"/>
      <c r="Y29" s="15"/>
      <c r="Z29" s="15"/>
    </row>
    <row r="30" ht="17.25" customHeight="1">
      <c r="A30" s="46" t="s">
        <v>2308</v>
      </c>
      <c r="B30" s="44" t="s">
        <v>2060</v>
      </c>
      <c r="C30" s="44" t="s">
        <v>2309</v>
      </c>
      <c r="D30" s="46" t="s">
        <v>281</v>
      </c>
      <c r="E30" s="46" t="s">
        <v>175</v>
      </c>
      <c r="F30" s="44" t="s">
        <v>1989</v>
      </c>
      <c r="G30" s="15"/>
      <c r="H30" s="15"/>
      <c r="I30" s="15"/>
      <c r="J30" s="15"/>
      <c r="K30" s="15"/>
      <c r="L30" s="15"/>
      <c r="M30" s="15"/>
      <c r="N30" s="15"/>
      <c r="O30" s="15"/>
      <c r="P30" s="15"/>
      <c r="Q30" s="15"/>
      <c r="R30" s="15"/>
      <c r="S30" s="15"/>
      <c r="T30" s="15"/>
      <c r="U30" s="15"/>
      <c r="V30" s="15"/>
      <c r="W30" s="15"/>
      <c r="X30" s="15"/>
      <c r="Y30" s="15"/>
      <c r="Z30" s="15"/>
    </row>
    <row r="31" ht="72.75" customHeight="1">
      <c r="A31" s="46" t="s">
        <v>2310</v>
      </c>
      <c r="B31" s="203" t="s">
        <v>2311</v>
      </c>
      <c r="C31" s="203" t="s">
        <v>2312</v>
      </c>
      <c r="D31" s="202" t="s">
        <v>125</v>
      </c>
      <c r="E31" s="202" t="s">
        <v>130</v>
      </c>
      <c r="F31" s="203" t="s">
        <v>2313</v>
      </c>
      <c r="G31" s="15"/>
      <c r="H31" s="15"/>
      <c r="I31" s="15"/>
      <c r="J31" s="15"/>
      <c r="K31" s="15"/>
      <c r="L31" s="15"/>
      <c r="M31" s="15"/>
      <c r="N31" s="15"/>
      <c r="O31" s="15"/>
      <c r="P31" s="15"/>
      <c r="Q31" s="15"/>
      <c r="R31" s="15"/>
      <c r="S31" s="15"/>
      <c r="T31" s="15"/>
      <c r="U31" s="15"/>
      <c r="V31" s="15"/>
      <c r="W31" s="15"/>
      <c r="X31" s="15"/>
      <c r="Y31" s="15"/>
      <c r="Z31" s="15"/>
    </row>
    <row r="32" ht="31.5" customHeight="1">
      <c r="A32" s="46" t="s">
        <v>2314</v>
      </c>
      <c r="B32" s="44" t="s">
        <v>2060</v>
      </c>
      <c r="C32" s="44" t="s">
        <v>2315</v>
      </c>
      <c r="D32" s="46" t="s">
        <v>125</v>
      </c>
      <c r="E32" s="46" t="s">
        <v>130</v>
      </c>
      <c r="F32" s="44" t="s">
        <v>1582</v>
      </c>
      <c r="G32" s="15"/>
      <c r="H32" s="15"/>
      <c r="I32" s="15"/>
      <c r="J32" s="15"/>
      <c r="K32" s="15"/>
      <c r="L32" s="15"/>
      <c r="M32" s="15"/>
      <c r="N32" s="15"/>
      <c r="O32" s="15"/>
      <c r="P32" s="15"/>
      <c r="Q32" s="15"/>
      <c r="R32" s="15"/>
      <c r="S32" s="15"/>
      <c r="T32" s="15"/>
      <c r="U32" s="15"/>
      <c r="V32" s="15"/>
      <c r="W32" s="15"/>
      <c r="X32" s="15"/>
      <c r="Y32" s="15"/>
      <c r="Z32" s="15"/>
    </row>
    <row r="33" ht="31.5" customHeight="1">
      <c r="A33" s="46" t="s">
        <v>2316</v>
      </c>
      <c r="B33" s="44" t="s">
        <v>2299</v>
      </c>
      <c r="C33" s="44" t="s">
        <v>2317</v>
      </c>
      <c r="D33" s="46" t="s">
        <v>125</v>
      </c>
      <c r="E33" s="46" t="s">
        <v>130</v>
      </c>
      <c r="F33" s="44" t="s">
        <v>1582</v>
      </c>
      <c r="G33" s="15"/>
      <c r="H33" s="15"/>
      <c r="I33" s="15"/>
      <c r="J33" s="15"/>
      <c r="K33" s="15"/>
      <c r="L33" s="15"/>
      <c r="M33" s="15"/>
      <c r="N33" s="15"/>
      <c r="O33" s="15"/>
      <c r="P33" s="15"/>
      <c r="Q33" s="15"/>
      <c r="R33" s="15"/>
      <c r="S33" s="15"/>
      <c r="T33" s="15"/>
      <c r="U33" s="15"/>
      <c r="V33" s="15"/>
      <c r="W33" s="15"/>
      <c r="X33" s="15"/>
      <c r="Y33" s="15"/>
      <c r="Z33" s="15"/>
    </row>
    <row r="34">
      <c r="A34" s="61" t="s">
        <v>2318</v>
      </c>
      <c r="B34" s="62" t="s">
        <v>2245</v>
      </c>
      <c r="C34" s="62" t="s">
        <v>2319</v>
      </c>
      <c r="D34" s="61" t="s">
        <v>125</v>
      </c>
      <c r="E34" s="61" t="s">
        <v>130</v>
      </c>
      <c r="F34" s="61" t="s">
        <v>2320</v>
      </c>
      <c r="G34" s="15"/>
      <c r="H34" s="15"/>
      <c r="I34" s="15"/>
      <c r="J34" s="15"/>
      <c r="K34" s="15"/>
      <c r="L34" s="15"/>
      <c r="M34" s="15"/>
      <c r="N34" s="15"/>
      <c r="O34" s="15"/>
      <c r="P34" s="15"/>
      <c r="Q34" s="15"/>
      <c r="R34" s="15"/>
      <c r="S34" s="15"/>
      <c r="T34" s="15"/>
      <c r="U34" s="15"/>
      <c r="V34" s="15"/>
      <c r="W34" s="15"/>
      <c r="X34" s="15"/>
      <c r="Y34" s="15"/>
      <c r="Z34" s="15"/>
    </row>
    <row r="35" ht="72.75" customHeight="1">
      <c r="A35" s="61" t="s">
        <v>2321</v>
      </c>
      <c r="B35" s="62" t="s">
        <v>2275</v>
      </c>
      <c r="C35" s="62" t="s">
        <v>2322</v>
      </c>
      <c r="D35" s="61" t="s">
        <v>125</v>
      </c>
      <c r="E35" s="61" t="s">
        <v>130</v>
      </c>
      <c r="F35" s="61" t="s">
        <v>2323</v>
      </c>
      <c r="G35" s="15"/>
      <c r="H35" s="15"/>
      <c r="I35" s="15"/>
      <c r="J35" s="15"/>
      <c r="K35" s="15"/>
      <c r="L35" s="15"/>
      <c r="M35" s="15"/>
      <c r="N35" s="15"/>
      <c r="O35" s="15"/>
      <c r="P35" s="15"/>
      <c r="Q35" s="15"/>
      <c r="R35" s="15"/>
      <c r="S35" s="15"/>
      <c r="T35" s="15"/>
      <c r="U35" s="15"/>
      <c r="V35" s="15"/>
      <c r="W35" s="15"/>
      <c r="X35" s="15"/>
      <c r="Y35" s="15"/>
      <c r="Z35" s="15"/>
    </row>
    <row r="36" ht="15.75" customHeight="1">
      <c r="A36" s="84"/>
      <c r="B36" s="84"/>
      <c r="C36" s="84"/>
      <c r="D36" s="84"/>
      <c r="E36" s="84"/>
      <c r="F36" s="84"/>
      <c r="G36" s="84"/>
      <c r="H36" s="84"/>
      <c r="I36" s="84"/>
      <c r="J36" s="84"/>
      <c r="K36" s="84"/>
      <c r="L36" s="84"/>
      <c r="M36" s="84"/>
      <c r="N36" s="84"/>
      <c r="O36" s="84"/>
      <c r="P36" s="84"/>
      <c r="Q36" s="84"/>
      <c r="R36" s="84"/>
      <c r="S36" s="84"/>
      <c r="T36" s="84"/>
      <c r="U36" s="84"/>
      <c r="V36" s="84"/>
      <c r="W36" s="84"/>
      <c r="X36" s="84"/>
      <c r="Y36" s="84"/>
      <c r="Z36" s="84"/>
    </row>
    <row r="37" ht="15.75" customHeight="1">
      <c r="A37" s="84"/>
      <c r="B37" s="84"/>
      <c r="C37" s="84"/>
      <c r="D37" s="84"/>
      <c r="E37" s="84"/>
      <c r="F37" s="84"/>
      <c r="G37" s="84"/>
      <c r="H37" s="84"/>
      <c r="I37" s="84"/>
      <c r="J37" s="84"/>
      <c r="K37" s="84"/>
      <c r="L37" s="84"/>
      <c r="M37" s="84"/>
      <c r="N37" s="84"/>
      <c r="O37" s="84"/>
      <c r="P37" s="84"/>
      <c r="Q37" s="84"/>
      <c r="R37" s="84"/>
      <c r="S37" s="84"/>
      <c r="T37" s="84"/>
      <c r="U37" s="84"/>
      <c r="V37" s="84"/>
      <c r="W37" s="84"/>
      <c r="X37" s="84"/>
      <c r="Y37" s="84"/>
      <c r="Z37" s="84"/>
    </row>
    <row r="38" ht="15.75" customHeight="1">
      <c r="A38" s="84"/>
      <c r="B38" s="84"/>
      <c r="C38" s="84"/>
      <c r="D38" s="84"/>
      <c r="E38" s="84"/>
      <c r="F38" s="84"/>
      <c r="G38" s="84"/>
      <c r="H38" s="84"/>
      <c r="I38" s="84"/>
      <c r="J38" s="84"/>
      <c r="K38" s="84"/>
      <c r="L38" s="84"/>
      <c r="M38" s="84"/>
      <c r="N38" s="84"/>
      <c r="O38" s="84"/>
      <c r="P38" s="84"/>
      <c r="Q38" s="84"/>
      <c r="R38" s="84"/>
      <c r="S38" s="84"/>
      <c r="T38" s="84"/>
      <c r="U38" s="84"/>
      <c r="V38" s="84"/>
      <c r="W38" s="84"/>
      <c r="X38" s="84"/>
      <c r="Y38" s="84"/>
      <c r="Z38" s="84"/>
    </row>
    <row r="39" ht="15.75" customHeight="1">
      <c r="A39" s="84"/>
      <c r="B39" s="84"/>
      <c r="C39" s="84"/>
      <c r="D39" s="84"/>
      <c r="E39" s="84"/>
      <c r="F39" s="84"/>
      <c r="G39" s="84"/>
      <c r="H39" s="84"/>
      <c r="I39" s="84"/>
      <c r="J39" s="84"/>
      <c r="K39" s="84"/>
      <c r="L39" s="84"/>
      <c r="M39" s="84"/>
      <c r="N39" s="84"/>
      <c r="O39" s="84"/>
      <c r="P39" s="84"/>
      <c r="Q39" s="84"/>
      <c r="R39" s="84"/>
      <c r="S39" s="84"/>
      <c r="T39" s="84"/>
      <c r="U39" s="84"/>
      <c r="V39" s="84"/>
      <c r="W39" s="84"/>
      <c r="X39" s="84"/>
      <c r="Y39" s="84"/>
      <c r="Z39" s="84"/>
    </row>
    <row r="40" ht="15.75" customHeight="1">
      <c r="A40" s="84"/>
      <c r="B40" s="84"/>
      <c r="C40" s="84"/>
      <c r="D40" s="84"/>
      <c r="E40" s="84"/>
      <c r="F40" s="84"/>
      <c r="G40" s="84"/>
      <c r="H40" s="84"/>
      <c r="I40" s="84"/>
      <c r="J40" s="84"/>
      <c r="K40" s="84"/>
      <c r="L40" s="84"/>
      <c r="M40" s="84"/>
      <c r="N40" s="84"/>
      <c r="O40" s="84"/>
      <c r="P40" s="84"/>
      <c r="Q40" s="84"/>
      <c r="R40" s="84"/>
      <c r="S40" s="84"/>
      <c r="T40" s="84"/>
      <c r="U40" s="84"/>
      <c r="V40" s="84"/>
      <c r="W40" s="84"/>
      <c r="X40" s="84"/>
      <c r="Y40" s="84"/>
      <c r="Z40" s="84"/>
    </row>
    <row r="41" ht="15.75" customHeight="1">
      <c r="A41" s="84"/>
      <c r="B41" s="84"/>
      <c r="C41" s="84"/>
      <c r="D41" s="84"/>
      <c r="E41" s="84"/>
      <c r="F41" s="84"/>
      <c r="G41" s="84"/>
      <c r="H41" s="84"/>
      <c r="I41" s="84"/>
      <c r="J41" s="84"/>
      <c r="K41" s="84"/>
      <c r="L41" s="84"/>
      <c r="M41" s="84"/>
      <c r="N41" s="84"/>
      <c r="O41" s="84"/>
      <c r="P41" s="84"/>
      <c r="Q41" s="84"/>
      <c r="R41" s="84"/>
      <c r="S41" s="84"/>
      <c r="T41" s="84"/>
      <c r="U41" s="84"/>
      <c r="V41" s="84"/>
      <c r="W41" s="84"/>
      <c r="X41" s="84"/>
      <c r="Y41" s="84"/>
      <c r="Z41" s="84"/>
    </row>
    <row r="42" ht="15.75" customHeight="1">
      <c r="A42" s="84"/>
      <c r="B42" s="84"/>
      <c r="C42" s="84"/>
      <c r="D42" s="84"/>
      <c r="E42" s="84"/>
      <c r="F42" s="84"/>
      <c r="G42" s="84"/>
      <c r="H42" s="84"/>
      <c r="I42" s="84"/>
      <c r="J42" s="84"/>
      <c r="K42" s="84"/>
      <c r="L42" s="84"/>
      <c r="M42" s="84"/>
      <c r="N42" s="84"/>
      <c r="O42" s="84"/>
      <c r="P42" s="84"/>
      <c r="Q42" s="84"/>
      <c r="R42" s="84"/>
      <c r="S42" s="84"/>
      <c r="T42" s="84"/>
      <c r="U42" s="84"/>
      <c r="V42" s="84"/>
      <c r="W42" s="84"/>
      <c r="X42" s="84"/>
      <c r="Y42" s="84"/>
      <c r="Z42" s="84"/>
    </row>
    <row r="43" ht="15.75" customHeight="1">
      <c r="A43" s="84"/>
      <c r="B43" s="84"/>
      <c r="C43" s="84"/>
      <c r="D43" s="84"/>
      <c r="E43" s="84"/>
      <c r="F43" s="84"/>
      <c r="G43" s="84"/>
      <c r="H43" s="84"/>
      <c r="I43" s="84"/>
      <c r="J43" s="84"/>
      <c r="K43" s="84"/>
      <c r="L43" s="84"/>
      <c r="M43" s="84"/>
      <c r="N43" s="84"/>
      <c r="O43" s="84"/>
      <c r="P43" s="84"/>
      <c r="Q43" s="84"/>
      <c r="R43" s="84"/>
      <c r="S43" s="84"/>
      <c r="T43" s="84"/>
      <c r="U43" s="84"/>
      <c r="V43" s="84"/>
      <c r="W43" s="84"/>
      <c r="X43" s="84"/>
      <c r="Y43" s="84"/>
      <c r="Z43" s="84"/>
    </row>
    <row r="44" ht="15.75" customHeight="1">
      <c r="A44" s="84"/>
      <c r="B44" s="84"/>
      <c r="C44" s="84"/>
      <c r="D44" s="84"/>
      <c r="E44" s="84"/>
      <c r="F44" s="84"/>
      <c r="G44" s="84"/>
      <c r="H44" s="84"/>
      <c r="I44" s="84"/>
      <c r="J44" s="84"/>
      <c r="K44" s="84"/>
      <c r="L44" s="84"/>
      <c r="M44" s="84"/>
      <c r="N44" s="84"/>
      <c r="O44" s="84"/>
      <c r="P44" s="84"/>
      <c r="Q44" s="84"/>
      <c r="R44" s="84"/>
      <c r="S44" s="84"/>
      <c r="T44" s="84"/>
      <c r="U44" s="84"/>
      <c r="V44" s="84"/>
      <c r="W44" s="84"/>
      <c r="X44" s="84"/>
      <c r="Y44" s="84"/>
      <c r="Z44" s="84"/>
    </row>
    <row r="45" ht="15.75" customHeight="1">
      <c r="A45" s="84"/>
      <c r="B45" s="84"/>
      <c r="C45" s="84"/>
      <c r="D45" s="84"/>
      <c r="E45" s="84"/>
      <c r="F45" s="84"/>
      <c r="G45" s="84"/>
      <c r="H45" s="84"/>
      <c r="I45" s="84"/>
      <c r="J45" s="84"/>
      <c r="K45" s="84"/>
      <c r="L45" s="84"/>
      <c r="M45" s="84"/>
      <c r="N45" s="84"/>
      <c r="O45" s="84"/>
      <c r="P45" s="84"/>
      <c r="Q45" s="84"/>
      <c r="R45" s="84"/>
      <c r="S45" s="84"/>
      <c r="T45" s="84"/>
      <c r="U45" s="84"/>
      <c r="V45" s="84"/>
      <c r="W45" s="84"/>
      <c r="X45" s="84"/>
      <c r="Y45" s="84"/>
      <c r="Z45" s="84"/>
    </row>
    <row r="46" ht="15.75" customHeight="1">
      <c r="A46" s="84"/>
      <c r="B46" s="84"/>
      <c r="C46" s="84"/>
      <c r="D46" s="84"/>
      <c r="E46" s="84"/>
      <c r="F46" s="84"/>
      <c r="G46" s="84"/>
      <c r="H46" s="84"/>
      <c r="I46" s="84"/>
      <c r="J46" s="84"/>
      <c r="K46" s="84"/>
      <c r="L46" s="84"/>
      <c r="M46" s="84"/>
      <c r="N46" s="84"/>
      <c r="O46" s="84"/>
      <c r="P46" s="84"/>
      <c r="Q46" s="84"/>
      <c r="R46" s="84"/>
      <c r="S46" s="84"/>
      <c r="T46" s="84"/>
      <c r="U46" s="84"/>
      <c r="V46" s="84"/>
      <c r="W46" s="84"/>
      <c r="X46" s="84"/>
      <c r="Y46" s="84"/>
      <c r="Z46" s="84"/>
    </row>
    <row r="47" ht="15.75" customHeight="1">
      <c r="A47" s="84"/>
      <c r="B47" s="84"/>
      <c r="C47" s="84"/>
      <c r="D47" s="84"/>
      <c r="E47" s="84"/>
      <c r="F47" s="84"/>
      <c r="G47" s="84"/>
      <c r="H47" s="84"/>
      <c r="I47" s="84"/>
      <c r="J47" s="84"/>
      <c r="K47" s="84"/>
      <c r="L47" s="84"/>
      <c r="M47" s="84"/>
      <c r="N47" s="84"/>
      <c r="O47" s="84"/>
      <c r="P47" s="84"/>
      <c r="Q47" s="84"/>
      <c r="R47" s="84"/>
      <c r="S47" s="84"/>
      <c r="T47" s="84"/>
      <c r="U47" s="84"/>
      <c r="V47" s="84"/>
      <c r="W47" s="84"/>
      <c r="X47" s="84"/>
      <c r="Y47" s="84"/>
      <c r="Z47" s="84"/>
    </row>
    <row r="48" ht="15.75" customHeight="1">
      <c r="A48" s="84"/>
      <c r="B48" s="84"/>
      <c r="C48" s="84"/>
      <c r="D48" s="84"/>
      <c r="E48" s="84"/>
      <c r="F48" s="84"/>
      <c r="G48" s="84"/>
      <c r="H48" s="84"/>
      <c r="I48" s="84"/>
      <c r="J48" s="84"/>
      <c r="K48" s="84"/>
      <c r="L48" s="84"/>
      <c r="M48" s="84"/>
      <c r="N48" s="84"/>
      <c r="O48" s="84"/>
      <c r="P48" s="84"/>
      <c r="Q48" s="84"/>
      <c r="R48" s="84"/>
      <c r="S48" s="84"/>
      <c r="T48" s="84"/>
      <c r="U48" s="84"/>
      <c r="V48" s="84"/>
      <c r="W48" s="84"/>
      <c r="X48" s="84"/>
      <c r="Y48" s="84"/>
      <c r="Z48" s="84"/>
    </row>
    <row r="49" ht="15.75" customHeight="1">
      <c r="A49" s="84"/>
      <c r="B49" s="84"/>
      <c r="C49" s="84"/>
      <c r="D49" s="84"/>
      <c r="E49" s="84"/>
      <c r="F49" s="84"/>
      <c r="G49" s="84"/>
      <c r="H49" s="84"/>
      <c r="I49" s="84"/>
      <c r="J49" s="84"/>
      <c r="K49" s="84"/>
      <c r="L49" s="84"/>
      <c r="M49" s="84"/>
      <c r="N49" s="84"/>
      <c r="O49" s="84"/>
      <c r="P49" s="84"/>
      <c r="Q49" s="84"/>
      <c r="R49" s="84"/>
      <c r="S49" s="84"/>
      <c r="T49" s="84"/>
      <c r="U49" s="84"/>
      <c r="V49" s="84"/>
      <c r="W49" s="84"/>
      <c r="X49" s="84"/>
      <c r="Y49" s="84"/>
      <c r="Z49" s="84"/>
    </row>
    <row r="50" ht="15.75" customHeight="1">
      <c r="A50" s="84"/>
      <c r="B50" s="84"/>
      <c r="C50" s="84"/>
      <c r="D50" s="84"/>
      <c r="E50" s="84"/>
      <c r="F50" s="84"/>
      <c r="G50" s="84"/>
      <c r="H50" s="84"/>
      <c r="I50" s="84"/>
      <c r="J50" s="84"/>
      <c r="K50" s="84"/>
      <c r="L50" s="84"/>
      <c r="M50" s="84"/>
      <c r="N50" s="84"/>
      <c r="O50" s="84"/>
      <c r="P50" s="84"/>
      <c r="Q50" s="84"/>
      <c r="R50" s="84"/>
      <c r="S50" s="84"/>
      <c r="T50" s="84"/>
      <c r="U50" s="84"/>
      <c r="V50" s="84"/>
      <c r="W50" s="84"/>
      <c r="X50" s="84"/>
      <c r="Y50" s="84"/>
      <c r="Z50" s="84"/>
    </row>
    <row r="51" ht="15.75" customHeight="1">
      <c r="A51" s="84"/>
      <c r="B51" s="84"/>
      <c r="C51" s="84"/>
      <c r="D51" s="84"/>
      <c r="E51" s="84"/>
      <c r="F51" s="84"/>
      <c r="G51" s="84"/>
      <c r="H51" s="84"/>
      <c r="I51" s="84"/>
      <c r="J51" s="84"/>
      <c r="K51" s="84"/>
      <c r="L51" s="84"/>
      <c r="M51" s="84"/>
      <c r="N51" s="84"/>
      <c r="O51" s="84"/>
      <c r="P51" s="84"/>
      <c r="Q51" s="84"/>
      <c r="R51" s="84"/>
      <c r="S51" s="84"/>
      <c r="T51" s="84"/>
      <c r="U51" s="84"/>
      <c r="V51" s="84"/>
      <c r="W51" s="84"/>
      <c r="X51" s="84"/>
      <c r="Y51" s="84"/>
      <c r="Z51" s="84"/>
    </row>
    <row r="52" ht="15.75" customHeight="1">
      <c r="A52" s="84"/>
      <c r="B52" s="84"/>
      <c r="C52" s="84"/>
      <c r="D52" s="84"/>
      <c r="E52" s="84"/>
      <c r="F52" s="84"/>
      <c r="G52" s="84"/>
      <c r="H52" s="84"/>
      <c r="I52" s="84"/>
      <c r="J52" s="84"/>
      <c r="K52" s="84"/>
      <c r="L52" s="84"/>
      <c r="M52" s="84"/>
      <c r="N52" s="84"/>
      <c r="O52" s="84"/>
      <c r="P52" s="84"/>
      <c r="Q52" s="84"/>
      <c r="R52" s="84"/>
      <c r="S52" s="84"/>
      <c r="T52" s="84"/>
      <c r="U52" s="84"/>
      <c r="V52" s="84"/>
      <c r="W52" s="84"/>
      <c r="X52" s="84"/>
      <c r="Y52" s="84"/>
      <c r="Z52" s="84"/>
    </row>
    <row r="53" ht="15.75" customHeight="1">
      <c r="A53" s="84"/>
      <c r="B53" s="84"/>
      <c r="C53" s="84"/>
      <c r="D53" s="84"/>
      <c r="E53" s="84"/>
      <c r="F53" s="84"/>
      <c r="G53" s="84"/>
      <c r="H53" s="84"/>
      <c r="I53" s="84"/>
      <c r="J53" s="84"/>
      <c r="K53" s="84"/>
      <c r="L53" s="84"/>
      <c r="M53" s="84"/>
      <c r="N53" s="84"/>
      <c r="O53" s="84"/>
      <c r="P53" s="84"/>
      <c r="Q53" s="84"/>
      <c r="R53" s="84"/>
      <c r="S53" s="84"/>
      <c r="T53" s="84"/>
      <c r="U53" s="84"/>
      <c r="V53" s="84"/>
      <c r="W53" s="84"/>
      <c r="X53" s="84"/>
      <c r="Y53" s="84"/>
      <c r="Z53" s="84"/>
    </row>
    <row r="54" ht="15.75" customHeight="1">
      <c r="A54" s="84"/>
      <c r="B54" s="84"/>
      <c r="C54" s="84"/>
      <c r="D54" s="84"/>
      <c r="E54" s="84"/>
      <c r="F54" s="84"/>
      <c r="G54" s="84"/>
      <c r="H54" s="84"/>
      <c r="I54" s="84"/>
      <c r="J54" s="84"/>
      <c r="K54" s="84"/>
      <c r="L54" s="84"/>
      <c r="M54" s="84"/>
      <c r="N54" s="84"/>
      <c r="O54" s="84"/>
      <c r="P54" s="84"/>
      <c r="Q54" s="84"/>
      <c r="R54" s="84"/>
      <c r="S54" s="84"/>
      <c r="T54" s="84"/>
      <c r="U54" s="84"/>
      <c r="V54" s="84"/>
      <c r="W54" s="84"/>
      <c r="X54" s="84"/>
      <c r="Y54" s="84"/>
      <c r="Z54" s="84"/>
    </row>
    <row r="55" ht="15.75" customHeight="1">
      <c r="A55" s="84"/>
      <c r="B55" s="84"/>
      <c r="C55" s="84"/>
      <c r="D55" s="84"/>
      <c r="E55" s="84"/>
      <c r="F55" s="84"/>
      <c r="G55" s="84"/>
      <c r="H55" s="84"/>
      <c r="I55" s="84"/>
      <c r="J55" s="84"/>
      <c r="K55" s="84"/>
      <c r="L55" s="84"/>
      <c r="M55" s="84"/>
      <c r="N55" s="84"/>
      <c r="O55" s="84"/>
      <c r="P55" s="84"/>
      <c r="Q55" s="84"/>
      <c r="R55" s="84"/>
      <c r="S55" s="84"/>
      <c r="T55" s="84"/>
      <c r="U55" s="84"/>
      <c r="V55" s="84"/>
      <c r="W55" s="84"/>
      <c r="X55" s="84"/>
      <c r="Y55" s="84"/>
      <c r="Z55" s="84"/>
    </row>
    <row r="56" ht="15.75" customHeight="1">
      <c r="A56" s="84"/>
      <c r="B56" s="84"/>
      <c r="C56" s="84"/>
      <c r="D56" s="84"/>
      <c r="E56" s="84"/>
      <c r="F56" s="84"/>
      <c r="G56" s="84"/>
      <c r="H56" s="84"/>
      <c r="I56" s="84"/>
      <c r="J56" s="84"/>
      <c r="K56" s="84"/>
      <c r="L56" s="84"/>
      <c r="M56" s="84"/>
      <c r="N56" s="84"/>
      <c r="O56" s="84"/>
      <c r="P56" s="84"/>
      <c r="Q56" s="84"/>
      <c r="R56" s="84"/>
      <c r="S56" s="84"/>
      <c r="T56" s="84"/>
      <c r="U56" s="84"/>
      <c r="V56" s="84"/>
      <c r="W56" s="84"/>
      <c r="X56" s="84"/>
      <c r="Y56" s="84"/>
      <c r="Z56" s="84"/>
    </row>
    <row r="57" ht="15.75" customHeight="1">
      <c r="A57" s="84"/>
      <c r="B57" s="84"/>
      <c r="C57" s="84"/>
      <c r="D57" s="84"/>
      <c r="E57" s="84"/>
      <c r="F57" s="84"/>
      <c r="G57" s="84"/>
      <c r="H57" s="84"/>
      <c r="I57" s="84"/>
      <c r="J57" s="84"/>
      <c r="K57" s="84"/>
      <c r="L57" s="84"/>
      <c r="M57" s="84"/>
      <c r="N57" s="84"/>
      <c r="O57" s="84"/>
      <c r="P57" s="84"/>
      <c r="Q57" s="84"/>
      <c r="R57" s="84"/>
      <c r="S57" s="84"/>
      <c r="T57" s="84"/>
      <c r="U57" s="84"/>
      <c r="V57" s="84"/>
      <c r="W57" s="84"/>
      <c r="X57" s="84"/>
      <c r="Y57" s="84"/>
      <c r="Z57" s="84"/>
    </row>
    <row r="58" ht="15.75" customHeight="1">
      <c r="A58" s="84"/>
      <c r="B58" s="84"/>
      <c r="C58" s="84"/>
      <c r="D58" s="84"/>
      <c r="E58" s="84"/>
      <c r="F58" s="84"/>
      <c r="G58" s="84"/>
      <c r="H58" s="84"/>
      <c r="I58" s="84"/>
      <c r="J58" s="84"/>
      <c r="K58" s="84"/>
      <c r="L58" s="84"/>
      <c r="M58" s="84"/>
      <c r="N58" s="84"/>
      <c r="O58" s="84"/>
      <c r="P58" s="84"/>
      <c r="Q58" s="84"/>
      <c r="R58" s="84"/>
      <c r="S58" s="84"/>
      <c r="T58" s="84"/>
      <c r="U58" s="84"/>
      <c r="V58" s="84"/>
      <c r="W58" s="84"/>
      <c r="X58" s="84"/>
      <c r="Y58" s="84"/>
      <c r="Z58" s="84"/>
    </row>
    <row r="59" ht="15.75" customHeight="1">
      <c r="A59" s="84"/>
      <c r="B59" s="84"/>
      <c r="C59" s="84"/>
      <c r="D59" s="84"/>
      <c r="E59" s="84"/>
      <c r="F59" s="84"/>
      <c r="G59" s="84"/>
      <c r="H59" s="84"/>
      <c r="I59" s="84"/>
      <c r="J59" s="84"/>
      <c r="K59" s="84"/>
      <c r="L59" s="84"/>
      <c r="M59" s="84"/>
      <c r="N59" s="84"/>
      <c r="O59" s="84"/>
      <c r="P59" s="84"/>
      <c r="Q59" s="84"/>
      <c r="R59" s="84"/>
      <c r="S59" s="84"/>
      <c r="T59" s="84"/>
      <c r="U59" s="84"/>
      <c r="V59" s="84"/>
      <c r="W59" s="84"/>
      <c r="X59" s="84"/>
      <c r="Y59" s="84"/>
      <c r="Z59" s="84"/>
    </row>
    <row r="60" ht="15.75" customHeight="1">
      <c r="A60" s="84"/>
      <c r="B60" s="84"/>
      <c r="C60" s="84"/>
      <c r="D60" s="84"/>
      <c r="E60" s="84"/>
      <c r="F60" s="84"/>
      <c r="G60" s="84"/>
      <c r="H60" s="84"/>
      <c r="I60" s="84"/>
      <c r="J60" s="84"/>
      <c r="K60" s="84"/>
      <c r="L60" s="84"/>
      <c r="M60" s="84"/>
      <c r="N60" s="84"/>
      <c r="O60" s="84"/>
      <c r="P60" s="84"/>
      <c r="Q60" s="84"/>
      <c r="R60" s="84"/>
      <c r="S60" s="84"/>
      <c r="T60" s="84"/>
      <c r="U60" s="84"/>
      <c r="V60" s="84"/>
      <c r="W60" s="84"/>
      <c r="X60" s="84"/>
      <c r="Y60" s="84"/>
      <c r="Z60" s="84"/>
    </row>
    <row r="61" ht="15.75" customHeight="1">
      <c r="A61" s="84"/>
      <c r="B61" s="84"/>
      <c r="C61" s="84"/>
      <c r="D61" s="84"/>
      <c r="E61" s="84"/>
      <c r="F61" s="84"/>
      <c r="G61" s="84"/>
      <c r="H61" s="84"/>
      <c r="I61" s="84"/>
      <c r="J61" s="84"/>
      <c r="K61" s="84"/>
      <c r="L61" s="84"/>
      <c r="M61" s="84"/>
      <c r="N61" s="84"/>
      <c r="O61" s="84"/>
      <c r="P61" s="84"/>
      <c r="Q61" s="84"/>
      <c r="R61" s="84"/>
      <c r="S61" s="84"/>
      <c r="T61" s="84"/>
      <c r="U61" s="84"/>
      <c r="V61" s="84"/>
      <c r="W61" s="84"/>
      <c r="X61" s="84"/>
      <c r="Y61" s="84"/>
      <c r="Z61" s="84"/>
    </row>
    <row r="62" ht="15.75" customHeight="1">
      <c r="A62" s="84"/>
      <c r="B62" s="84"/>
      <c r="C62" s="84"/>
      <c r="D62" s="84"/>
      <c r="E62" s="84"/>
      <c r="F62" s="84"/>
      <c r="G62" s="84"/>
      <c r="H62" s="84"/>
      <c r="I62" s="84"/>
      <c r="J62" s="84"/>
      <c r="K62" s="84"/>
      <c r="L62" s="84"/>
      <c r="M62" s="84"/>
      <c r="N62" s="84"/>
      <c r="O62" s="84"/>
      <c r="P62" s="84"/>
      <c r="Q62" s="84"/>
      <c r="R62" s="84"/>
      <c r="S62" s="84"/>
      <c r="T62" s="84"/>
      <c r="U62" s="84"/>
      <c r="V62" s="84"/>
      <c r="W62" s="84"/>
      <c r="X62" s="84"/>
      <c r="Y62" s="84"/>
      <c r="Z62" s="84"/>
    </row>
    <row r="63" ht="15.75" customHeight="1">
      <c r="A63" s="84"/>
      <c r="B63" s="84"/>
      <c r="C63" s="84"/>
      <c r="D63" s="84"/>
      <c r="E63" s="84"/>
      <c r="F63" s="84"/>
      <c r="G63" s="84"/>
      <c r="H63" s="84"/>
      <c r="I63" s="84"/>
      <c r="J63" s="84"/>
      <c r="K63" s="84"/>
      <c r="L63" s="84"/>
      <c r="M63" s="84"/>
      <c r="N63" s="84"/>
      <c r="O63" s="84"/>
      <c r="P63" s="84"/>
      <c r="Q63" s="84"/>
      <c r="R63" s="84"/>
      <c r="S63" s="84"/>
      <c r="T63" s="84"/>
      <c r="U63" s="84"/>
      <c r="V63" s="84"/>
      <c r="W63" s="84"/>
      <c r="X63" s="84"/>
      <c r="Y63" s="84"/>
      <c r="Z63" s="84"/>
    </row>
    <row r="64" ht="15.75" customHeight="1">
      <c r="A64" s="84"/>
      <c r="B64" s="84"/>
      <c r="C64" s="84"/>
      <c r="D64" s="84"/>
      <c r="E64" s="84"/>
      <c r="F64" s="84"/>
      <c r="G64" s="84"/>
      <c r="H64" s="84"/>
      <c r="I64" s="84"/>
      <c r="J64" s="84"/>
      <c r="K64" s="84"/>
      <c r="L64" s="84"/>
      <c r="M64" s="84"/>
      <c r="N64" s="84"/>
      <c r="O64" s="84"/>
      <c r="P64" s="84"/>
      <c r="Q64" s="84"/>
      <c r="R64" s="84"/>
      <c r="S64" s="84"/>
      <c r="T64" s="84"/>
      <c r="U64" s="84"/>
      <c r="V64" s="84"/>
      <c r="W64" s="84"/>
      <c r="X64" s="84"/>
      <c r="Y64" s="84"/>
      <c r="Z64" s="84"/>
    </row>
    <row r="65" ht="15.75" customHeight="1">
      <c r="A65" s="84"/>
      <c r="B65" s="84"/>
      <c r="C65" s="84"/>
      <c r="D65" s="84"/>
      <c r="E65" s="84"/>
      <c r="F65" s="84"/>
      <c r="G65" s="84"/>
      <c r="H65" s="84"/>
      <c r="I65" s="84"/>
      <c r="J65" s="84"/>
      <c r="K65" s="84"/>
      <c r="L65" s="84"/>
      <c r="M65" s="84"/>
      <c r="N65" s="84"/>
      <c r="O65" s="84"/>
      <c r="P65" s="84"/>
      <c r="Q65" s="84"/>
      <c r="R65" s="84"/>
      <c r="S65" s="84"/>
      <c r="T65" s="84"/>
      <c r="U65" s="84"/>
      <c r="V65" s="84"/>
      <c r="W65" s="84"/>
      <c r="X65" s="84"/>
      <c r="Y65" s="84"/>
      <c r="Z65" s="84"/>
    </row>
    <row r="66" ht="15.75" customHeight="1">
      <c r="A66" s="84"/>
      <c r="B66" s="84"/>
      <c r="C66" s="84"/>
      <c r="D66" s="84"/>
      <c r="E66" s="84"/>
      <c r="F66" s="84"/>
      <c r="G66" s="84"/>
      <c r="H66" s="84"/>
      <c r="I66" s="84"/>
      <c r="J66" s="84"/>
      <c r="K66" s="84"/>
      <c r="L66" s="84"/>
      <c r="M66" s="84"/>
      <c r="N66" s="84"/>
      <c r="O66" s="84"/>
      <c r="P66" s="84"/>
      <c r="Q66" s="84"/>
      <c r="R66" s="84"/>
      <c r="S66" s="84"/>
      <c r="T66" s="84"/>
      <c r="U66" s="84"/>
      <c r="V66" s="84"/>
      <c r="W66" s="84"/>
      <c r="X66" s="84"/>
      <c r="Y66" s="84"/>
      <c r="Z66" s="84"/>
    </row>
    <row r="67" ht="15.75" customHeight="1">
      <c r="A67" s="84"/>
      <c r="B67" s="84"/>
      <c r="C67" s="84"/>
      <c r="D67" s="84"/>
      <c r="E67" s="84"/>
      <c r="F67" s="84"/>
      <c r="G67" s="84"/>
      <c r="H67" s="84"/>
      <c r="I67" s="84"/>
      <c r="J67" s="84"/>
      <c r="K67" s="84"/>
      <c r="L67" s="84"/>
      <c r="M67" s="84"/>
      <c r="N67" s="84"/>
      <c r="O67" s="84"/>
      <c r="P67" s="84"/>
      <c r="Q67" s="84"/>
      <c r="R67" s="84"/>
      <c r="S67" s="84"/>
      <c r="T67" s="84"/>
      <c r="U67" s="84"/>
      <c r="V67" s="84"/>
      <c r="W67" s="84"/>
      <c r="X67" s="84"/>
      <c r="Y67" s="84"/>
      <c r="Z67" s="84"/>
    </row>
    <row r="68" ht="15.75" customHeight="1">
      <c r="A68" s="84"/>
      <c r="B68" s="84"/>
      <c r="C68" s="84"/>
      <c r="D68" s="84"/>
      <c r="E68" s="84"/>
      <c r="F68" s="84"/>
      <c r="G68" s="84"/>
      <c r="H68" s="84"/>
      <c r="I68" s="84"/>
      <c r="J68" s="84"/>
      <c r="K68" s="84"/>
      <c r="L68" s="84"/>
      <c r="M68" s="84"/>
      <c r="N68" s="84"/>
      <c r="O68" s="84"/>
      <c r="P68" s="84"/>
      <c r="Q68" s="84"/>
      <c r="R68" s="84"/>
      <c r="S68" s="84"/>
      <c r="T68" s="84"/>
      <c r="U68" s="84"/>
      <c r="V68" s="84"/>
      <c r="W68" s="84"/>
      <c r="X68" s="84"/>
      <c r="Y68" s="84"/>
      <c r="Z68" s="84"/>
    </row>
    <row r="69" ht="15.75" customHeight="1">
      <c r="A69" s="84"/>
      <c r="B69" s="84"/>
      <c r="C69" s="84"/>
      <c r="D69" s="84"/>
      <c r="E69" s="84"/>
      <c r="F69" s="84"/>
      <c r="G69" s="84"/>
      <c r="H69" s="84"/>
      <c r="I69" s="84"/>
      <c r="J69" s="84"/>
      <c r="K69" s="84"/>
      <c r="L69" s="84"/>
      <c r="M69" s="84"/>
      <c r="N69" s="84"/>
      <c r="O69" s="84"/>
      <c r="P69" s="84"/>
      <c r="Q69" s="84"/>
      <c r="R69" s="84"/>
      <c r="S69" s="84"/>
      <c r="T69" s="84"/>
      <c r="U69" s="84"/>
      <c r="V69" s="84"/>
      <c r="W69" s="84"/>
      <c r="X69" s="84"/>
      <c r="Y69" s="84"/>
      <c r="Z69" s="84"/>
    </row>
    <row r="70" ht="15.75" customHeight="1">
      <c r="A70" s="84"/>
      <c r="B70" s="84"/>
      <c r="C70" s="84"/>
      <c r="D70" s="84"/>
      <c r="E70" s="84"/>
      <c r="F70" s="84"/>
      <c r="G70" s="84"/>
      <c r="H70" s="84"/>
      <c r="I70" s="84"/>
      <c r="J70" s="84"/>
      <c r="K70" s="84"/>
      <c r="L70" s="84"/>
      <c r="M70" s="84"/>
      <c r="N70" s="84"/>
      <c r="O70" s="84"/>
      <c r="P70" s="84"/>
      <c r="Q70" s="84"/>
      <c r="R70" s="84"/>
      <c r="S70" s="84"/>
      <c r="T70" s="84"/>
      <c r="U70" s="84"/>
      <c r="V70" s="84"/>
      <c r="W70" s="84"/>
      <c r="X70" s="84"/>
      <c r="Y70" s="84"/>
      <c r="Z70" s="84"/>
    </row>
    <row r="71" ht="15.75" customHeight="1">
      <c r="A71" s="84"/>
      <c r="B71" s="84"/>
      <c r="C71" s="84"/>
      <c r="D71" s="84"/>
      <c r="E71" s="84"/>
      <c r="F71" s="84"/>
      <c r="G71" s="84"/>
      <c r="H71" s="84"/>
      <c r="I71" s="84"/>
      <c r="J71" s="84"/>
      <c r="K71" s="84"/>
      <c r="L71" s="84"/>
      <c r="M71" s="84"/>
      <c r="N71" s="84"/>
      <c r="O71" s="84"/>
      <c r="P71" s="84"/>
      <c r="Q71" s="84"/>
      <c r="R71" s="84"/>
      <c r="S71" s="84"/>
      <c r="T71" s="84"/>
      <c r="U71" s="84"/>
      <c r="V71" s="84"/>
      <c r="W71" s="84"/>
      <c r="X71" s="84"/>
      <c r="Y71" s="84"/>
      <c r="Z71" s="84"/>
    </row>
    <row r="72" ht="15.75" customHeight="1">
      <c r="A72" s="84"/>
      <c r="B72" s="84"/>
      <c r="C72" s="84"/>
      <c r="D72" s="84"/>
      <c r="E72" s="84"/>
      <c r="F72" s="84"/>
      <c r="G72" s="84"/>
      <c r="H72" s="84"/>
      <c r="I72" s="84"/>
      <c r="J72" s="84"/>
      <c r="K72" s="84"/>
      <c r="L72" s="84"/>
      <c r="M72" s="84"/>
      <c r="N72" s="84"/>
      <c r="O72" s="84"/>
      <c r="P72" s="84"/>
      <c r="Q72" s="84"/>
      <c r="R72" s="84"/>
      <c r="S72" s="84"/>
      <c r="T72" s="84"/>
      <c r="U72" s="84"/>
      <c r="V72" s="84"/>
      <c r="W72" s="84"/>
      <c r="X72" s="84"/>
      <c r="Y72" s="84"/>
      <c r="Z72" s="84"/>
    </row>
    <row r="73" ht="15.75" customHeight="1">
      <c r="A73" s="84"/>
      <c r="B73" s="84"/>
      <c r="C73" s="84"/>
      <c r="D73" s="84"/>
      <c r="E73" s="84"/>
      <c r="F73" s="84"/>
      <c r="G73" s="84"/>
      <c r="H73" s="84"/>
      <c r="I73" s="84"/>
      <c r="J73" s="84"/>
      <c r="K73" s="84"/>
      <c r="L73" s="84"/>
      <c r="M73" s="84"/>
      <c r="N73" s="84"/>
      <c r="O73" s="84"/>
      <c r="P73" s="84"/>
      <c r="Q73" s="84"/>
      <c r="R73" s="84"/>
      <c r="S73" s="84"/>
      <c r="T73" s="84"/>
      <c r="U73" s="84"/>
      <c r="V73" s="84"/>
      <c r="W73" s="84"/>
      <c r="X73" s="84"/>
      <c r="Y73" s="84"/>
      <c r="Z73" s="84"/>
    </row>
    <row r="74" ht="15.75" customHeight="1">
      <c r="A74" s="84"/>
      <c r="B74" s="84"/>
      <c r="C74" s="84"/>
      <c r="D74" s="84"/>
      <c r="E74" s="84"/>
      <c r="F74" s="84"/>
      <c r="G74" s="84"/>
      <c r="H74" s="84"/>
      <c r="I74" s="84"/>
      <c r="J74" s="84"/>
      <c r="K74" s="84"/>
      <c r="L74" s="84"/>
      <c r="M74" s="84"/>
      <c r="N74" s="84"/>
      <c r="O74" s="84"/>
      <c r="P74" s="84"/>
      <c r="Q74" s="84"/>
      <c r="R74" s="84"/>
      <c r="S74" s="84"/>
      <c r="T74" s="84"/>
      <c r="U74" s="84"/>
      <c r="V74" s="84"/>
      <c r="W74" s="84"/>
      <c r="X74" s="84"/>
      <c r="Y74" s="84"/>
      <c r="Z74" s="84"/>
    </row>
    <row r="75" ht="15.75" customHeight="1">
      <c r="A75" s="84"/>
      <c r="B75" s="84"/>
      <c r="C75" s="84"/>
      <c r="D75" s="84"/>
      <c r="E75" s="84"/>
      <c r="F75" s="84"/>
      <c r="G75" s="84"/>
      <c r="H75" s="84"/>
      <c r="I75" s="84"/>
      <c r="J75" s="84"/>
      <c r="K75" s="84"/>
      <c r="L75" s="84"/>
      <c r="M75" s="84"/>
      <c r="N75" s="84"/>
      <c r="O75" s="84"/>
      <c r="P75" s="84"/>
      <c r="Q75" s="84"/>
      <c r="R75" s="84"/>
      <c r="S75" s="84"/>
      <c r="T75" s="84"/>
      <c r="U75" s="84"/>
      <c r="V75" s="84"/>
      <c r="W75" s="84"/>
      <c r="X75" s="84"/>
      <c r="Y75" s="84"/>
      <c r="Z75" s="84"/>
    </row>
    <row r="76" ht="15.75" customHeight="1">
      <c r="A76" s="84"/>
      <c r="B76" s="84"/>
      <c r="C76" s="84"/>
      <c r="D76" s="84"/>
      <c r="E76" s="84"/>
      <c r="F76" s="84"/>
      <c r="G76" s="84"/>
      <c r="H76" s="84"/>
      <c r="I76" s="84"/>
      <c r="J76" s="84"/>
      <c r="K76" s="84"/>
      <c r="L76" s="84"/>
      <c r="M76" s="84"/>
      <c r="N76" s="84"/>
      <c r="O76" s="84"/>
      <c r="P76" s="84"/>
      <c r="Q76" s="84"/>
      <c r="R76" s="84"/>
      <c r="S76" s="84"/>
      <c r="T76" s="84"/>
      <c r="U76" s="84"/>
      <c r="V76" s="84"/>
      <c r="W76" s="84"/>
      <c r="X76" s="84"/>
      <c r="Y76" s="84"/>
      <c r="Z76" s="84"/>
    </row>
    <row r="77" ht="15.75" customHeight="1">
      <c r="A77" s="84"/>
      <c r="B77" s="84"/>
      <c r="C77" s="84"/>
      <c r="D77" s="84"/>
      <c r="E77" s="84"/>
      <c r="F77" s="84"/>
      <c r="G77" s="84"/>
      <c r="H77" s="84"/>
      <c r="I77" s="84"/>
      <c r="J77" s="84"/>
      <c r="K77" s="84"/>
      <c r="L77" s="84"/>
      <c r="M77" s="84"/>
      <c r="N77" s="84"/>
      <c r="O77" s="84"/>
      <c r="P77" s="84"/>
      <c r="Q77" s="84"/>
      <c r="R77" s="84"/>
      <c r="S77" s="84"/>
      <c r="T77" s="84"/>
      <c r="U77" s="84"/>
      <c r="V77" s="84"/>
      <c r="W77" s="84"/>
      <c r="X77" s="84"/>
      <c r="Y77" s="84"/>
      <c r="Z77" s="84"/>
    </row>
    <row r="78" ht="15.75" customHeight="1">
      <c r="A78" s="84"/>
      <c r="B78" s="84"/>
      <c r="C78" s="84"/>
      <c r="D78" s="84"/>
      <c r="E78" s="84"/>
      <c r="F78" s="84"/>
      <c r="G78" s="84"/>
      <c r="H78" s="84"/>
      <c r="I78" s="84"/>
      <c r="J78" s="84"/>
      <c r="K78" s="84"/>
      <c r="L78" s="84"/>
      <c r="M78" s="84"/>
      <c r="N78" s="84"/>
      <c r="O78" s="84"/>
      <c r="P78" s="84"/>
      <c r="Q78" s="84"/>
      <c r="R78" s="84"/>
      <c r="S78" s="84"/>
      <c r="T78" s="84"/>
      <c r="U78" s="84"/>
      <c r="V78" s="84"/>
      <c r="W78" s="84"/>
      <c r="X78" s="84"/>
      <c r="Y78" s="84"/>
      <c r="Z78" s="84"/>
    </row>
    <row r="79" ht="15.75" customHeight="1">
      <c r="A79" s="84"/>
      <c r="B79" s="84"/>
      <c r="C79" s="84"/>
      <c r="D79" s="84"/>
      <c r="E79" s="84"/>
      <c r="F79" s="84"/>
      <c r="G79" s="84"/>
      <c r="H79" s="84"/>
      <c r="I79" s="84"/>
      <c r="J79" s="84"/>
      <c r="K79" s="84"/>
      <c r="L79" s="84"/>
      <c r="M79" s="84"/>
      <c r="N79" s="84"/>
      <c r="O79" s="84"/>
      <c r="P79" s="84"/>
      <c r="Q79" s="84"/>
      <c r="R79" s="84"/>
      <c r="S79" s="84"/>
      <c r="T79" s="84"/>
      <c r="U79" s="84"/>
      <c r="V79" s="84"/>
      <c r="W79" s="84"/>
      <c r="X79" s="84"/>
      <c r="Y79" s="84"/>
      <c r="Z79" s="84"/>
    </row>
    <row r="80" ht="15.75" customHeight="1">
      <c r="A80" s="84"/>
      <c r="B80" s="84"/>
      <c r="C80" s="84"/>
      <c r="D80" s="84"/>
      <c r="E80" s="84"/>
      <c r="F80" s="84"/>
      <c r="G80" s="84"/>
      <c r="H80" s="84"/>
      <c r="I80" s="84"/>
      <c r="J80" s="84"/>
      <c r="K80" s="84"/>
      <c r="L80" s="84"/>
      <c r="M80" s="84"/>
      <c r="N80" s="84"/>
      <c r="O80" s="84"/>
      <c r="P80" s="84"/>
      <c r="Q80" s="84"/>
      <c r="R80" s="84"/>
      <c r="S80" s="84"/>
      <c r="T80" s="84"/>
      <c r="U80" s="84"/>
      <c r="V80" s="84"/>
      <c r="W80" s="84"/>
      <c r="X80" s="84"/>
      <c r="Y80" s="84"/>
      <c r="Z80" s="84"/>
    </row>
    <row r="81" ht="15.75" customHeight="1">
      <c r="A81" s="84"/>
      <c r="B81" s="84"/>
      <c r="C81" s="84"/>
      <c r="D81" s="84"/>
      <c r="E81" s="84"/>
      <c r="F81" s="84"/>
      <c r="G81" s="84"/>
      <c r="H81" s="84"/>
      <c r="I81" s="84"/>
      <c r="J81" s="84"/>
      <c r="K81" s="84"/>
      <c r="L81" s="84"/>
      <c r="M81" s="84"/>
      <c r="N81" s="84"/>
      <c r="O81" s="84"/>
      <c r="P81" s="84"/>
      <c r="Q81" s="84"/>
      <c r="R81" s="84"/>
      <c r="S81" s="84"/>
      <c r="T81" s="84"/>
      <c r="U81" s="84"/>
      <c r="V81" s="84"/>
      <c r="W81" s="84"/>
      <c r="X81" s="84"/>
      <c r="Y81" s="84"/>
      <c r="Z81" s="84"/>
    </row>
    <row r="82" ht="15.75" customHeight="1">
      <c r="A82" s="84"/>
      <c r="B82" s="84"/>
      <c r="C82" s="84"/>
      <c r="D82" s="84"/>
      <c r="E82" s="84"/>
      <c r="F82" s="84"/>
      <c r="G82" s="84"/>
      <c r="H82" s="84"/>
      <c r="I82" s="84"/>
      <c r="J82" s="84"/>
      <c r="K82" s="84"/>
      <c r="L82" s="84"/>
      <c r="M82" s="84"/>
      <c r="N82" s="84"/>
      <c r="O82" s="84"/>
      <c r="P82" s="84"/>
      <c r="Q82" s="84"/>
      <c r="R82" s="84"/>
      <c r="S82" s="84"/>
      <c r="T82" s="84"/>
      <c r="U82" s="84"/>
      <c r="V82" s="84"/>
      <c r="W82" s="84"/>
      <c r="X82" s="84"/>
      <c r="Y82" s="84"/>
      <c r="Z82" s="84"/>
    </row>
    <row r="83" ht="15.75" customHeight="1">
      <c r="A83" s="84"/>
      <c r="B83" s="84"/>
      <c r="C83" s="84"/>
      <c r="D83" s="84"/>
      <c r="E83" s="84"/>
      <c r="F83" s="84"/>
      <c r="G83" s="84"/>
      <c r="H83" s="84"/>
      <c r="I83" s="84"/>
      <c r="J83" s="84"/>
      <c r="K83" s="84"/>
      <c r="L83" s="84"/>
      <c r="M83" s="84"/>
      <c r="N83" s="84"/>
      <c r="O83" s="84"/>
      <c r="P83" s="84"/>
      <c r="Q83" s="84"/>
      <c r="R83" s="84"/>
      <c r="S83" s="84"/>
      <c r="T83" s="84"/>
      <c r="U83" s="84"/>
      <c r="V83" s="84"/>
      <c r="W83" s="84"/>
      <c r="X83" s="84"/>
      <c r="Y83" s="84"/>
      <c r="Z83" s="84"/>
    </row>
    <row r="84" ht="15.75" customHeight="1">
      <c r="A84" s="84"/>
      <c r="B84" s="84"/>
      <c r="C84" s="84"/>
      <c r="D84" s="84"/>
      <c r="E84" s="84"/>
      <c r="F84" s="84"/>
      <c r="G84" s="84"/>
      <c r="H84" s="84"/>
      <c r="I84" s="84"/>
      <c r="J84" s="84"/>
      <c r="K84" s="84"/>
      <c r="L84" s="84"/>
      <c r="M84" s="84"/>
      <c r="N84" s="84"/>
      <c r="O84" s="84"/>
      <c r="P84" s="84"/>
      <c r="Q84" s="84"/>
      <c r="R84" s="84"/>
      <c r="S84" s="84"/>
      <c r="T84" s="84"/>
      <c r="U84" s="84"/>
      <c r="V84" s="84"/>
      <c r="W84" s="84"/>
      <c r="X84" s="84"/>
      <c r="Y84" s="84"/>
      <c r="Z84" s="84"/>
    </row>
    <row r="85" ht="15.75" customHeight="1">
      <c r="A85" s="84"/>
      <c r="B85" s="84"/>
      <c r="C85" s="84"/>
      <c r="D85" s="84"/>
      <c r="E85" s="84"/>
      <c r="F85" s="84"/>
      <c r="G85" s="84"/>
      <c r="H85" s="84"/>
      <c r="I85" s="84"/>
      <c r="J85" s="84"/>
      <c r="K85" s="84"/>
      <c r="L85" s="84"/>
      <c r="M85" s="84"/>
      <c r="N85" s="84"/>
      <c r="O85" s="84"/>
      <c r="P85" s="84"/>
      <c r="Q85" s="84"/>
      <c r="R85" s="84"/>
      <c r="S85" s="84"/>
      <c r="T85" s="84"/>
      <c r="U85" s="84"/>
      <c r="V85" s="84"/>
      <c r="W85" s="84"/>
      <c r="X85" s="84"/>
      <c r="Y85" s="84"/>
      <c r="Z85" s="84"/>
    </row>
    <row r="86" ht="15.75" customHeight="1">
      <c r="A86" s="84"/>
      <c r="B86" s="84"/>
      <c r="C86" s="84"/>
      <c r="D86" s="84"/>
      <c r="E86" s="84"/>
      <c r="F86" s="84"/>
      <c r="G86" s="84"/>
      <c r="H86" s="84"/>
      <c r="I86" s="84"/>
      <c r="J86" s="84"/>
      <c r="K86" s="84"/>
      <c r="L86" s="84"/>
      <c r="M86" s="84"/>
      <c r="N86" s="84"/>
      <c r="O86" s="84"/>
      <c r="P86" s="84"/>
      <c r="Q86" s="84"/>
      <c r="R86" s="84"/>
      <c r="S86" s="84"/>
      <c r="T86" s="84"/>
      <c r="U86" s="84"/>
      <c r="V86" s="84"/>
      <c r="W86" s="84"/>
      <c r="X86" s="84"/>
      <c r="Y86" s="84"/>
      <c r="Z86" s="84"/>
    </row>
    <row r="87" ht="15.75" customHeight="1">
      <c r="A87" s="84"/>
      <c r="B87" s="84"/>
      <c r="C87" s="84"/>
      <c r="D87" s="84"/>
      <c r="E87" s="84"/>
      <c r="F87" s="84"/>
      <c r="G87" s="84"/>
      <c r="H87" s="84"/>
      <c r="I87" s="84"/>
      <c r="J87" s="84"/>
      <c r="K87" s="84"/>
      <c r="L87" s="84"/>
      <c r="M87" s="84"/>
      <c r="N87" s="84"/>
      <c r="O87" s="84"/>
      <c r="P87" s="84"/>
      <c r="Q87" s="84"/>
      <c r="R87" s="84"/>
      <c r="S87" s="84"/>
      <c r="T87" s="84"/>
      <c r="U87" s="84"/>
      <c r="V87" s="84"/>
      <c r="W87" s="84"/>
      <c r="X87" s="84"/>
      <c r="Y87" s="84"/>
      <c r="Z87" s="84"/>
    </row>
    <row r="88" ht="15.75" customHeight="1">
      <c r="A88" s="84"/>
      <c r="B88" s="84"/>
      <c r="C88" s="84"/>
      <c r="D88" s="84"/>
      <c r="E88" s="84"/>
      <c r="F88" s="84"/>
      <c r="G88" s="84"/>
      <c r="H88" s="84"/>
      <c r="I88" s="84"/>
      <c r="J88" s="84"/>
      <c r="K88" s="84"/>
      <c r="L88" s="84"/>
      <c r="M88" s="84"/>
      <c r="N88" s="84"/>
      <c r="O88" s="84"/>
      <c r="P88" s="84"/>
      <c r="Q88" s="84"/>
      <c r="R88" s="84"/>
      <c r="S88" s="84"/>
      <c r="T88" s="84"/>
      <c r="U88" s="84"/>
      <c r="V88" s="84"/>
      <c r="W88" s="84"/>
      <c r="X88" s="84"/>
      <c r="Y88" s="84"/>
      <c r="Z88" s="84"/>
    </row>
    <row r="89" ht="15.75" customHeight="1">
      <c r="A89" s="84"/>
      <c r="B89" s="84"/>
      <c r="C89" s="84"/>
      <c r="D89" s="84"/>
      <c r="E89" s="84"/>
      <c r="F89" s="84"/>
      <c r="G89" s="84"/>
      <c r="H89" s="84"/>
      <c r="I89" s="84"/>
      <c r="J89" s="84"/>
      <c r="K89" s="84"/>
      <c r="L89" s="84"/>
      <c r="M89" s="84"/>
      <c r="N89" s="84"/>
      <c r="O89" s="84"/>
      <c r="P89" s="84"/>
      <c r="Q89" s="84"/>
      <c r="R89" s="84"/>
      <c r="S89" s="84"/>
      <c r="T89" s="84"/>
      <c r="U89" s="84"/>
      <c r="V89" s="84"/>
      <c r="W89" s="84"/>
      <c r="X89" s="84"/>
      <c r="Y89" s="84"/>
      <c r="Z89" s="84"/>
    </row>
    <row r="90" ht="15.75" customHeight="1">
      <c r="A90" s="84"/>
      <c r="B90" s="84"/>
      <c r="C90" s="84"/>
      <c r="D90" s="84"/>
      <c r="E90" s="84"/>
      <c r="F90" s="84"/>
      <c r="G90" s="84"/>
      <c r="H90" s="84"/>
      <c r="I90" s="84"/>
      <c r="J90" s="84"/>
      <c r="K90" s="84"/>
      <c r="L90" s="84"/>
      <c r="M90" s="84"/>
      <c r="N90" s="84"/>
      <c r="O90" s="84"/>
      <c r="P90" s="84"/>
      <c r="Q90" s="84"/>
      <c r="R90" s="84"/>
      <c r="S90" s="84"/>
      <c r="T90" s="84"/>
      <c r="U90" s="84"/>
      <c r="V90" s="84"/>
      <c r="W90" s="84"/>
      <c r="X90" s="84"/>
      <c r="Y90" s="84"/>
      <c r="Z90" s="84"/>
    </row>
    <row r="91" ht="15.75" customHeight="1">
      <c r="A91" s="84"/>
      <c r="B91" s="84"/>
      <c r="C91" s="84"/>
      <c r="D91" s="84"/>
      <c r="E91" s="84"/>
      <c r="F91" s="84"/>
      <c r="G91" s="84"/>
      <c r="H91" s="84"/>
      <c r="I91" s="84"/>
      <c r="J91" s="84"/>
      <c r="K91" s="84"/>
      <c r="L91" s="84"/>
      <c r="M91" s="84"/>
      <c r="N91" s="84"/>
      <c r="O91" s="84"/>
      <c r="P91" s="84"/>
      <c r="Q91" s="84"/>
      <c r="R91" s="84"/>
      <c r="S91" s="84"/>
      <c r="T91" s="84"/>
      <c r="U91" s="84"/>
      <c r="V91" s="84"/>
      <c r="W91" s="84"/>
      <c r="X91" s="84"/>
      <c r="Y91" s="84"/>
      <c r="Z91" s="84"/>
    </row>
    <row r="92" ht="15.75" customHeight="1">
      <c r="A92" s="84"/>
      <c r="B92" s="84"/>
      <c r="C92" s="84"/>
      <c r="D92" s="84"/>
      <c r="E92" s="84"/>
      <c r="F92" s="84"/>
      <c r="G92" s="84"/>
      <c r="H92" s="84"/>
      <c r="I92" s="84"/>
      <c r="J92" s="84"/>
      <c r="K92" s="84"/>
      <c r="L92" s="84"/>
      <c r="M92" s="84"/>
      <c r="N92" s="84"/>
      <c r="O92" s="84"/>
      <c r="P92" s="84"/>
      <c r="Q92" s="84"/>
      <c r="R92" s="84"/>
      <c r="S92" s="84"/>
      <c r="T92" s="84"/>
      <c r="U92" s="84"/>
      <c r="V92" s="84"/>
      <c r="W92" s="84"/>
      <c r="X92" s="84"/>
      <c r="Y92" s="84"/>
      <c r="Z92" s="84"/>
    </row>
    <row r="93" ht="15.75" customHeight="1">
      <c r="A93" s="84"/>
      <c r="B93" s="84"/>
      <c r="C93" s="84"/>
      <c r="D93" s="84"/>
      <c r="E93" s="84"/>
      <c r="F93" s="84"/>
      <c r="G93" s="84"/>
      <c r="H93" s="84"/>
      <c r="I93" s="84"/>
      <c r="J93" s="84"/>
      <c r="K93" s="84"/>
      <c r="L93" s="84"/>
      <c r="M93" s="84"/>
      <c r="N93" s="84"/>
      <c r="O93" s="84"/>
      <c r="P93" s="84"/>
      <c r="Q93" s="84"/>
      <c r="R93" s="84"/>
      <c r="S93" s="84"/>
      <c r="T93" s="84"/>
      <c r="U93" s="84"/>
      <c r="V93" s="84"/>
      <c r="W93" s="84"/>
      <c r="X93" s="84"/>
      <c r="Y93" s="84"/>
      <c r="Z93" s="84"/>
    </row>
    <row r="94" ht="15.75" customHeight="1">
      <c r="A94" s="84"/>
      <c r="B94" s="84"/>
      <c r="C94" s="84"/>
      <c r="D94" s="84"/>
      <c r="E94" s="84"/>
      <c r="F94" s="84"/>
      <c r="G94" s="84"/>
      <c r="H94" s="84"/>
      <c r="I94" s="84"/>
      <c r="J94" s="84"/>
      <c r="K94" s="84"/>
      <c r="L94" s="84"/>
      <c r="M94" s="84"/>
      <c r="N94" s="84"/>
      <c r="O94" s="84"/>
      <c r="P94" s="84"/>
      <c r="Q94" s="84"/>
      <c r="R94" s="84"/>
      <c r="S94" s="84"/>
      <c r="T94" s="84"/>
      <c r="U94" s="84"/>
      <c r="V94" s="84"/>
      <c r="W94" s="84"/>
      <c r="X94" s="84"/>
      <c r="Y94" s="84"/>
      <c r="Z94" s="84"/>
    </row>
    <row r="95" ht="15.75" customHeight="1">
      <c r="A95" s="84"/>
      <c r="B95" s="84"/>
      <c r="C95" s="84"/>
      <c r="D95" s="84"/>
      <c r="E95" s="84"/>
      <c r="F95" s="84"/>
      <c r="G95" s="84"/>
      <c r="H95" s="84"/>
      <c r="I95" s="84"/>
      <c r="J95" s="84"/>
      <c r="K95" s="84"/>
      <c r="L95" s="84"/>
      <c r="M95" s="84"/>
      <c r="N95" s="84"/>
      <c r="O95" s="84"/>
      <c r="P95" s="84"/>
      <c r="Q95" s="84"/>
      <c r="R95" s="84"/>
      <c r="S95" s="84"/>
      <c r="T95" s="84"/>
      <c r="U95" s="84"/>
      <c r="V95" s="84"/>
      <c r="W95" s="84"/>
      <c r="X95" s="84"/>
      <c r="Y95" s="84"/>
      <c r="Z95" s="84"/>
    </row>
    <row r="96" ht="15.75" customHeight="1">
      <c r="A96" s="84"/>
      <c r="B96" s="84"/>
      <c r="C96" s="84"/>
      <c r="D96" s="84"/>
      <c r="E96" s="84"/>
      <c r="F96" s="84"/>
      <c r="G96" s="84"/>
      <c r="H96" s="84"/>
      <c r="I96" s="84"/>
      <c r="J96" s="84"/>
      <c r="K96" s="84"/>
      <c r="L96" s="84"/>
      <c r="M96" s="84"/>
      <c r="N96" s="84"/>
      <c r="O96" s="84"/>
      <c r="P96" s="84"/>
      <c r="Q96" s="84"/>
      <c r="R96" s="84"/>
      <c r="S96" s="84"/>
      <c r="T96" s="84"/>
      <c r="U96" s="84"/>
      <c r="V96" s="84"/>
      <c r="W96" s="84"/>
      <c r="X96" s="84"/>
      <c r="Y96" s="84"/>
      <c r="Z96" s="84"/>
    </row>
    <row r="97" ht="15.75" customHeight="1">
      <c r="A97" s="84"/>
      <c r="B97" s="84"/>
      <c r="C97" s="84"/>
      <c r="D97" s="84"/>
      <c r="E97" s="84"/>
      <c r="F97" s="84"/>
      <c r="G97" s="84"/>
      <c r="H97" s="84"/>
      <c r="I97" s="84"/>
      <c r="J97" s="84"/>
      <c r="K97" s="84"/>
      <c r="L97" s="84"/>
      <c r="M97" s="84"/>
      <c r="N97" s="84"/>
      <c r="O97" s="84"/>
      <c r="P97" s="84"/>
      <c r="Q97" s="84"/>
      <c r="R97" s="84"/>
      <c r="S97" s="84"/>
      <c r="T97" s="84"/>
      <c r="U97" s="84"/>
      <c r="V97" s="84"/>
      <c r="W97" s="84"/>
      <c r="X97" s="84"/>
      <c r="Y97" s="84"/>
      <c r="Z97" s="84"/>
    </row>
    <row r="98" ht="15.75" customHeight="1">
      <c r="A98" s="84"/>
      <c r="B98" s="84"/>
      <c r="C98" s="84"/>
      <c r="D98" s="84"/>
      <c r="E98" s="84"/>
      <c r="F98" s="84"/>
      <c r="G98" s="84"/>
      <c r="H98" s="84"/>
      <c r="I98" s="84"/>
      <c r="J98" s="84"/>
      <c r="K98" s="84"/>
      <c r="L98" s="84"/>
      <c r="M98" s="84"/>
      <c r="N98" s="84"/>
      <c r="O98" s="84"/>
      <c r="P98" s="84"/>
      <c r="Q98" s="84"/>
      <c r="R98" s="84"/>
      <c r="S98" s="84"/>
      <c r="T98" s="84"/>
      <c r="U98" s="84"/>
      <c r="V98" s="84"/>
      <c r="W98" s="84"/>
      <c r="X98" s="84"/>
      <c r="Y98" s="84"/>
      <c r="Z98" s="84"/>
    </row>
    <row r="99" ht="15.75" customHeight="1">
      <c r="A99" s="84"/>
      <c r="B99" s="84"/>
      <c r="C99" s="84"/>
      <c r="D99" s="84"/>
      <c r="E99" s="84"/>
      <c r="F99" s="84"/>
      <c r="G99" s="84"/>
      <c r="H99" s="84"/>
      <c r="I99" s="84"/>
      <c r="J99" s="84"/>
      <c r="K99" s="84"/>
      <c r="L99" s="84"/>
      <c r="M99" s="84"/>
      <c r="N99" s="84"/>
      <c r="O99" s="84"/>
      <c r="P99" s="84"/>
      <c r="Q99" s="84"/>
      <c r="R99" s="84"/>
      <c r="S99" s="84"/>
      <c r="T99" s="84"/>
      <c r="U99" s="84"/>
      <c r="V99" s="84"/>
      <c r="W99" s="84"/>
      <c r="X99" s="84"/>
      <c r="Y99" s="84"/>
      <c r="Z99" s="84"/>
    </row>
    <row r="100" ht="15.75" customHeight="1">
      <c r="A100" s="84"/>
      <c r="B100" s="84"/>
      <c r="C100" s="84"/>
      <c r="D100" s="84"/>
      <c r="E100" s="84"/>
      <c r="F100" s="84"/>
      <c r="G100" s="84"/>
      <c r="H100" s="84"/>
      <c r="I100" s="84"/>
      <c r="J100" s="84"/>
      <c r="K100" s="84"/>
      <c r="L100" s="84"/>
      <c r="M100" s="84"/>
      <c r="N100" s="84"/>
      <c r="O100" s="84"/>
      <c r="P100" s="84"/>
      <c r="Q100" s="84"/>
      <c r="R100" s="84"/>
      <c r="S100" s="84"/>
      <c r="T100" s="84"/>
      <c r="U100" s="84"/>
      <c r="V100" s="84"/>
      <c r="W100" s="84"/>
      <c r="X100" s="84"/>
      <c r="Y100" s="84"/>
      <c r="Z100" s="84"/>
    </row>
    <row r="101" ht="15.75" customHeight="1">
      <c r="A101" s="84"/>
      <c r="B101" s="84"/>
      <c r="C101" s="84"/>
      <c r="D101" s="84"/>
      <c r="E101" s="84"/>
      <c r="F101" s="84"/>
      <c r="G101" s="84"/>
      <c r="H101" s="84"/>
      <c r="I101" s="84"/>
      <c r="J101" s="84"/>
      <c r="K101" s="84"/>
      <c r="L101" s="84"/>
      <c r="M101" s="84"/>
      <c r="N101" s="84"/>
      <c r="O101" s="84"/>
      <c r="P101" s="84"/>
      <c r="Q101" s="84"/>
      <c r="R101" s="84"/>
      <c r="S101" s="84"/>
      <c r="T101" s="84"/>
      <c r="U101" s="84"/>
      <c r="V101" s="84"/>
      <c r="W101" s="84"/>
      <c r="X101" s="84"/>
      <c r="Y101" s="84"/>
      <c r="Z101" s="84"/>
    </row>
    <row r="102" ht="15.75" customHeight="1">
      <c r="A102" s="84"/>
      <c r="B102" s="84"/>
      <c r="C102" s="84"/>
      <c r="D102" s="84"/>
      <c r="E102" s="84"/>
      <c r="F102" s="84"/>
      <c r="G102" s="84"/>
      <c r="H102" s="84"/>
      <c r="I102" s="84"/>
      <c r="J102" s="84"/>
      <c r="K102" s="84"/>
      <c r="L102" s="84"/>
      <c r="M102" s="84"/>
      <c r="N102" s="84"/>
      <c r="O102" s="84"/>
      <c r="P102" s="84"/>
      <c r="Q102" s="84"/>
      <c r="R102" s="84"/>
      <c r="S102" s="84"/>
      <c r="T102" s="84"/>
      <c r="U102" s="84"/>
      <c r="V102" s="84"/>
      <c r="W102" s="84"/>
      <c r="X102" s="84"/>
      <c r="Y102" s="84"/>
      <c r="Z102" s="84"/>
    </row>
    <row r="103" ht="15.75" customHeight="1">
      <c r="A103" s="84"/>
      <c r="B103" s="84"/>
      <c r="C103" s="84"/>
      <c r="D103" s="84"/>
      <c r="E103" s="84"/>
      <c r="F103" s="84"/>
      <c r="G103" s="84"/>
      <c r="H103" s="84"/>
      <c r="I103" s="84"/>
      <c r="J103" s="84"/>
      <c r="K103" s="84"/>
      <c r="L103" s="84"/>
      <c r="M103" s="84"/>
      <c r="N103" s="84"/>
      <c r="O103" s="84"/>
      <c r="P103" s="84"/>
      <c r="Q103" s="84"/>
      <c r="R103" s="84"/>
      <c r="S103" s="84"/>
      <c r="T103" s="84"/>
      <c r="U103" s="84"/>
      <c r="V103" s="84"/>
      <c r="W103" s="84"/>
      <c r="X103" s="84"/>
      <c r="Y103" s="84"/>
      <c r="Z103" s="84"/>
    </row>
    <row r="104" ht="15.75" customHeight="1">
      <c r="A104" s="84"/>
      <c r="B104" s="84"/>
      <c r="C104" s="84"/>
      <c r="D104" s="84"/>
      <c r="E104" s="84"/>
      <c r="F104" s="84"/>
      <c r="G104" s="84"/>
      <c r="H104" s="84"/>
      <c r="I104" s="84"/>
      <c r="J104" s="84"/>
      <c r="K104" s="84"/>
      <c r="L104" s="84"/>
      <c r="M104" s="84"/>
      <c r="N104" s="84"/>
      <c r="O104" s="84"/>
      <c r="P104" s="84"/>
      <c r="Q104" s="84"/>
      <c r="R104" s="84"/>
      <c r="S104" s="84"/>
      <c r="T104" s="84"/>
      <c r="U104" s="84"/>
      <c r="V104" s="84"/>
      <c r="W104" s="84"/>
      <c r="X104" s="84"/>
      <c r="Y104" s="84"/>
      <c r="Z104" s="84"/>
    </row>
    <row r="105" ht="15.75" customHeight="1">
      <c r="A105" s="84"/>
      <c r="B105" s="84"/>
      <c r="C105" s="84"/>
      <c r="D105" s="84"/>
      <c r="E105" s="84"/>
      <c r="F105" s="84"/>
      <c r="G105" s="84"/>
      <c r="H105" s="84"/>
      <c r="I105" s="84"/>
      <c r="J105" s="84"/>
      <c r="K105" s="84"/>
      <c r="L105" s="84"/>
      <c r="M105" s="84"/>
      <c r="N105" s="84"/>
      <c r="O105" s="84"/>
      <c r="P105" s="84"/>
      <c r="Q105" s="84"/>
      <c r="R105" s="84"/>
      <c r="S105" s="84"/>
      <c r="T105" s="84"/>
      <c r="U105" s="84"/>
      <c r="V105" s="84"/>
      <c r="W105" s="84"/>
      <c r="X105" s="84"/>
      <c r="Y105" s="84"/>
      <c r="Z105" s="84"/>
    </row>
    <row r="106" ht="15.75" customHeight="1">
      <c r="A106" s="84"/>
      <c r="B106" s="84"/>
      <c r="C106" s="84"/>
      <c r="D106" s="84"/>
      <c r="E106" s="84"/>
      <c r="F106" s="84"/>
      <c r="G106" s="84"/>
      <c r="H106" s="84"/>
      <c r="I106" s="84"/>
      <c r="J106" s="84"/>
      <c r="K106" s="84"/>
      <c r="L106" s="84"/>
      <c r="M106" s="84"/>
      <c r="N106" s="84"/>
      <c r="O106" s="84"/>
      <c r="P106" s="84"/>
      <c r="Q106" s="84"/>
      <c r="R106" s="84"/>
      <c r="S106" s="84"/>
      <c r="T106" s="84"/>
      <c r="U106" s="84"/>
      <c r="V106" s="84"/>
      <c r="W106" s="84"/>
      <c r="X106" s="84"/>
      <c r="Y106" s="84"/>
      <c r="Z106" s="84"/>
    </row>
    <row r="107" ht="15.75" customHeight="1">
      <c r="A107" s="84"/>
      <c r="B107" s="84"/>
      <c r="C107" s="84"/>
      <c r="D107" s="84"/>
      <c r="E107" s="84"/>
      <c r="F107" s="84"/>
      <c r="G107" s="84"/>
      <c r="H107" s="84"/>
      <c r="I107" s="84"/>
      <c r="J107" s="84"/>
      <c r="K107" s="84"/>
      <c r="L107" s="84"/>
      <c r="M107" s="84"/>
      <c r="N107" s="84"/>
      <c r="O107" s="84"/>
      <c r="P107" s="84"/>
      <c r="Q107" s="84"/>
      <c r="R107" s="84"/>
      <c r="S107" s="84"/>
      <c r="T107" s="84"/>
      <c r="U107" s="84"/>
      <c r="V107" s="84"/>
      <c r="W107" s="84"/>
      <c r="X107" s="84"/>
      <c r="Y107" s="84"/>
      <c r="Z107" s="84"/>
    </row>
    <row r="108" ht="15.75" customHeight="1">
      <c r="A108" s="84"/>
      <c r="B108" s="84"/>
      <c r="C108" s="84"/>
      <c r="D108" s="84"/>
      <c r="E108" s="84"/>
      <c r="F108" s="84"/>
      <c r="G108" s="84"/>
      <c r="H108" s="84"/>
      <c r="I108" s="84"/>
      <c r="J108" s="84"/>
      <c r="K108" s="84"/>
      <c r="L108" s="84"/>
      <c r="M108" s="84"/>
      <c r="N108" s="84"/>
      <c r="O108" s="84"/>
      <c r="P108" s="84"/>
      <c r="Q108" s="84"/>
      <c r="R108" s="84"/>
      <c r="S108" s="84"/>
      <c r="T108" s="84"/>
      <c r="U108" s="84"/>
      <c r="V108" s="84"/>
      <c r="W108" s="84"/>
      <c r="X108" s="84"/>
      <c r="Y108" s="84"/>
      <c r="Z108" s="84"/>
    </row>
    <row r="109" ht="15.75" customHeight="1">
      <c r="A109" s="84"/>
      <c r="B109" s="84"/>
      <c r="C109" s="84"/>
      <c r="D109" s="84"/>
      <c r="E109" s="84"/>
      <c r="F109" s="84"/>
      <c r="G109" s="84"/>
      <c r="H109" s="84"/>
      <c r="I109" s="84"/>
      <c r="J109" s="84"/>
      <c r="K109" s="84"/>
      <c r="L109" s="84"/>
      <c r="M109" s="84"/>
      <c r="N109" s="84"/>
      <c r="O109" s="84"/>
      <c r="P109" s="84"/>
      <c r="Q109" s="84"/>
      <c r="R109" s="84"/>
      <c r="S109" s="84"/>
      <c r="T109" s="84"/>
      <c r="U109" s="84"/>
      <c r="V109" s="84"/>
      <c r="W109" s="84"/>
      <c r="X109" s="84"/>
      <c r="Y109" s="84"/>
      <c r="Z109" s="84"/>
    </row>
    <row r="110" ht="15.75" customHeight="1">
      <c r="A110" s="84"/>
      <c r="B110" s="84"/>
      <c r="C110" s="84"/>
      <c r="D110" s="84"/>
      <c r="E110" s="84"/>
      <c r="F110" s="84"/>
      <c r="G110" s="84"/>
      <c r="H110" s="84"/>
      <c r="I110" s="84"/>
      <c r="J110" s="84"/>
      <c r="K110" s="84"/>
      <c r="L110" s="84"/>
      <c r="M110" s="84"/>
      <c r="N110" s="84"/>
      <c r="O110" s="84"/>
      <c r="P110" s="84"/>
      <c r="Q110" s="84"/>
      <c r="R110" s="84"/>
      <c r="S110" s="84"/>
      <c r="T110" s="84"/>
      <c r="U110" s="84"/>
      <c r="V110" s="84"/>
      <c r="W110" s="84"/>
      <c r="X110" s="84"/>
      <c r="Y110" s="84"/>
      <c r="Z110" s="84"/>
    </row>
    <row r="111" ht="15.75" customHeight="1">
      <c r="A111" s="84"/>
      <c r="B111" s="84"/>
      <c r="C111" s="84"/>
      <c r="D111" s="84"/>
      <c r="E111" s="84"/>
      <c r="F111" s="84"/>
      <c r="G111" s="84"/>
      <c r="H111" s="84"/>
      <c r="I111" s="84"/>
      <c r="J111" s="84"/>
      <c r="K111" s="84"/>
      <c r="L111" s="84"/>
      <c r="M111" s="84"/>
      <c r="N111" s="84"/>
      <c r="O111" s="84"/>
      <c r="P111" s="84"/>
      <c r="Q111" s="84"/>
      <c r="R111" s="84"/>
      <c r="S111" s="84"/>
      <c r="T111" s="84"/>
      <c r="U111" s="84"/>
      <c r="V111" s="84"/>
      <c r="W111" s="84"/>
      <c r="X111" s="84"/>
      <c r="Y111" s="84"/>
      <c r="Z111" s="84"/>
    </row>
    <row r="112" ht="15.75" customHeight="1">
      <c r="A112" s="84"/>
      <c r="B112" s="84"/>
      <c r="C112" s="84"/>
      <c r="D112" s="84"/>
      <c r="E112" s="84"/>
      <c r="F112" s="84"/>
      <c r="G112" s="84"/>
      <c r="H112" s="84"/>
      <c r="I112" s="84"/>
      <c r="J112" s="84"/>
      <c r="K112" s="84"/>
      <c r="L112" s="84"/>
      <c r="M112" s="84"/>
      <c r="N112" s="84"/>
      <c r="O112" s="84"/>
      <c r="P112" s="84"/>
      <c r="Q112" s="84"/>
      <c r="R112" s="84"/>
      <c r="S112" s="84"/>
      <c r="T112" s="84"/>
      <c r="U112" s="84"/>
      <c r="V112" s="84"/>
      <c r="W112" s="84"/>
      <c r="X112" s="84"/>
      <c r="Y112" s="84"/>
      <c r="Z112" s="84"/>
    </row>
    <row r="113" ht="15.75" customHeight="1">
      <c r="A113" s="84"/>
      <c r="B113" s="84"/>
      <c r="C113" s="84"/>
      <c r="D113" s="84"/>
      <c r="E113" s="84"/>
      <c r="F113" s="84"/>
      <c r="G113" s="84"/>
      <c r="H113" s="84"/>
      <c r="I113" s="84"/>
      <c r="J113" s="84"/>
      <c r="K113" s="84"/>
      <c r="L113" s="84"/>
      <c r="M113" s="84"/>
      <c r="N113" s="84"/>
      <c r="O113" s="84"/>
      <c r="P113" s="84"/>
      <c r="Q113" s="84"/>
      <c r="R113" s="84"/>
      <c r="S113" s="84"/>
      <c r="T113" s="84"/>
      <c r="U113" s="84"/>
      <c r="V113" s="84"/>
      <c r="W113" s="84"/>
      <c r="X113" s="84"/>
      <c r="Y113" s="84"/>
      <c r="Z113" s="84"/>
    </row>
    <row r="114" ht="15.75" customHeight="1">
      <c r="A114" s="84"/>
      <c r="B114" s="84"/>
      <c r="C114" s="84"/>
      <c r="D114" s="84"/>
      <c r="E114" s="84"/>
      <c r="F114" s="84"/>
      <c r="G114" s="84"/>
      <c r="H114" s="84"/>
      <c r="I114" s="84"/>
      <c r="J114" s="84"/>
      <c r="K114" s="84"/>
      <c r="L114" s="84"/>
      <c r="M114" s="84"/>
      <c r="N114" s="84"/>
      <c r="O114" s="84"/>
      <c r="P114" s="84"/>
      <c r="Q114" s="84"/>
      <c r="R114" s="84"/>
      <c r="S114" s="84"/>
      <c r="T114" s="84"/>
      <c r="U114" s="84"/>
      <c r="V114" s="84"/>
      <c r="W114" s="84"/>
      <c r="X114" s="84"/>
      <c r="Y114" s="84"/>
      <c r="Z114" s="84"/>
    </row>
    <row r="115" ht="15.75" customHeight="1">
      <c r="A115" s="84"/>
      <c r="B115" s="84"/>
      <c r="C115" s="84"/>
      <c r="D115" s="84"/>
      <c r="E115" s="84"/>
      <c r="F115" s="84"/>
      <c r="G115" s="84"/>
      <c r="H115" s="84"/>
      <c r="I115" s="84"/>
      <c r="J115" s="84"/>
      <c r="K115" s="84"/>
      <c r="L115" s="84"/>
      <c r="M115" s="84"/>
      <c r="N115" s="84"/>
      <c r="O115" s="84"/>
      <c r="P115" s="84"/>
      <c r="Q115" s="84"/>
      <c r="R115" s="84"/>
      <c r="S115" s="84"/>
      <c r="T115" s="84"/>
      <c r="U115" s="84"/>
      <c r="V115" s="84"/>
      <c r="W115" s="84"/>
      <c r="X115" s="84"/>
      <c r="Y115" s="84"/>
      <c r="Z115" s="84"/>
    </row>
    <row r="116" ht="15.75" customHeight="1">
      <c r="A116" s="84"/>
      <c r="B116" s="84"/>
      <c r="C116" s="84"/>
      <c r="D116" s="84"/>
      <c r="E116" s="84"/>
      <c r="F116" s="84"/>
      <c r="G116" s="84"/>
      <c r="H116" s="84"/>
      <c r="I116" s="84"/>
      <c r="J116" s="84"/>
      <c r="K116" s="84"/>
      <c r="L116" s="84"/>
      <c r="M116" s="84"/>
      <c r="N116" s="84"/>
      <c r="O116" s="84"/>
      <c r="P116" s="84"/>
      <c r="Q116" s="84"/>
      <c r="R116" s="84"/>
      <c r="S116" s="84"/>
      <c r="T116" s="84"/>
      <c r="U116" s="84"/>
      <c r="V116" s="84"/>
      <c r="W116" s="84"/>
      <c r="X116" s="84"/>
      <c r="Y116" s="84"/>
      <c r="Z116" s="84"/>
    </row>
    <row r="117" ht="15.75" customHeight="1">
      <c r="A117" s="84"/>
      <c r="B117" s="84"/>
      <c r="C117" s="84"/>
      <c r="D117" s="84"/>
      <c r="E117" s="84"/>
      <c r="F117" s="84"/>
      <c r="G117" s="84"/>
      <c r="H117" s="84"/>
      <c r="I117" s="84"/>
      <c r="J117" s="84"/>
      <c r="K117" s="84"/>
      <c r="L117" s="84"/>
      <c r="M117" s="84"/>
      <c r="N117" s="84"/>
      <c r="O117" s="84"/>
      <c r="P117" s="84"/>
      <c r="Q117" s="84"/>
      <c r="R117" s="84"/>
      <c r="S117" s="84"/>
      <c r="T117" s="84"/>
      <c r="U117" s="84"/>
      <c r="V117" s="84"/>
      <c r="W117" s="84"/>
      <c r="X117" s="84"/>
      <c r="Y117" s="84"/>
      <c r="Z117" s="84"/>
    </row>
    <row r="118" ht="15.75" customHeight="1">
      <c r="A118" s="84"/>
      <c r="B118" s="84"/>
      <c r="C118" s="84"/>
      <c r="D118" s="84"/>
      <c r="E118" s="84"/>
      <c r="F118" s="84"/>
      <c r="G118" s="84"/>
      <c r="H118" s="84"/>
      <c r="I118" s="84"/>
      <c r="J118" s="84"/>
      <c r="K118" s="84"/>
      <c r="L118" s="84"/>
      <c r="M118" s="84"/>
      <c r="N118" s="84"/>
      <c r="O118" s="84"/>
      <c r="P118" s="84"/>
      <c r="Q118" s="84"/>
      <c r="R118" s="84"/>
      <c r="S118" s="84"/>
      <c r="T118" s="84"/>
      <c r="U118" s="84"/>
      <c r="V118" s="84"/>
      <c r="W118" s="84"/>
      <c r="X118" s="84"/>
      <c r="Y118" s="84"/>
      <c r="Z118" s="84"/>
    </row>
    <row r="119" ht="15.75" customHeight="1">
      <c r="A119" s="84"/>
      <c r="B119" s="84"/>
      <c r="C119" s="84"/>
      <c r="D119" s="84"/>
      <c r="E119" s="84"/>
      <c r="F119" s="84"/>
      <c r="G119" s="84"/>
      <c r="H119" s="84"/>
      <c r="I119" s="84"/>
      <c r="J119" s="84"/>
      <c r="K119" s="84"/>
      <c r="L119" s="84"/>
      <c r="M119" s="84"/>
      <c r="N119" s="84"/>
      <c r="O119" s="84"/>
      <c r="P119" s="84"/>
      <c r="Q119" s="84"/>
      <c r="R119" s="84"/>
      <c r="S119" s="84"/>
      <c r="T119" s="84"/>
      <c r="U119" s="84"/>
      <c r="V119" s="84"/>
      <c r="W119" s="84"/>
      <c r="X119" s="84"/>
      <c r="Y119" s="84"/>
      <c r="Z119" s="84"/>
    </row>
    <row r="120" ht="15.75" customHeight="1">
      <c r="A120" s="84"/>
      <c r="B120" s="84"/>
      <c r="C120" s="84"/>
      <c r="D120" s="84"/>
      <c r="E120" s="84"/>
      <c r="F120" s="84"/>
      <c r="G120" s="84"/>
      <c r="H120" s="84"/>
      <c r="I120" s="84"/>
      <c r="J120" s="84"/>
      <c r="K120" s="84"/>
      <c r="L120" s="84"/>
      <c r="M120" s="84"/>
      <c r="N120" s="84"/>
      <c r="O120" s="84"/>
      <c r="P120" s="84"/>
      <c r="Q120" s="84"/>
      <c r="R120" s="84"/>
      <c r="S120" s="84"/>
      <c r="T120" s="84"/>
      <c r="U120" s="84"/>
      <c r="V120" s="84"/>
      <c r="W120" s="84"/>
      <c r="X120" s="84"/>
      <c r="Y120" s="84"/>
      <c r="Z120" s="84"/>
    </row>
    <row r="121" ht="15.75" customHeight="1">
      <c r="A121" s="84"/>
      <c r="B121" s="84"/>
      <c r="C121" s="84"/>
      <c r="D121" s="84"/>
      <c r="E121" s="84"/>
      <c r="F121" s="84"/>
      <c r="G121" s="84"/>
      <c r="H121" s="84"/>
      <c r="I121" s="84"/>
      <c r="J121" s="84"/>
      <c r="K121" s="84"/>
      <c r="L121" s="84"/>
      <c r="M121" s="84"/>
      <c r="N121" s="84"/>
      <c r="O121" s="84"/>
      <c r="P121" s="84"/>
      <c r="Q121" s="84"/>
      <c r="R121" s="84"/>
      <c r="S121" s="84"/>
      <c r="T121" s="84"/>
      <c r="U121" s="84"/>
      <c r="V121" s="84"/>
      <c r="W121" s="84"/>
      <c r="X121" s="84"/>
      <c r="Y121" s="84"/>
      <c r="Z121" s="84"/>
    </row>
    <row r="122" ht="15.75" customHeight="1">
      <c r="A122" s="84"/>
      <c r="B122" s="84"/>
      <c r="C122" s="84"/>
      <c r="D122" s="84"/>
      <c r="E122" s="84"/>
      <c r="F122" s="84"/>
      <c r="G122" s="84"/>
      <c r="H122" s="84"/>
      <c r="I122" s="84"/>
      <c r="J122" s="84"/>
      <c r="K122" s="84"/>
      <c r="L122" s="84"/>
      <c r="M122" s="84"/>
      <c r="N122" s="84"/>
      <c r="O122" s="84"/>
      <c r="P122" s="84"/>
      <c r="Q122" s="84"/>
      <c r="R122" s="84"/>
      <c r="S122" s="84"/>
      <c r="T122" s="84"/>
      <c r="U122" s="84"/>
      <c r="V122" s="84"/>
      <c r="W122" s="84"/>
      <c r="X122" s="84"/>
      <c r="Y122" s="84"/>
      <c r="Z122" s="84"/>
    </row>
    <row r="123" ht="15.75" customHeight="1">
      <c r="A123" s="84"/>
      <c r="B123" s="84"/>
      <c r="C123" s="84"/>
      <c r="D123" s="84"/>
      <c r="E123" s="84"/>
      <c r="F123" s="84"/>
      <c r="G123" s="84"/>
      <c r="H123" s="84"/>
      <c r="I123" s="84"/>
      <c r="J123" s="84"/>
      <c r="K123" s="84"/>
      <c r="L123" s="84"/>
      <c r="M123" s="84"/>
      <c r="N123" s="84"/>
      <c r="O123" s="84"/>
      <c r="P123" s="84"/>
      <c r="Q123" s="84"/>
      <c r="R123" s="84"/>
      <c r="S123" s="84"/>
      <c r="T123" s="84"/>
      <c r="U123" s="84"/>
      <c r="V123" s="84"/>
      <c r="W123" s="84"/>
      <c r="X123" s="84"/>
      <c r="Y123" s="84"/>
      <c r="Z123" s="84"/>
    </row>
    <row r="124" ht="15.75" customHeight="1">
      <c r="A124" s="84"/>
      <c r="B124" s="84"/>
      <c r="C124" s="84"/>
      <c r="D124" s="84"/>
      <c r="E124" s="84"/>
      <c r="F124" s="84"/>
      <c r="G124" s="84"/>
      <c r="H124" s="84"/>
      <c r="I124" s="84"/>
      <c r="J124" s="84"/>
      <c r="K124" s="84"/>
      <c r="L124" s="84"/>
      <c r="M124" s="84"/>
      <c r="N124" s="84"/>
      <c r="O124" s="84"/>
      <c r="P124" s="84"/>
      <c r="Q124" s="84"/>
      <c r="R124" s="84"/>
      <c r="S124" s="84"/>
      <c r="T124" s="84"/>
      <c r="U124" s="84"/>
      <c r="V124" s="84"/>
      <c r="W124" s="84"/>
      <c r="X124" s="84"/>
      <c r="Y124" s="84"/>
      <c r="Z124" s="84"/>
    </row>
    <row r="125" ht="15.75" customHeight="1">
      <c r="A125" s="84"/>
      <c r="B125" s="84"/>
      <c r="C125" s="84"/>
      <c r="D125" s="84"/>
      <c r="E125" s="84"/>
      <c r="F125" s="84"/>
      <c r="G125" s="84"/>
      <c r="H125" s="84"/>
      <c r="I125" s="84"/>
      <c r="J125" s="84"/>
      <c r="K125" s="84"/>
      <c r="L125" s="84"/>
      <c r="M125" s="84"/>
      <c r="N125" s="84"/>
      <c r="O125" s="84"/>
      <c r="P125" s="84"/>
      <c r="Q125" s="84"/>
      <c r="R125" s="84"/>
      <c r="S125" s="84"/>
      <c r="T125" s="84"/>
      <c r="U125" s="84"/>
      <c r="V125" s="84"/>
      <c r="W125" s="84"/>
      <c r="X125" s="84"/>
      <c r="Y125" s="84"/>
      <c r="Z125" s="84"/>
    </row>
    <row r="126" ht="15.75" customHeight="1">
      <c r="A126" s="84"/>
      <c r="B126" s="84"/>
      <c r="C126" s="84"/>
      <c r="D126" s="84"/>
      <c r="E126" s="84"/>
      <c r="F126" s="84"/>
      <c r="G126" s="84"/>
      <c r="H126" s="84"/>
      <c r="I126" s="84"/>
      <c r="J126" s="84"/>
      <c r="K126" s="84"/>
      <c r="L126" s="84"/>
      <c r="M126" s="84"/>
      <c r="N126" s="84"/>
      <c r="O126" s="84"/>
      <c r="P126" s="84"/>
      <c r="Q126" s="84"/>
      <c r="R126" s="84"/>
      <c r="S126" s="84"/>
      <c r="T126" s="84"/>
      <c r="U126" s="84"/>
      <c r="V126" s="84"/>
      <c r="W126" s="84"/>
      <c r="X126" s="84"/>
      <c r="Y126" s="84"/>
      <c r="Z126" s="84"/>
    </row>
    <row r="127" ht="15.75" customHeight="1">
      <c r="A127" s="84"/>
      <c r="B127" s="84"/>
      <c r="C127" s="84"/>
      <c r="D127" s="84"/>
      <c r="E127" s="84"/>
      <c r="F127" s="84"/>
      <c r="G127" s="84"/>
      <c r="H127" s="84"/>
      <c r="I127" s="84"/>
      <c r="J127" s="84"/>
      <c r="K127" s="84"/>
      <c r="L127" s="84"/>
      <c r="M127" s="84"/>
      <c r="N127" s="84"/>
      <c r="O127" s="84"/>
      <c r="P127" s="84"/>
      <c r="Q127" s="84"/>
      <c r="R127" s="84"/>
      <c r="S127" s="84"/>
      <c r="T127" s="84"/>
      <c r="U127" s="84"/>
      <c r="V127" s="84"/>
      <c r="W127" s="84"/>
      <c r="X127" s="84"/>
      <c r="Y127" s="84"/>
      <c r="Z127" s="84"/>
    </row>
    <row r="128" ht="15.75" customHeight="1">
      <c r="A128" s="84"/>
      <c r="B128" s="84"/>
      <c r="C128" s="84"/>
      <c r="D128" s="84"/>
      <c r="E128" s="84"/>
      <c r="F128" s="84"/>
      <c r="G128" s="84"/>
      <c r="H128" s="84"/>
      <c r="I128" s="84"/>
      <c r="J128" s="84"/>
      <c r="K128" s="84"/>
      <c r="L128" s="84"/>
      <c r="M128" s="84"/>
      <c r="N128" s="84"/>
      <c r="O128" s="84"/>
      <c r="P128" s="84"/>
      <c r="Q128" s="84"/>
      <c r="R128" s="84"/>
      <c r="S128" s="84"/>
      <c r="T128" s="84"/>
      <c r="U128" s="84"/>
      <c r="V128" s="84"/>
      <c r="W128" s="84"/>
      <c r="X128" s="84"/>
      <c r="Y128" s="84"/>
      <c r="Z128" s="84"/>
    </row>
    <row r="129" ht="15.75" customHeight="1">
      <c r="A129" s="84"/>
      <c r="B129" s="84"/>
      <c r="C129" s="84"/>
      <c r="D129" s="84"/>
      <c r="E129" s="84"/>
      <c r="F129" s="84"/>
      <c r="G129" s="84"/>
      <c r="H129" s="84"/>
      <c r="I129" s="84"/>
      <c r="J129" s="84"/>
      <c r="K129" s="84"/>
      <c r="L129" s="84"/>
      <c r="M129" s="84"/>
      <c r="N129" s="84"/>
      <c r="O129" s="84"/>
      <c r="P129" s="84"/>
      <c r="Q129" s="84"/>
      <c r="R129" s="84"/>
      <c r="S129" s="84"/>
      <c r="T129" s="84"/>
      <c r="U129" s="84"/>
      <c r="V129" s="84"/>
      <c r="W129" s="84"/>
      <c r="X129" s="84"/>
      <c r="Y129" s="84"/>
      <c r="Z129" s="84"/>
    </row>
    <row r="130" ht="15.75" customHeight="1">
      <c r="A130" s="84"/>
      <c r="B130" s="84"/>
      <c r="C130" s="84"/>
      <c r="D130" s="84"/>
      <c r="E130" s="84"/>
      <c r="F130" s="84"/>
      <c r="G130" s="84"/>
      <c r="H130" s="84"/>
      <c r="I130" s="84"/>
      <c r="J130" s="84"/>
      <c r="K130" s="84"/>
      <c r="L130" s="84"/>
      <c r="M130" s="84"/>
      <c r="N130" s="84"/>
      <c r="O130" s="84"/>
      <c r="P130" s="84"/>
      <c r="Q130" s="84"/>
      <c r="R130" s="84"/>
      <c r="S130" s="84"/>
      <c r="T130" s="84"/>
      <c r="U130" s="84"/>
      <c r="V130" s="84"/>
      <c r="W130" s="84"/>
      <c r="X130" s="84"/>
      <c r="Y130" s="84"/>
      <c r="Z130" s="84"/>
    </row>
    <row r="131" ht="15.75" customHeight="1">
      <c r="A131" s="84"/>
      <c r="B131" s="84"/>
      <c r="C131" s="84"/>
      <c r="D131" s="84"/>
      <c r="E131" s="84"/>
      <c r="F131" s="84"/>
      <c r="G131" s="84"/>
      <c r="H131" s="84"/>
      <c r="I131" s="84"/>
      <c r="J131" s="84"/>
      <c r="K131" s="84"/>
      <c r="L131" s="84"/>
      <c r="M131" s="84"/>
      <c r="N131" s="84"/>
      <c r="O131" s="84"/>
      <c r="P131" s="84"/>
      <c r="Q131" s="84"/>
      <c r="R131" s="84"/>
      <c r="S131" s="84"/>
      <c r="T131" s="84"/>
      <c r="U131" s="84"/>
      <c r="V131" s="84"/>
      <c r="W131" s="84"/>
      <c r="X131" s="84"/>
      <c r="Y131" s="84"/>
      <c r="Z131" s="84"/>
    </row>
    <row r="132" ht="15.75" customHeight="1">
      <c r="A132" s="84"/>
      <c r="B132" s="84"/>
      <c r="C132" s="84"/>
      <c r="D132" s="84"/>
      <c r="E132" s="84"/>
      <c r="F132" s="84"/>
      <c r="G132" s="84"/>
      <c r="H132" s="84"/>
      <c r="I132" s="84"/>
      <c r="J132" s="84"/>
      <c r="K132" s="84"/>
      <c r="L132" s="84"/>
      <c r="M132" s="84"/>
      <c r="N132" s="84"/>
      <c r="O132" s="84"/>
      <c r="P132" s="84"/>
      <c r="Q132" s="84"/>
      <c r="R132" s="84"/>
      <c r="S132" s="84"/>
      <c r="T132" s="84"/>
      <c r="U132" s="84"/>
      <c r="V132" s="84"/>
      <c r="W132" s="84"/>
      <c r="X132" s="84"/>
      <c r="Y132" s="84"/>
      <c r="Z132" s="84"/>
    </row>
    <row r="133" ht="15.75" customHeight="1">
      <c r="A133" s="84"/>
      <c r="B133" s="84"/>
      <c r="C133" s="84"/>
      <c r="D133" s="84"/>
      <c r="E133" s="84"/>
      <c r="F133" s="84"/>
      <c r="G133" s="84"/>
      <c r="H133" s="84"/>
      <c r="I133" s="84"/>
      <c r="J133" s="84"/>
      <c r="K133" s="84"/>
      <c r="L133" s="84"/>
      <c r="M133" s="84"/>
      <c r="N133" s="84"/>
      <c r="O133" s="84"/>
      <c r="P133" s="84"/>
      <c r="Q133" s="84"/>
      <c r="R133" s="84"/>
      <c r="S133" s="84"/>
      <c r="T133" s="84"/>
      <c r="U133" s="84"/>
      <c r="V133" s="84"/>
      <c r="W133" s="84"/>
      <c r="X133" s="84"/>
      <c r="Y133" s="84"/>
      <c r="Z133" s="84"/>
    </row>
    <row r="134" ht="15.75" customHeight="1">
      <c r="A134" s="84"/>
      <c r="B134" s="84"/>
      <c r="C134" s="84"/>
      <c r="D134" s="84"/>
      <c r="E134" s="84"/>
      <c r="F134" s="84"/>
      <c r="G134" s="84"/>
      <c r="H134" s="84"/>
      <c r="I134" s="84"/>
      <c r="J134" s="84"/>
      <c r="K134" s="84"/>
      <c r="L134" s="84"/>
      <c r="M134" s="84"/>
      <c r="N134" s="84"/>
      <c r="O134" s="84"/>
      <c r="P134" s="84"/>
      <c r="Q134" s="84"/>
      <c r="R134" s="84"/>
      <c r="S134" s="84"/>
      <c r="T134" s="84"/>
      <c r="U134" s="84"/>
      <c r="V134" s="84"/>
      <c r="W134" s="84"/>
      <c r="X134" s="84"/>
      <c r="Y134" s="84"/>
      <c r="Z134" s="84"/>
    </row>
    <row r="135" ht="15.75" customHeight="1">
      <c r="A135" s="84"/>
      <c r="B135" s="84"/>
      <c r="C135" s="84"/>
      <c r="D135" s="84"/>
      <c r="E135" s="84"/>
      <c r="F135" s="84"/>
      <c r="G135" s="84"/>
      <c r="H135" s="84"/>
      <c r="I135" s="84"/>
      <c r="J135" s="84"/>
      <c r="K135" s="84"/>
      <c r="L135" s="84"/>
      <c r="M135" s="84"/>
      <c r="N135" s="84"/>
      <c r="O135" s="84"/>
      <c r="P135" s="84"/>
      <c r="Q135" s="84"/>
      <c r="R135" s="84"/>
      <c r="S135" s="84"/>
      <c r="T135" s="84"/>
      <c r="U135" s="84"/>
      <c r="V135" s="84"/>
      <c r="W135" s="84"/>
      <c r="X135" s="84"/>
      <c r="Y135" s="84"/>
      <c r="Z135" s="84"/>
    </row>
    <row r="136" ht="15.75" customHeight="1">
      <c r="A136" s="84"/>
      <c r="B136" s="84"/>
      <c r="C136" s="84"/>
      <c r="D136" s="84"/>
      <c r="E136" s="84"/>
      <c r="F136" s="84"/>
      <c r="G136" s="84"/>
      <c r="H136" s="84"/>
      <c r="I136" s="84"/>
      <c r="J136" s="84"/>
      <c r="K136" s="84"/>
      <c r="L136" s="84"/>
      <c r="M136" s="84"/>
      <c r="N136" s="84"/>
      <c r="O136" s="84"/>
      <c r="P136" s="84"/>
      <c r="Q136" s="84"/>
      <c r="R136" s="84"/>
      <c r="S136" s="84"/>
      <c r="T136" s="84"/>
      <c r="U136" s="84"/>
      <c r="V136" s="84"/>
      <c r="W136" s="84"/>
      <c r="X136" s="84"/>
      <c r="Y136" s="84"/>
      <c r="Z136" s="84"/>
    </row>
    <row r="137" ht="15.75" customHeight="1">
      <c r="A137" s="84"/>
      <c r="B137" s="84"/>
      <c r="C137" s="84"/>
      <c r="D137" s="84"/>
      <c r="E137" s="84"/>
      <c r="F137" s="84"/>
      <c r="G137" s="84"/>
      <c r="H137" s="84"/>
      <c r="I137" s="84"/>
      <c r="J137" s="84"/>
      <c r="K137" s="84"/>
      <c r="L137" s="84"/>
      <c r="M137" s="84"/>
      <c r="N137" s="84"/>
      <c r="O137" s="84"/>
      <c r="P137" s="84"/>
      <c r="Q137" s="84"/>
      <c r="R137" s="84"/>
      <c r="S137" s="84"/>
      <c r="T137" s="84"/>
      <c r="U137" s="84"/>
      <c r="V137" s="84"/>
      <c r="W137" s="84"/>
      <c r="X137" s="84"/>
      <c r="Y137" s="84"/>
      <c r="Z137" s="84"/>
    </row>
    <row r="138" ht="15.75" customHeight="1">
      <c r="A138" s="84"/>
      <c r="B138" s="84"/>
      <c r="C138" s="84"/>
      <c r="D138" s="84"/>
      <c r="E138" s="84"/>
      <c r="F138" s="84"/>
      <c r="G138" s="84"/>
      <c r="H138" s="84"/>
      <c r="I138" s="84"/>
      <c r="J138" s="84"/>
      <c r="K138" s="84"/>
      <c r="L138" s="84"/>
      <c r="M138" s="84"/>
      <c r="N138" s="84"/>
      <c r="O138" s="84"/>
      <c r="P138" s="84"/>
      <c r="Q138" s="84"/>
      <c r="R138" s="84"/>
      <c r="S138" s="84"/>
      <c r="T138" s="84"/>
      <c r="U138" s="84"/>
      <c r="V138" s="84"/>
      <c r="W138" s="84"/>
      <c r="X138" s="84"/>
      <c r="Y138" s="84"/>
      <c r="Z138" s="84"/>
    </row>
    <row r="139" ht="15.75" customHeight="1">
      <c r="A139" s="84"/>
      <c r="B139" s="84"/>
      <c r="C139" s="84"/>
      <c r="D139" s="84"/>
      <c r="E139" s="84"/>
      <c r="F139" s="84"/>
      <c r="G139" s="84"/>
      <c r="H139" s="84"/>
      <c r="I139" s="84"/>
      <c r="J139" s="84"/>
      <c r="K139" s="84"/>
      <c r="L139" s="84"/>
      <c r="M139" s="84"/>
      <c r="N139" s="84"/>
      <c r="O139" s="84"/>
      <c r="P139" s="84"/>
      <c r="Q139" s="84"/>
      <c r="R139" s="84"/>
      <c r="S139" s="84"/>
      <c r="T139" s="84"/>
      <c r="U139" s="84"/>
      <c r="V139" s="84"/>
      <c r="W139" s="84"/>
      <c r="X139" s="84"/>
      <c r="Y139" s="84"/>
      <c r="Z139" s="84"/>
    </row>
    <row r="140" ht="15.75" customHeight="1">
      <c r="A140" s="84"/>
      <c r="B140" s="84"/>
      <c r="C140" s="84"/>
      <c r="D140" s="84"/>
      <c r="E140" s="84"/>
      <c r="F140" s="84"/>
      <c r="G140" s="84"/>
      <c r="H140" s="84"/>
      <c r="I140" s="84"/>
      <c r="J140" s="84"/>
      <c r="K140" s="84"/>
      <c r="L140" s="84"/>
      <c r="M140" s="84"/>
      <c r="N140" s="84"/>
      <c r="O140" s="84"/>
      <c r="P140" s="84"/>
      <c r="Q140" s="84"/>
      <c r="R140" s="84"/>
      <c r="S140" s="84"/>
      <c r="T140" s="84"/>
      <c r="U140" s="84"/>
      <c r="V140" s="84"/>
      <c r="W140" s="84"/>
      <c r="X140" s="84"/>
      <c r="Y140" s="84"/>
      <c r="Z140" s="84"/>
    </row>
    <row r="141" ht="15.75" customHeight="1">
      <c r="A141" s="84"/>
      <c r="B141" s="84"/>
      <c r="C141" s="84"/>
      <c r="D141" s="84"/>
      <c r="E141" s="84"/>
      <c r="F141" s="84"/>
      <c r="G141" s="84"/>
      <c r="H141" s="84"/>
      <c r="I141" s="84"/>
      <c r="J141" s="84"/>
      <c r="K141" s="84"/>
      <c r="L141" s="84"/>
      <c r="M141" s="84"/>
      <c r="N141" s="84"/>
      <c r="O141" s="84"/>
      <c r="P141" s="84"/>
      <c r="Q141" s="84"/>
      <c r="R141" s="84"/>
      <c r="S141" s="84"/>
      <c r="T141" s="84"/>
      <c r="U141" s="84"/>
      <c r="V141" s="84"/>
      <c r="W141" s="84"/>
      <c r="X141" s="84"/>
      <c r="Y141" s="84"/>
      <c r="Z141" s="84"/>
    </row>
    <row r="142" ht="15.75" customHeight="1">
      <c r="A142" s="84"/>
      <c r="B142" s="84"/>
      <c r="C142" s="84"/>
      <c r="D142" s="84"/>
      <c r="E142" s="84"/>
      <c r="F142" s="84"/>
      <c r="G142" s="84"/>
      <c r="H142" s="84"/>
      <c r="I142" s="84"/>
      <c r="J142" s="84"/>
      <c r="K142" s="84"/>
      <c r="L142" s="84"/>
      <c r="M142" s="84"/>
      <c r="N142" s="84"/>
      <c r="O142" s="84"/>
      <c r="P142" s="84"/>
      <c r="Q142" s="84"/>
      <c r="R142" s="84"/>
      <c r="S142" s="84"/>
      <c r="T142" s="84"/>
      <c r="U142" s="84"/>
      <c r="V142" s="84"/>
      <c r="W142" s="84"/>
      <c r="X142" s="84"/>
      <c r="Y142" s="84"/>
      <c r="Z142" s="84"/>
    </row>
    <row r="143" ht="15.75" customHeight="1">
      <c r="A143" s="84"/>
      <c r="B143" s="84"/>
      <c r="C143" s="84"/>
      <c r="D143" s="84"/>
      <c r="E143" s="84"/>
      <c r="F143" s="84"/>
      <c r="G143" s="84"/>
      <c r="H143" s="84"/>
      <c r="I143" s="84"/>
      <c r="J143" s="84"/>
      <c r="K143" s="84"/>
      <c r="L143" s="84"/>
      <c r="M143" s="84"/>
      <c r="N143" s="84"/>
      <c r="O143" s="84"/>
      <c r="P143" s="84"/>
      <c r="Q143" s="84"/>
      <c r="R143" s="84"/>
      <c r="S143" s="84"/>
      <c r="T143" s="84"/>
      <c r="U143" s="84"/>
      <c r="V143" s="84"/>
      <c r="W143" s="84"/>
      <c r="X143" s="84"/>
      <c r="Y143" s="84"/>
      <c r="Z143" s="84"/>
    </row>
    <row r="144" ht="15.75" customHeight="1">
      <c r="A144" s="84"/>
      <c r="B144" s="84"/>
      <c r="C144" s="84"/>
      <c r="D144" s="84"/>
      <c r="E144" s="84"/>
      <c r="F144" s="84"/>
      <c r="G144" s="84"/>
      <c r="H144" s="84"/>
      <c r="I144" s="84"/>
      <c r="J144" s="84"/>
      <c r="K144" s="84"/>
      <c r="L144" s="84"/>
      <c r="M144" s="84"/>
      <c r="N144" s="84"/>
      <c r="O144" s="84"/>
      <c r="P144" s="84"/>
      <c r="Q144" s="84"/>
      <c r="R144" s="84"/>
      <c r="S144" s="84"/>
      <c r="T144" s="84"/>
      <c r="U144" s="84"/>
      <c r="V144" s="84"/>
      <c r="W144" s="84"/>
      <c r="X144" s="84"/>
      <c r="Y144" s="84"/>
      <c r="Z144" s="84"/>
    </row>
    <row r="145" ht="15.75" customHeight="1">
      <c r="A145" s="84"/>
      <c r="B145" s="84"/>
      <c r="C145" s="84"/>
      <c r="D145" s="84"/>
      <c r="E145" s="84"/>
      <c r="F145" s="84"/>
      <c r="G145" s="84"/>
      <c r="H145" s="84"/>
      <c r="I145" s="84"/>
      <c r="J145" s="84"/>
      <c r="K145" s="84"/>
      <c r="L145" s="84"/>
      <c r="M145" s="84"/>
      <c r="N145" s="84"/>
      <c r="O145" s="84"/>
      <c r="P145" s="84"/>
      <c r="Q145" s="84"/>
      <c r="R145" s="84"/>
      <c r="S145" s="84"/>
      <c r="T145" s="84"/>
      <c r="U145" s="84"/>
      <c r="V145" s="84"/>
      <c r="W145" s="84"/>
      <c r="X145" s="84"/>
      <c r="Y145" s="84"/>
      <c r="Z145" s="84"/>
    </row>
    <row r="146" ht="15.75" customHeight="1">
      <c r="A146" s="84"/>
      <c r="B146" s="84"/>
      <c r="C146" s="84"/>
      <c r="D146" s="84"/>
      <c r="E146" s="84"/>
      <c r="F146" s="84"/>
      <c r="G146" s="84"/>
      <c r="H146" s="84"/>
      <c r="I146" s="84"/>
      <c r="J146" s="84"/>
      <c r="K146" s="84"/>
      <c r="L146" s="84"/>
      <c r="M146" s="84"/>
      <c r="N146" s="84"/>
      <c r="O146" s="84"/>
      <c r="P146" s="84"/>
      <c r="Q146" s="84"/>
      <c r="R146" s="84"/>
      <c r="S146" s="84"/>
      <c r="T146" s="84"/>
      <c r="U146" s="84"/>
      <c r="V146" s="84"/>
      <c r="W146" s="84"/>
      <c r="X146" s="84"/>
      <c r="Y146" s="84"/>
      <c r="Z146" s="84"/>
    </row>
    <row r="147" ht="15.75" customHeight="1">
      <c r="A147" s="84"/>
      <c r="B147" s="84"/>
      <c r="C147" s="84"/>
      <c r="D147" s="84"/>
      <c r="E147" s="84"/>
      <c r="F147" s="84"/>
      <c r="G147" s="84"/>
      <c r="H147" s="84"/>
      <c r="I147" s="84"/>
      <c r="J147" s="84"/>
      <c r="K147" s="84"/>
      <c r="L147" s="84"/>
      <c r="M147" s="84"/>
      <c r="N147" s="84"/>
      <c r="O147" s="84"/>
      <c r="P147" s="84"/>
      <c r="Q147" s="84"/>
      <c r="R147" s="84"/>
      <c r="S147" s="84"/>
      <c r="T147" s="84"/>
      <c r="U147" s="84"/>
      <c r="V147" s="84"/>
      <c r="W147" s="84"/>
      <c r="X147" s="84"/>
      <c r="Y147" s="84"/>
      <c r="Z147" s="84"/>
    </row>
    <row r="148" ht="15.75" customHeight="1">
      <c r="A148" s="84"/>
      <c r="B148" s="84"/>
      <c r="C148" s="84"/>
      <c r="D148" s="84"/>
      <c r="E148" s="84"/>
      <c r="F148" s="84"/>
      <c r="G148" s="84"/>
      <c r="H148" s="84"/>
      <c r="I148" s="84"/>
      <c r="J148" s="84"/>
      <c r="K148" s="84"/>
      <c r="L148" s="84"/>
      <c r="M148" s="84"/>
      <c r="N148" s="84"/>
      <c r="O148" s="84"/>
      <c r="P148" s="84"/>
      <c r="Q148" s="84"/>
      <c r="R148" s="84"/>
      <c r="S148" s="84"/>
      <c r="T148" s="84"/>
      <c r="U148" s="84"/>
      <c r="V148" s="84"/>
      <c r="W148" s="84"/>
      <c r="X148" s="84"/>
      <c r="Y148" s="84"/>
      <c r="Z148" s="84"/>
    </row>
    <row r="149" ht="15.75" customHeight="1">
      <c r="A149" s="84"/>
      <c r="B149" s="84"/>
      <c r="C149" s="84"/>
      <c r="D149" s="84"/>
      <c r="E149" s="84"/>
      <c r="F149" s="84"/>
      <c r="G149" s="84"/>
      <c r="H149" s="84"/>
      <c r="I149" s="84"/>
      <c r="J149" s="84"/>
      <c r="K149" s="84"/>
      <c r="L149" s="84"/>
      <c r="M149" s="84"/>
      <c r="N149" s="84"/>
      <c r="O149" s="84"/>
      <c r="P149" s="84"/>
      <c r="Q149" s="84"/>
      <c r="R149" s="84"/>
      <c r="S149" s="84"/>
      <c r="T149" s="84"/>
      <c r="U149" s="84"/>
      <c r="V149" s="84"/>
      <c r="W149" s="84"/>
      <c r="X149" s="84"/>
      <c r="Y149" s="84"/>
      <c r="Z149" s="84"/>
    </row>
    <row r="150" ht="15.75" customHeight="1">
      <c r="A150" s="84"/>
      <c r="B150" s="84"/>
      <c r="C150" s="84"/>
      <c r="D150" s="84"/>
      <c r="E150" s="84"/>
      <c r="F150" s="84"/>
      <c r="G150" s="84"/>
      <c r="H150" s="84"/>
      <c r="I150" s="84"/>
      <c r="J150" s="84"/>
      <c r="K150" s="84"/>
      <c r="L150" s="84"/>
      <c r="M150" s="84"/>
      <c r="N150" s="84"/>
      <c r="O150" s="84"/>
      <c r="P150" s="84"/>
      <c r="Q150" s="84"/>
      <c r="R150" s="84"/>
      <c r="S150" s="84"/>
      <c r="T150" s="84"/>
      <c r="U150" s="84"/>
      <c r="V150" s="84"/>
      <c r="W150" s="84"/>
      <c r="X150" s="84"/>
      <c r="Y150" s="84"/>
      <c r="Z150" s="84"/>
    </row>
    <row r="151" ht="15.75" customHeight="1">
      <c r="A151" s="84"/>
      <c r="B151" s="84"/>
      <c r="C151" s="84"/>
      <c r="D151" s="84"/>
      <c r="E151" s="84"/>
      <c r="F151" s="84"/>
      <c r="G151" s="84"/>
      <c r="H151" s="84"/>
      <c r="I151" s="84"/>
      <c r="J151" s="84"/>
      <c r="K151" s="84"/>
      <c r="L151" s="84"/>
      <c r="M151" s="84"/>
      <c r="N151" s="84"/>
      <c r="O151" s="84"/>
      <c r="P151" s="84"/>
      <c r="Q151" s="84"/>
      <c r="R151" s="84"/>
      <c r="S151" s="84"/>
      <c r="T151" s="84"/>
      <c r="U151" s="84"/>
      <c r="V151" s="84"/>
      <c r="W151" s="84"/>
      <c r="X151" s="84"/>
      <c r="Y151" s="84"/>
      <c r="Z151" s="84"/>
    </row>
    <row r="152" ht="15.75" customHeight="1">
      <c r="A152" s="84"/>
      <c r="B152" s="84"/>
      <c r="C152" s="84"/>
      <c r="D152" s="84"/>
      <c r="E152" s="84"/>
      <c r="F152" s="84"/>
      <c r="G152" s="84"/>
      <c r="H152" s="84"/>
      <c r="I152" s="84"/>
      <c r="J152" s="84"/>
      <c r="K152" s="84"/>
      <c r="L152" s="84"/>
      <c r="M152" s="84"/>
      <c r="N152" s="84"/>
      <c r="O152" s="84"/>
      <c r="P152" s="84"/>
      <c r="Q152" s="84"/>
      <c r="R152" s="84"/>
      <c r="S152" s="84"/>
      <c r="T152" s="84"/>
      <c r="U152" s="84"/>
      <c r="V152" s="84"/>
      <c r="W152" s="84"/>
      <c r="X152" s="84"/>
      <c r="Y152" s="84"/>
      <c r="Z152" s="84"/>
    </row>
    <row r="153" ht="15.75" customHeight="1">
      <c r="A153" s="84"/>
      <c r="B153" s="84"/>
      <c r="C153" s="84"/>
      <c r="D153" s="84"/>
      <c r="E153" s="84"/>
      <c r="F153" s="84"/>
      <c r="G153" s="84"/>
      <c r="H153" s="84"/>
      <c r="I153" s="84"/>
      <c r="J153" s="84"/>
      <c r="K153" s="84"/>
      <c r="L153" s="84"/>
      <c r="M153" s="84"/>
      <c r="N153" s="84"/>
      <c r="O153" s="84"/>
      <c r="P153" s="84"/>
      <c r="Q153" s="84"/>
      <c r="R153" s="84"/>
      <c r="S153" s="84"/>
      <c r="T153" s="84"/>
      <c r="U153" s="84"/>
      <c r="V153" s="84"/>
      <c r="W153" s="84"/>
      <c r="X153" s="84"/>
      <c r="Y153" s="84"/>
      <c r="Z153" s="84"/>
    </row>
    <row r="154" ht="15.75" customHeight="1">
      <c r="A154" s="84"/>
      <c r="B154" s="84"/>
      <c r="C154" s="84"/>
      <c r="D154" s="84"/>
      <c r="E154" s="84"/>
      <c r="F154" s="84"/>
      <c r="G154" s="84"/>
      <c r="H154" s="84"/>
      <c r="I154" s="84"/>
      <c r="J154" s="84"/>
      <c r="K154" s="84"/>
      <c r="L154" s="84"/>
      <c r="M154" s="84"/>
      <c r="N154" s="84"/>
      <c r="O154" s="84"/>
      <c r="P154" s="84"/>
      <c r="Q154" s="84"/>
      <c r="R154" s="84"/>
      <c r="S154" s="84"/>
      <c r="T154" s="84"/>
      <c r="U154" s="84"/>
      <c r="V154" s="84"/>
      <c r="W154" s="84"/>
      <c r="X154" s="84"/>
      <c r="Y154" s="84"/>
      <c r="Z154" s="84"/>
    </row>
    <row r="155" ht="15.75" customHeight="1">
      <c r="A155" s="84"/>
      <c r="B155" s="84"/>
      <c r="C155" s="84"/>
      <c r="D155" s="84"/>
      <c r="E155" s="84"/>
      <c r="F155" s="84"/>
      <c r="G155" s="84"/>
      <c r="H155" s="84"/>
      <c r="I155" s="84"/>
      <c r="J155" s="84"/>
      <c r="K155" s="84"/>
      <c r="L155" s="84"/>
      <c r="M155" s="84"/>
      <c r="N155" s="84"/>
      <c r="O155" s="84"/>
      <c r="P155" s="84"/>
      <c r="Q155" s="84"/>
      <c r="R155" s="84"/>
      <c r="S155" s="84"/>
      <c r="T155" s="84"/>
      <c r="U155" s="84"/>
      <c r="V155" s="84"/>
      <c r="W155" s="84"/>
      <c r="X155" s="84"/>
      <c r="Y155" s="84"/>
      <c r="Z155" s="84"/>
    </row>
    <row r="156" ht="15.75" customHeight="1">
      <c r="A156" s="84"/>
      <c r="B156" s="84"/>
      <c r="C156" s="84"/>
      <c r="D156" s="84"/>
      <c r="E156" s="84"/>
      <c r="F156" s="84"/>
      <c r="G156" s="84"/>
      <c r="H156" s="84"/>
      <c r="I156" s="84"/>
      <c r="J156" s="84"/>
      <c r="K156" s="84"/>
      <c r="L156" s="84"/>
      <c r="M156" s="84"/>
      <c r="N156" s="84"/>
      <c r="O156" s="84"/>
      <c r="P156" s="84"/>
      <c r="Q156" s="84"/>
      <c r="R156" s="84"/>
      <c r="S156" s="84"/>
      <c r="T156" s="84"/>
      <c r="U156" s="84"/>
      <c r="V156" s="84"/>
      <c r="W156" s="84"/>
      <c r="X156" s="84"/>
      <c r="Y156" s="84"/>
      <c r="Z156" s="84"/>
    </row>
    <row r="157" ht="15.75" customHeight="1">
      <c r="A157" s="84"/>
      <c r="B157" s="84"/>
      <c r="C157" s="84"/>
      <c r="D157" s="84"/>
      <c r="E157" s="84"/>
      <c r="F157" s="84"/>
      <c r="G157" s="84"/>
      <c r="H157" s="84"/>
      <c r="I157" s="84"/>
      <c r="J157" s="84"/>
      <c r="K157" s="84"/>
      <c r="L157" s="84"/>
      <c r="M157" s="84"/>
      <c r="N157" s="84"/>
      <c r="O157" s="84"/>
      <c r="P157" s="84"/>
      <c r="Q157" s="84"/>
      <c r="R157" s="84"/>
      <c r="S157" s="84"/>
      <c r="T157" s="84"/>
      <c r="U157" s="84"/>
      <c r="V157" s="84"/>
      <c r="W157" s="84"/>
      <c r="X157" s="84"/>
      <c r="Y157" s="84"/>
      <c r="Z157" s="84"/>
    </row>
    <row r="158" ht="15.75" customHeight="1">
      <c r="A158" s="84"/>
      <c r="B158" s="84"/>
      <c r="C158" s="84"/>
      <c r="D158" s="84"/>
      <c r="E158" s="84"/>
      <c r="F158" s="84"/>
      <c r="G158" s="84"/>
      <c r="H158" s="84"/>
      <c r="I158" s="84"/>
      <c r="J158" s="84"/>
      <c r="K158" s="84"/>
      <c r="L158" s="84"/>
      <c r="M158" s="84"/>
      <c r="N158" s="84"/>
      <c r="O158" s="84"/>
      <c r="P158" s="84"/>
      <c r="Q158" s="84"/>
      <c r="R158" s="84"/>
      <c r="S158" s="84"/>
      <c r="T158" s="84"/>
      <c r="U158" s="84"/>
      <c r="V158" s="84"/>
      <c r="W158" s="84"/>
      <c r="X158" s="84"/>
      <c r="Y158" s="84"/>
      <c r="Z158" s="84"/>
    </row>
    <row r="159" ht="15.75" customHeight="1">
      <c r="A159" s="84"/>
      <c r="B159" s="84"/>
      <c r="C159" s="84"/>
      <c r="D159" s="84"/>
      <c r="E159" s="84"/>
      <c r="F159" s="84"/>
      <c r="G159" s="84"/>
      <c r="H159" s="84"/>
      <c r="I159" s="84"/>
      <c r="J159" s="84"/>
      <c r="K159" s="84"/>
      <c r="L159" s="84"/>
      <c r="M159" s="84"/>
      <c r="N159" s="84"/>
      <c r="O159" s="84"/>
      <c r="P159" s="84"/>
      <c r="Q159" s="84"/>
      <c r="R159" s="84"/>
      <c r="S159" s="84"/>
      <c r="T159" s="84"/>
      <c r="U159" s="84"/>
      <c r="V159" s="84"/>
      <c r="W159" s="84"/>
      <c r="X159" s="84"/>
      <c r="Y159" s="84"/>
      <c r="Z159" s="84"/>
    </row>
    <row r="160" ht="15.75" customHeight="1">
      <c r="A160" s="84"/>
      <c r="B160" s="84"/>
      <c r="C160" s="84"/>
      <c r="D160" s="84"/>
      <c r="E160" s="84"/>
      <c r="F160" s="84"/>
      <c r="G160" s="84"/>
      <c r="H160" s="84"/>
      <c r="I160" s="84"/>
      <c r="J160" s="84"/>
      <c r="K160" s="84"/>
      <c r="L160" s="84"/>
      <c r="M160" s="84"/>
      <c r="N160" s="84"/>
      <c r="O160" s="84"/>
      <c r="P160" s="84"/>
      <c r="Q160" s="84"/>
      <c r="R160" s="84"/>
      <c r="S160" s="84"/>
      <c r="T160" s="84"/>
      <c r="U160" s="84"/>
      <c r="V160" s="84"/>
      <c r="W160" s="84"/>
      <c r="X160" s="84"/>
      <c r="Y160" s="84"/>
      <c r="Z160" s="84"/>
    </row>
    <row r="161" ht="15.75" customHeight="1">
      <c r="A161" s="84"/>
      <c r="B161" s="84"/>
      <c r="C161" s="84"/>
      <c r="D161" s="84"/>
      <c r="E161" s="84"/>
      <c r="F161" s="84"/>
      <c r="G161" s="84"/>
      <c r="H161" s="84"/>
      <c r="I161" s="84"/>
      <c r="J161" s="84"/>
      <c r="K161" s="84"/>
      <c r="L161" s="84"/>
      <c r="M161" s="84"/>
      <c r="N161" s="84"/>
      <c r="O161" s="84"/>
      <c r="P161" s="84"/>
      <c r="Q161" s="84"/>
      <c r="R161" s="84"/>
      <c r="S161" s="84"/>
      <c r="T161" s="84"/>
      <c r="U161" s="84"/>
      <c r="V161" s="84"/>
      <c r="W161" s="84"/>
      <c r="X161" s="84"/>
      <c r="Y161" s="84"/>
      <c r="Z161" s="84"/>
    </row>
    <row r="162" ht="15.75" customHeight="1">
      <c r="A162" s="84"/>
      <c r="B162" s="84"/>
      <c r="C162" s="84"/>
      <c r="D162" s="84"/>
      <c r="E162" s="84"/>
      <c r="F162" s="84"/>
      <c r="G162" s="84"/>
      <c r="H162" s="84"/>
      <c r="I162" s="84"/>
      <c r="J162" s="84"/>
      <c r="K162" s="84"/>
      <c r="L162" s="84"/>
      <c r="M162" s="84"/>
      <c r="N162" s="84"/>
      <c r="O162" s="84"/>
      <c r="P162" s="84"/>
      <c r="Q162" s="84"/>
      <c r="R162" s="84"/>
      <c r="S162" s="84"/>
      <c r="T162" s="84"/>
      <c r="U162" s="84"/>
      <c r="V162" s="84"/>
      <c r="W162" s="84"/>
      <c r="X162" s="84"/>
      <c r="Y162" s="84"/>
      <c r="Z162" s="84"/>
    </row>
    <row r="163" ht="15.75" customHeight="1">
      <c r="A163" s="84"/>
      <c r="B163" s="84"/>
      <c r="C163" s="84"/>
      <c r="D163" s="84"/>
      <c r="E163" s="84"/>
      <c r="F163" s="84"/>
      <c r="G163" s="84"/>
      <c r="H163" s="84"/>
      <c r="I163" s="84"/>
      <c r="J163" s="84"/>
      <c r="K163" s="84"/>
      <c r="L163" s="84"/>
      <c r="M163" s="84"/>
      <c r="N163" s="84"/>
      <c r="O163" s="84"/>
      <c r="P163" s="84"/>
      <c r="Q163" s="84"/>
      <c r="R163" s="84"/>
      <c r="S163" s="84"/>
      <c r="T163" s="84"/>
      <c r="U163" s="84"/>
      <c r="V163" s="84"/>
      <c r="W163" s="84"/>
      <c r="X163" s="84"/>
      <c r="Y163" s="84"/>
      <c r="Z163" s="84"/>
    </row>
    <row r="164" ht="15.75" customHeight="1">
      <c r="A164" s="84"/>
      <c r="B164" s="84"/>
      <c r="C164" s="84"/>
      <c r="D164" s="84"/>
      <c r="E164" s="84"/>
      <c r="F164" s="84"/>
      <c r="G164" s="84"/>
      <c r="H164" s="84"/>
      <c r="I164" s="84"/>
      <c r="J164" s="84"/>
      <c r="K164" s="84"/>
      <c r="L164" s="84"/>
      <c r="M164" s="84"/>
      <c r="N164" s="84"/>
      <c r="O164" s="84"/>
      <c r="P164" s="84"/>
      <c r="Q164" s="84"/>
      <c r="R164" s="84"/>
      <c r="S164" s="84"/>
      <c r="T164" s="84"/>
      <c r="U164" s="84"/>
      <c r="V164" s="84"/>
      <c r="W164" s="84"/>
      <c r="X164" s="84"/>
      <c r="Y164" s="84"/>
      <c r="Z164" s="84"/>
    </row>
    <row r="165" ht="15.75" customHeight="1">
      <c r="A165" s="84"/>
      <c r="B165" s="84"/>
      <c r="C165" s="84"/>
      <c r="D165" s="84"/>
      <c r="E165" s="84"/>
      <c r="F165" s="84"/>
      <c r="G165" s="84"/>
      <c r="H165" s="84"/>
      <c r="I165" s="84"/>
      <c r="J165" s="84"/>
      <c r="K165" s="84"/>
      <c r="L165" s="84"/>
      <c r="M165" s="84"/>
      <c r="N165" s="84"/>
      <c r="O165" s="84"/>
      <c r="P165" s="84"/>
      <c r="Q165" s="84"/>
      <c r="R165" s="84"/>
      <c r="S165" s="84"/>
      <c r="T165" s="84"/>
      <c r="U165" s="84"/>
      <c r="V165" s="84"/>
      <c r="W165" s="84"/>
      <c r="X165" s="84"/>
      <c r="Y165" s="84"/>
      <c r="Z165" s="84"/>
    </row>
    <row r="166" ht="15.75" customHeight="1">
      <c r="A166" s="84"/>
      <c r="B166" s="84"/>
      <c r="C166" s="84"/>
      <c r="D166" s="84"/>
      <c r="E166" s="84"/>
      <c r="F166" s="84"/>
      <c r="G166" s="84"/>
      <c r="H166" s="84"/>
      <c r="I166" s="84"/>
      <c r="J166" s="84"/>
      <c r="K166" s="84"/>
      <c r="L166" s="84"/>
      <c r="M166" s="84"/>
      <c r="N166" s="84"/>
      <c r="O166" s="84"/>
      <c r="P166" s="84"/>
      <c r="Q166" s="84"/>
      <c r="R166" s="84"/>
      <c r="S166" s="84"/>
      <c r="T166" s="84"/>
      <c r="U166" s="84"/>
      <c r="V166" s="84"/>
      <c r="W166" s="84"/>
      <c r="X166" s="84"/>
      <c r="Y166" s="84"/>
      <c r="Z166" s="84"/>
    </row>
    <row r="167" ht="15.75" customHeight="1">
      <c r="A167" s="84"/>
      <c r="B167" s="84"/>
      <c r="C167" s="84"/>
      <c r="D167" s="84"/>
      <c r="E167" s="84"/>
      <c r="F167" s="84"/>
      <c r="G167" s="84"/>
      <c r="H167" s="84"/>
      <c r="I167" s="84"/>
      <c r="J167" s="84"/>
      <c r="K167" s="84"/>
      <c r="L167" s="84"/>
      <c r="M167" s="84"/>
      <c r="N167" s="84"/>
      <c r="O167" s="84"/>
      <c r="P167" s="84"/>
      <c r="Q167" s="84"/>
      <c r="R167" s="84"/>
      <c r="S167" s="84"/>
      <c r="T167" s="84"/>
      <c r="U167" s="84"/>
      <c r="V167" s="84"/>
      <c r="W167" s="84"/>
      <c r="X167" s="84"/>
      <c r="Y167" s="84"/>
      <c r="Z167" s="84"/>
    </row>
    <row r="168" ht="15.75" customHeight="1">
      <c r="A168" s="84"/>
      <c r="B168" s="84"/>
      <c r="C168" s="84"/>
      <c r="D168" s="84"/>
      <c r="E168" s="84"/>
      <c r="F168" s="84"/>
      <c r="G168" s="84"/>
      <c r="H168" s="84"/>
      <c r="I168" s="84"/>
      <c r="J168" s="84"/>
      <c r="K168" s="84"/>
      <c r="L168" s="84"/>
      <c r="M168" s="84"/>
      <c r="N168" s="84"/>
      <c r="O168" s="84"/>
      <c r="P168" s="84"/>
      <c r="Q168" s="84"/>
      <c r="R168" s="84"/>
      <c r="S168" s="84"/>
      <c r="T168" s="84"/>
      <c r="U168" s="84"/>
      <c r="V168" s="84"/>
      <c r="W168" s="84"/>
      <c r="X168" s="84"/>
      <c r="Y168" s="84"/>
      <c r="Z168" s="84"/>
    </row>
    <row r="169" ht="15.75" customHeight="1">
      <c r="A169" s="84"/>
      <c r="B169" s="84"/>
      <c r="C169" s="84"/>
      <c r="D169" s="84"/>
      <c r="E169" s="84"/>
      <c r="F169" s="84"/>
      <c r="G169" s="84"/>
      <c r="H169" s="84"/>
      <c r="I169" s="84"/>
      <c r="J169" s="84"/>
      <c r="K169" s="84"/>
      <c r="L169" s="84"/>
      <c r="M169" s="84"/>
      <c r="N169" s="84"/>
      <c r="O169" s="84"/>
      <c r="P169" s="84"/>
      <c r="Q169" s="84"/>
      <c r="R169" s="84"/>
      <c r="S169" s="84"/>
      <c r="T169" s="84"/>
      <c r="U169" s="84"/>
      <c r="V169" s="84"/>
      <c r="W169" s="84"/>
      <c r="X169" s="84"/>
      <c r="Y169" s="84"/>
      <c r="Z169" s="84"/>
    </row>
    <row r="170" ht="15.75" customHeight="1">
      <c r="A170" s="84"/>
      <c r="B170" s="84"/>
      <c r="C170" s="84"/>
      <c r="D170" s="84"/>
      <c r="E170" s="84"/>
      <c r="F170" s="84"/>
      <c r="G170" s="84"/>
      <c r="H170" s="84"/>
      <c r="I170" s="84"/>
      <c r="J170" s="84"/>
      <c r="K170" s="84"/>
      <c r="L170" s="84"/>
      <c r="M170" s="84"/>
      <c r="N170" s="84"/>
      <c r="O170" s="84"/>
      <c r="P170" s="84"/>
      <c r="Q170" s="84"/>
      <c r="R170" s="84"/>
      <c r="S170" s="84"/>
      <c r="T170" s="84"/>
      <c r="U170" s="84"/>
      <c r="V170" s="84"/>
      <c r="W170" s="84"/>
      <c r="X170" s="84"/>
      <c r="Y170" s="84"/>
      <c r="Z170" s="84"/>
    </row>
    <row r="171" ht="15.75" customHeight="1">
      <c r="A171" s="84"/>
      <c r="B171" s="84"/>
      <c r="C171" s="84"/>
      <c r="D171" s="84"/>
      <c r="E171" s="84"/>
      <c r="F171" s="84"/>
      <c r="G171" s="84"/>
      <c r="H171" s="84"/>
      <c r="I171" s="84"/>
      <c r="J171" s="84"/>
      <c r="K171" s="84"/>
      <c r="L171" s="84"/>
      <c r="M171" s="84"/>
      <c r="N171" s="84"/>
      <c r="O171" s="84"/>
      <c r="P171" s="84"/>
      <c r="Q171" s="84"/>
      <c r="R171" s="84"/>
      <c r="S171" s="84"/>
      <c r="T171" s="84"/>
      <c r="U171" s="84"/>
      <c r="V171" s="84"/>
      <c r="W171" s="84"/>
      <c r="X171" s="84"/>
      <c r="Y171" s="84"/>
      <c r="Z171" s="84"/>
    </row>
    <row r="172" ht="15.75" customHeight="1">
      <c r="A172" s="84"/>
      <c r="B172" s="84"/>
      <c r="C172" s="84"/>
      <c r="D172" s="84"/>
      <c r="E172" s="84"/>
      <c r="F172" s="84"/>
      <c r="G172" s="84"/>
      <c r="H172" s="84"/>
      <c r="I172" s="84"/>
      <c r="J172" s="84"/>
      <c r="K172" s="84"/>
      <c r="L172" s="84"/>
      <c r="M172" s="84"/>
      <c r="N172" s="84"/>
      <c r="O172" s="84"/>
      <c r="P172" s="84"/>
      <c r="Q172" s="84"/>
      <c r="R172" s="84"/>
      <c r="S172" s="84"/>
      <c r="T172" s="84"/>
      <c r="U172" s="84"/>
      <c r="V172" s="84"/>
      <c r="W172" s="84"/>
      <c r="X172" s="84"/>
      <c r="Y172" s="84"/>
      <c r="Z172" s="84"/>
    </row>
    <row r="173" ht="15.75" customHeight="1">
      <c r="A173" s="84"/>
      <c r="B173" s="84"/>
      <c r="C173" s="84"/>
      <c r="D173" s="84"/>
      <c r="E173" s="84"/>
      <c r="F173" s="84"/>
      <c r="G173" s="84"/>
      <c r="H173" s="84"/>
      <c r="I173" s="84"/>
      <c r="J173" s="84"/>
      <c r="K173" s="84"/>
      <c r="L173" s="84"/>
      <c r="M173" s="84"/>
      <c r="N173" s="84"/>
      <c r="O173" s="84"/>
      <c r="P173" s="84"/>
      <c r="Q173" s="84"/>
      <c r="R173" s="84"/>
      <c r="S173" s="84"/>
      <c r="T173" s="84"/>
      <c r="U173" s="84"/>
      <c r="V173" s="84"/>
      <c r="W173" s="84"/>
      <c r="X173" s="84"/>
      <c r="Y173" s="84"/>
      <c r="Z173" s="84"/>
    </row>
    <row r="174" ht="15.75" customHeight="1">
      <c r="A174" s="84"/>
      <c r="B174" s="84"/>
      <c r="C174" s="84"/>
      <c r="D174" s="84"/>
      <c r="E174" s="84"/>
      <c r="F174" s="84"/>
      <c r="G174" s="84"/>
      <c r="H174" s="84"/>
      <c r="I174" s="84"/>
      <c r="J174" s="84"/>
      <c r="K174" s="84"/>
      <c r="L174" s="84"/>
      <c r="M174" s="84"/>
      <c r="N174" s="84"/>
      <c r="O174" s="84"/>
      <c r="P174" s="84"/>
      <c r="Q174" s="84"/>
      <c r="R174" s="84"/>
      <c r="S174" s="84"/>
      <c r="T174" s="84"/>
      <c r="U174" s="84"/>
      <c r="V174" s="84"/>
      <c r="W174" s="84"/>
      <c r="X174" s="84"/>
      <c r="Y174" s="84"/>
      <c r="Z174" s="84"/>
    </row>
    <row r="175" ht="15.75" customHeight="1">
      <c r="A175" s="84"/>
      <c r="B175" s="84"/>
      <c r="C175" s="84"/>
      <c r="D175" s="84"/>
      <c r="E175" s="84"/>
      <c r="F175" s="84"/>
      <c r="G175" s="84"/>
      <c r="H175" s="84"/>
      <c r="I175" s="84"/>
      <c r="J175" s="84"/>
      <c r="K175" s="84"/>
      <c r="L175" s="84"/>
      <c r="M175" s="84"/>
      <c r="N175" s="84"/>
      <c r="O175" s="84"/>
      <c r="P175" s="84"/>
      <c r="Q175" s="84"/>
      <c r="R175" s="84"/>
      <c r="S175" s="84"/>
      <c r="T175" s="84"/>
      <c r="U175" s="84"/>
      <c r="V175" s="84"/>
      <c r="W175" s="84"/>
      <c r="X175" s="84"/>
      <c r="Y175" s="84"/>
      <c r="Z175" s="84"/>
    </row>
    <row r="176" ht="15.75" customHeight="1">
      <c r="A176" s="84"/>
      <c r="B176" s="84"/>
      <c r="C176" s="84"/>
      <c r="D176" s="84"/>
      <c r="E176" s="84"/>
      <c r="F176" s="84"/>
      <c r="G176" s="84"/>
      <c r="H176" s="84"/>
      <c r="I176" s="84"/>
      <c r="J176" s="84"/>
      <c r="K176" s="84"/>
      <c r="L176" s="84"/>
      <c r="M176" s="84"/>
      <c r="N176" s="84"/>
      <c r="O176" s="84"/>
      <c r="P176" s="84"/>
      <c r="Q176" s="84"/>
      <c r="R176" s="84"/>
      <c r="S176" s="84"/>
      <c r="T176" s="84"/>
      <c r="U176" s="84"/>
      <c r="V176" s="84"/>
      <c r="W176" s="84"/>
      <c r="X176" s="84"/>
      <c r="Y176" s="84"/>
      <c r="Z176" s="84"/>
    </row>
    <row r="177" ht="15.75" customHeight="1">
      <c r="A177" s="84"/>
      <c r="B177" s="84"/>
      <c r="C177" s="84"/>
      <c r="D177" s="84"/>
      <c r="E177" s="84"/>
      <c r="F177" s="84"/>
      <c r="G177" s="84"/>
      <c r="H177" s="84"/>
      <c r="I177" s="84"/>
      <c r="J177" s="84"/>
      <c r="K177" s="84"/>
      <c r="L177" s="84"/>
      <c r="M177" s="84"/>
      <c r="N177" s="84"/>
      <c r="O177" s="84"/>
      <c r="P177" s="84"/>
      <c r="Q177" s="84"/>
      <c r="R177" s="84"/>
      <c r="S177" s="84"/>
      <c r="T177" s="84"/>
      <c r="U177" s="84"/>
      <c r="V177" s="84"/>
      <c r="W177" s="84"/>
      <c r="X177" s="84"/>
      <c r="Y177" s="84"/>
      <c r="Z177" s="84"/>
    </row>
    <row r="178" ht="15.75" customHeight="1">
      <c r="A178" s="84"/>
      <c r="B178" s="84"/>
      <c r="C178" s="84"/>
      <c r="D178" s="84"/>
      <c r="E178" s="84"/>
      <c r="F178" s="84"/>
      <c r="G178" s="84"/>
      <c r="H178" s="84"/>
      <c r="I178" s="84"/>
      <c r="J178" s="84"/>
      <c r="K178" s="84"/>
      <c r="L178" s="84"/>
      <c r="M178" s="84"/>
      <c r="N178" s="84"/>
      <c r="O178" s="84"/>
      <c r="P178" s="84"/>
      <c r="Q178" s="84"/>
      <c r="R178" s="84"/>
      <c r="S178" s="84"/>
      <c r="T178" s="84"/>
      <c r="U178" s="84"/>
      <c r="V178" s="84"/>
      <c r="W178" s="84"/>
      <c r="X178" s="84"/>
      <c r="Y178" s="84"/>
      <c r="Z178" s="84"/>
    </row>
    <row r="179" ht="15.75" customHeight="1">
      <c r="A179" s="84"/>
      <c r="B179" s="84"/>
      <c r="C179" s="84"/>
      <c r="D179" s="84"/>
      <c r="E179" s="84"/>
      <c r="F179" s="84"/>
      <c r="G179" s="84"/>
      <c r="H179" s="84"/>
      <c r="I179" s="84"/>
      <c r="J179" s="84"/>
      <c r="K179" s="84"/>
      <c r="L179" s="84"/>
      <c r="M179" s="84"/>
      <c r="N179" s="84"/>
      <c r="O179" s="84"/>
      <c r="P179" s="84"/>
      <c r="Q179" s="84"/>
      <c r="R179" s="84"/>
      <c r="S179" s="84"/>
      <c r="T179" s="84"/>
      <c r="U179" s="84"/>
      <c r="V179" s="84"/>
      <c r="W179" s="84"/>
      <c r="X179" s="84"/>
      <c r="Y179" s="84"/>
      <c r="Z179" s="84"/>
    </row>
    <row r="180" ht="15.75" customHeight="1">
      <c r="A180" s="84"/>
      <c r="B180" s="84"/>
      <c r="C180" s="84"/>
      <c r="D180" s="84"/>
      <c r="E180" s="84"/>
      <c r="F180" s="84"/>
      <c r="G180" s="84"/>
      <c r="H180" s="84"/>
      <c r="I180" s="84"/>
      <c r="J180" s="84"/>
      <c r="K180" s="84"/>
      <c r="L180" s="84"/>
      <c r="M180" s="84"/>
      <c r="N180" s="84"/>
      <c r="O180" s="84"/>
      <c r="P180" s="84"/>
      <c r="Q180" s="84"/>
      <c r="R180" s="84"/>
      <c r="S180" s="84"/>
      <c r="T180" s="84"/>
      <c r="U180" s="84"/>
      <c r="V180" s="84"/>
      <c r="W180" s="84"/>
      <c r="X180" s="84"/>
      <c r="Y180" s="84"/>
      <c r="Z180" s="84"/>
    </row>
    <row r="181" ht="15.75" customHeight="1">
      <c r="A181" s="84"/>
      <c r="B181" s="84"/>
      <c r="C181" s="84"/>
      <c r="D181" s="84"/>
      <c r="E181" s="84"/>
      <c r="F181" s="84"/>
      <c r="G181" s="84"/>
      <c r="H181" s="84"/>
      <c r="I181" s="84"/>
      <c r="J181" s="84"/>
      <c r="K181" s="84"/>
      <c r="L181" s="84"/>
      <c r="M181" s="84"/>
      <c r="N181" s="84"/>
      <c r="O181" s="84"/>
      <c r="P181" s="84"/>
      <c r="Q181" s="84"/>
      <c r="R181" s="84"/>
      <c r="S181" s="84"/>
      <c r="T181" s="84"/>
      <c r="U181" s="84"/>
      <c r="V181" s="84"/>
      <c r="W181" s="84"/>
      <c r="X181" s="84"/>
      <c r="Y181" s="84"/>
      <c r="Z181" s="84"/>
    </row>
    <row r="182" ht="15.75" customHeight="1">
      <c r="A182" s="84"/>
      <c r="B182" s="84"/>
      <c r="C182" s="84"/>
      <c r="D182" s="84"/>
      <c r="E182" s="84"/>
      <c r="F182" s="84"/>
      <c r="G182" s="84"/>
      <c r="H182" s="84"/>
      <c r="I182" s="84"/>
      <c r="J182" s="84"/>
      <c r="K182" s="84"/>
      <c r="L182" s="84"/>
      <c r="M182" s="84"/>
      <c r="N182" s="84"/>
      <c r="O182" s="84"/>
      <c r="P182" s="84"/>
      <c r="Q182" s="84"/>
      <c r="R182" s="84"/>
      <c r="S182" s="84"/>
      <c r="T182" s="84"/>
      <c r="U182" s="84"/>
      <c r="V182" s="84"/>
      <c r="W182" s="84"/>
      <c r="X182" s="84"/>
      <c r="Y182" s="84"/>
      <c r="Z182" s="84"/>
    </row>
    <row r="183" ht="15.75" customHeight="1">
      <c r="A183" s="84"/>
      <c r="B183" s="84"/>
      <c r="C183" s="84"/>
      <c r="D183" s="84"/>
      <c r="E183" s="84"/>
      <c r="F183" s="84"/>
      <c r="G183" s="84"/>
      <c r="H183" s="84"/>
      <c r="I183" s="84"/>
      <c r="J183" s="84"/>
      <c r="K183" s="84"/>
      <c r="L183" s="84"/>
      <c r="M183" s="84"/>
      <c r="N183" s="84"/>
      <c r="O183" s="84"/>
      <c r="P183" s="84"/>
      <c r="Q183" s="84"/>
      <c r="R183" s="84"/>
      <c r="S183" s="84"/>
      <c r="T183" s="84"/>
      <c r="U183" s="84"/>
      <c r="V183" s="84"/>
      <c r="W183" s="84"/>
      <c r="X183" s="84"/>
      <c r="Y183" s="84"/>
      <c r="Z183" s="84"/>
    </row>
    <row r="184" ht="15.75" customHeight="1">
      <c r="A184" s="84"/>
      <c r="B184" s="84"/>
      <c r="C184" s="84"/>
      <c r="D184" s="84"/>
      <c r="E184" s="84"/>
      <c r="F184" s="84"/>
      <c r="G184" s="84"/>
      <c r="H184" s="84"/>
      <c r="I184" s="84"/>
      <c r="J184" s="84"/>
      <c r="K184" s="84"/>
      <c r="L184" s="84"/>
      <c r="M184" s="84"/>
      <c r="N184" s="84"/>
      <c r="O184" s="84"/>
      <c r="P184" s="84"/>
      <c r="Q184" s="84"/>
      <c r="R184" s="84"/>
      <c r="S184" s="84"/>
      <c r="T184" s="84"/>
      <c r="U184" s="84"/>
      <c r="V184" s="84"/>
      <c r="W184" s="84"/>
      <c r="X184" s="84"/>
      <c r="Y184" s="84"/>
      <c r="Z184" s="84"/>
    </row>
    <row r="185" ht="15.75" customHeight="1">
      <c r="A185" s="84"/>
      <c r="B185" s="84"/>
      <c r="C185" s="84"/>
      <c r="D185" s="84"/>
      <c r="E185" s="84"/>
      <c r="F185" s="84"/>
      <c r="G185" s="84"/>
      <c r="H185" s="84"/>
      <c r="I185" s="84"/>
      <c r="J185" s="84"/>
      <c r="K185" s="84"/>
      <c r="L185" s="84"/>
      <c r="M185" s="84"/>
      <c r="N185" s="84"/>
      <c r="O185" s="84"/>
      <c r="P185" s="84"/>
      <c r="Q185" s="84"/>
      <c r="R185" s="84"/>
      <c r="S185" s="84"/>
      <c r="T185" s="84"/>
      <c r="U185" s="84"/>
      <c r="V185" s="84"/>
      <c r="W185" s="84"/>
      <c r="X185" s="84"/>
      <c r="Y185" s="84"/>
      <c r="Z185" s="84"/>
    </row>
    <row r="186" ht="15.75" customHeight="1">
      <c r="A186" s="84"/>
      <c r="B186" s="84"/>
      <c r="C186" s="84"/>
      <c r="D186" s="84"/>
      <c r="E186" s="84"/>
      <c r="F186" s="84"/>
      <c r="G186" s="84"/>
      <c r="H186" s="84"/>
      <c r="I186" s="84"/>
      <c r="J186" s="84"/>
      <c r="K186" s="84"/>
      <c r="L186" s="84"/>
      <c r="M186" s="84"/>
      <c r="N186" s="84"/>
      <c r="O186" s="84"/>
      <c r="P186" s="84"/>
      <c r="Q186" s="84"/>
      <c r="R186" s="84"/>
      <c r="S186" s="84"/>
      <c r="T186" s="84"/>
      <c r="U186" s="84"/>
      <c r="V186" s="84"/>
      <c r="W186" s="84"/>
      <c r="X186" s="84"/>
      <c r="Y186" s="84"/>
      <c r="Z186" s="84"/>
    </row>
    <row r="187" ht="15.75" customHeight="1">
      <c r="A187" s="84"/>
      <c r="B187" s="84"/>
      <c r="C187" s="84"/>
      <c r="D187" s="84"/>
      <c r="E187" s="84"/>
      <c r="F187" s="84"/>
      <c r="G187" s="84"/>
      <c r="H187" s="84"/>
      <c r="I187" s="84"/>
      <c r="J187" s="84"/>
      <c r="K187" s="84"/>
      <c r="L187" s="84"/>
      <c r="M187" s="84"/>
      <c r="N187" s="84"/>
      <c r="O187" s="84"/>
      <c r="P187" s="84"/>
      <c r="Q187" s="84"/>
      <c r="R187" s="84"/>
      <c r="S187" s="84"/>
      <c r="T187" s="84"/>
      <c r="U187" s="84"/>
      <c r="V187" s="84"/>
      <c r="W187" s="84"/>
      <c r="X187" s="84"/>
      <c r="Y187" s="84"/>
      <c r="Z187" s="84"/>
    </row>
    <row r="188" ht="15.75" customHeight="1">
      <c r="A188" s="84"/>
      <c r="B188" s="84"/>
      <c r="C188" s="84"/>
      <c r="D188" s="84"/>
      <c r="E188" s="84"/>
      <c r="F188" s="84"/>
      <c r="G188" s="84"/>
      <c r="H188" s="84"/>
      <c r="I188" s="84"/>
      <c r="J188" s="84"/>
      <c r="K188" s="84"/>
      <c r="L188" s="84"/>
      <c r="M188" s="84"/>
      <c r="N188" s="84"/>
      <c r="O188" s="84"/>
      <c r="P188" s="84"/>
      <c r="Q188" s="84"/>
      <c r="R188" s="84"/>
      <c r="S188" s="84"/>
      <c r="T188" s="84"/>
      <c r="U188" s="84"/>
      <c r="V188" s="84"/>
      <c r="W188" s="84"/>
      <c r="X188" s="84"/>
      <c r="Y188" s="84"/>
      <c r="Z188" s="84"/>
    </row>
    <row r="189" ht="15.75" customHeight="1">
      <c r="A189" s="84"/>
      <c r="B189" s="84"/>
      <c r="C189" s="84"/>
      <c r="D189" s="84"/>
      <c r="E189" s="84"/>
      <c r="F189" s="84"/>
      <c r="G189" s="84"/>
      <c r="H189" s="84"/>
      <c r="I189" s="84"/>
      <c r="J189" s="84"/>
      <c r="K189" s="84"/>
      <c r="L189" s="84"/>
      <c r="M189" s="84"/>
      <c r="N189" s="84"/>
      <c r="O189" s="84"/>
      <c r="P189" s="84"/>
      <c r="Q189" s="84"/>
      <c r="R189" s="84"/>
      <c r="S189" s="84"/>
      <c r="T189" s="84"/>
      <c r="U189" s="84"/>
      <c r="V189" s="84"/>
      <c r="W189" s="84"/>
      <c r="X189" s="84"/>
      <c r="Y189" s="84"/>
      <c r="Z189" s="84"/>
    </row>
    <row r="190" ht="15.75" customHeight="1">
      <c r="A190" s="84"/>
      <c r="B190" s="84"/>
      <c r="C190" s="84"/>
      <c r="D190" s="84"/>
      <c r="E190" s="84"/>
      <c r="F190" s="84"/>
      <c r="G190" s="84"/>
      <c r="H190" s="84"/>
      <c r="I190" s="84"/>
      <c r="J190" s="84"/>
      <c r="K190" s="84"/>
      <c r="L190" s="84"/>
      <c r="M190" s="84"/>
      <c r="N190" s="84"/>
      <c r="O190" s="84"/>
      <c r="P190" s="84"/>
      <c r="Q190" s="84"/>
      <c r="R190" s="84"/>
      <c r="S190" s="84"/>
      <c r="T190" s="84"/>
      <c r="U190" s="84"/>
      <c r="V190" s="84"/>
      <c r="W190" s="84"/>
      <c r="X190" s="84"/>
      <c r="Y190" s="84"/>
      <c r="Z190" s="84"/>
    </row>
    <row r="191" ht="15.75" customHeight="1">
      <c r="A191" s="84"/>
      <c r="B191" s="84"/>
      <c r="C191" s="84"/>
      <c r="D191" s="84"/>
      <c r="E191" s="84"/>
      <c r="F191" s="84"/>
      <c r="G191" s="84"/>
      <c r="H191" s="84"/>
      <c r="I191" s="84"/>
      <c r="J191" s="84"/>
      <c r="K191" s="84"/>
      <c r="L191" s="84"/>
      <c r="M191" s="84"/>
      <c r="N191" s="84"/>
      <c r="O191" s="84"/>
      <c r="P191" s="84"/>
      <c r="Q191" s="84"/>
      <c r="R191" s="84"/>
      <c r="S191" s="84"/>
      <c r="T191" s="84"/>
      <c r="U191" s="84"/>
      <c r="V191" s="84"/>
      <c r="W191" s="84"/>
      <c r="X191" s="84"/>
      <c r="Y191" s="84"/>
      <c r="Z191" s="84"/>
    </row>
    <row r="192" ht="15.75" customHeight="1">
      <c r="A192" s="84"/>
      <c r="B192" s="84"/>
      <c r="C192" s="84"/>
      <c r="D192" s="84"/>
      <c r="E192" s="84"/>
      <c r="F192" s="84"/>
      <c r="G192" s="84"/>
      <c r="H192" s="84"/>
      <c r="I192" s="84"/>
      <c r="J192" s="84"/>
      <c r="K192" s="84"/>
      <c r="L192" s="84"/>
      <c r="M192" s="84"/>
      <c r="N192" s="84"/>
      <c r="O192" s="84"/>
      <c r="P192" s="84"/>
      <c r="Q192" s="84"/>
      <c r="R192" s="84"/>
      <c r="S192" s="84"/>
      <c r="T192" s="84"/>
      <c r="U192" s="84"/>
      <c r="V192" s="84"/>
      <c r="W192" s="84"/>
      <c r="X192" s="84"/>
      <c r="Y192" s="84"/>
      <c r="Z192" s="84"/>
    </row>
    <row r="193" ht="15.75" customHeight="1">
      <c r="A193" s="84"/>
      <c r="B193" s="84"/>
      <c r="C193" s="84"/>
      <c r="D193" s="84"/>
      <c r="E193" s="84"/>
      <c r="F193" s="84"/>
      <c r="G193" s="84"/>
      <c r="H193" s="84"/>
      <c r="I193" s="84"/>
      <c r="J193" s="84"/>
      <c r="K193" s="84"/>
      <c r="L193" s="84"/>
      <c r="M193" s="84"/>
      <c r="N193" s="84"/>
      <c r="O193" s="84"/>
      <c r="P193" s="84"/>
      <c r="Q193" s="84"/>
      <c r="R193" s="84"/>
      <c r="S193" s="84"/>
      <c r="T193" s="84"/>
      <c r="U193" s="84"/>
      <c r="V193" s="84"/>
      <c r="W193" s="84"/>
      <c r="X193" s="84"/>
      <c r="Y193" s="84"/>
      <c r="Z193" s="84"/>
    </row>
    <row r="194" ht="15.75" customHeight="1">
      <c r="A194" s="84"/>
      <c r="B194" s="84"/>
      <c r="C194" s="84"/>
      <c r="D194" s="84"/>
      <c r="E194" s="84"/>
      <c r="F194" s="84"/>
      <c r="G194" s="84"/>
      <c r="H194" s="84"/>
      <c r="I194" s="84"/>
      <c r="J194" s="84"/>
      <c r="K194" s="84"/>
      <c r="L194" s="84"/>
      <c r="M194" s="84"/>
      <c r="N194" s="84"/>
      <c r="O194" s="84"/>
      <c r="P194" s="84"/>
      <c r="Q194" s="84"/>
      <c r="R194" s="84"/>
      <c r="S194" s="84"/>
      <c r="T194" s="84"/>
      <c r="U194" s="84"/>
      <c r="V194" s="84"/>
      <c r="W194" s="84"/>
      <c r="X194" s="84"/>
      <c r="Y194" s="84"/>
      <c r="Z194" s="84"/>
    </row>
    <row r="195" ht="15.75" customHeight="1">
      <c r="A195" s="84"/>
      <c r="B195" s="84"/>
      <c r="C195" s="84"/>
      <c r="D195" s="84"/>
      <c r="E195" s="84"/>
      <c r="F195" s="84"/>
      <c r="G195" s="84"/>
      <c r="H195" s="84"/>
      <c r="I195" s="84"/>
      <c r="J195" s="84"/>
      <c r="K195" s="84"/>
      <c r="L195" s="84"/>
      <c r="M195" s="84"/>
      <c r="N195" s="84"/>
      <c r="O195" s="84"/>
      <c r="P195" s="84"/>
      <c r="Q195" s="84"/>
      <c r="R195" s="84"/>
      <c r="S195" s="84"/>
      <c r="T195" s="84"/>
      <c r="U195" s="84"/>
      <c r="V195" s="84"/>
      <c r="W195" s="84"/>
      <c r="X195" s="84"/>
      <c r="Y195" s="84"/>
      <c r="Z195" s="84"/>
    </row>
    <row r="196" ht="15.75" customHeight="1">
      <c r="A196" s="84"/>
      <c r="B196" s="84"/>
      <c r="C196" s="84"/>
      <c r="D196" s="84"/>
      <c r="E196" s="84"/>
      <c r="F196" s="84"/>
      <c r="G196" s="84"/>
      <c r="H196" s="84"/>
      <c r="I196" s="84"/>
      <c r="J196" s="84"/>
      <c r="K196" s="84"/>
      <c r="L196" s="84"/>
      <c r="M196" s="84"/>
      <c r="N196" s="84"/>
      <c r="O196" s="84"/>
      <c r="P196" s="84"/>
      <c r="Q196" s="84"/>
      <c r="R196" s="84"/>
      <c r="S196" s="84"/>
      <c r="T196" s="84"/>
      <c r="U196" s="84"/>
      <c r="V196" s="84"/>
      <c r="W196" s="84"/>
      <c r="X196" s="84"/>
      <c r="Y196" s="84"/>
      <c r="Z196" s="84"/>
    </row>
    <row r="197" ht="15.75" customHeight="1">
      <c r="A197" s="84"/>
      <c r="B197" s="84"/>
      <c r="C197" s="84"/>
      <c r="D197" s="84"/>
      <c r="E197" s="84"/>
      <c r="F197" s="84"/>
      <c r="G197" s="84"/>
      <c r="H197" s="84"/>
      <c r="I197" s="84"/>
      <c r="J197" s="84"/>
      <c r="K197" s="84"/>
      <c r="L197" s="84"/>
      <c r="M197" s="84"/>
      <c r="N197" s="84"/>
      <c r="O197" s="84"/>
      <c r="P197" s="84"/>
      <c r="Q197" s="84"/>
      <c r="R197" s="84"/>
      <c r="S197" s="84"/>
      <c r="T197" s="84"/>
      <c r="U197" s="84"/>
      <c r="V197" s="84"/>
      <c r="W197" s="84"/>
      <c r="X197" s="84"/>
      <c r="Y197" s="84"/>
      <c r="Z197" s="84"/>
    </row>
    <row r="198" ht="15.75" customHeight="1">
      <c r="A198" s="84"/>
      <c r="B198" s="84"/>
      <c r="C198" s="84"/>
      <c r="D198" s="84"/>
      <c r="E198" s="84"/>
      <c r="F198" s="84"/>
      <c r="G198" s="84"/>
      <c r="H198" s="84"/>
      <c r="I198" s="84"/>
      <c r="J198" s="84"/>
      <c r="K198" s="84"/>
      <c r="L198" s="84"/>
      <c r="M198" s="84"/>
      <c r="N198" s="84"/>
      <c r="O198" s="84"/>
      <c r="P198" s="84"/>
      <c r="Q198" s="84"/>
      <c r="R198" s="84"/>
      <c r="S198" s="84"/>
      <c r="T198" s="84"/>
      <c r="U198" s="84"/>
      <c r="V198" s="84"/>
      <c r="W198" s="84"/>
      <c r="X198" s="84"/>
      <c r="Y198" s="84"/>
      <c r="Z198" s="84"/>
    </row>
    <row r="199" ht="15.75" customHeight="1">
      <c r="A199" s="84"/>
      <c r="B199" s="84"/>
      <c r="C199" s="84"/>
      <c r="D199" s="84"/>
      <c r="E199" s="84"/>
      <c r="F199" s="84"/>
      <c r="G199" s="84"/>
      <c r="H199" s="84"/>
      <c r="I199" s="84"/>
      <c r="J199" s="84"/>
      <c r="K199" s="84"/>
      <c r="L199" s="84"/>
      <c r="M199" s="84"/>
      <c r="N199" s="84"/>
      <c r="O199" s="84"/>
      <c r="P199" s="84"/>
      <c r="Q199" s="84"/>
      <c r="R199" s="84"/>
      <c r="S199" s="84"/>
      <c r="T199" s="84"/>
      <c r="U199" s="84"/>
      <c r="V199" s="84"/>
      <c r="W199" s="84"/>
      <c r="X199" s="84"/>
      <c r="Y199" s="84"/>
      <c r="Z199" s="84"/>
    </row>
    <row r="200" ht="15.75" customHeight="1">
      <c r="A200" s="84"/>
      <c r="B200" s="84"/>
      <c r="C200" s="84"/>
      <c r="D200" s="84"/>
      <c r="E200" s="84"/>
      <c r="F200" s="84"/>
      <c r="G200" s="84"/>
      <c r="H200" s="84"/>
      <c r="I200" s="84"/>
      <c r="J200" s="84"/>
      <c r="K200" s="84"/>
      <c r="L200" s="84"/>
      <c r="M200" s="84"/>
      <c r="N200" s="84"/>
      <c r="O200" s="84"/>
      <c r="P200" s="84"/>
      <c r="Q200" s="84"/>
      <c r="R200" s="84"/>
      <c r="S200" s="84"/>
      <c r="T200" s="84"/>
      <c r="U200" s="84"/>
      <c r="V200" s="84"/>
      <c r="W200" s="84"/>
      <c r="X200" s="84"/>
      <c r="Y200" s="84"/>
      <c r="Z200" s="84"/>
    </row>
    <row r="201" ht="15.75" customHeight="1">
      <c r="A201" s="84"/>
      <c r="B201" s="84"/>
      <c r="C201" s="84"/>
      <c r="D201" s="84"/>
      <c r="E201" s="84"/>
      <c r="F201" s="84"/>
      <c r="G201" s="84"/>
      <c r="H201" s="84"/>
      <c r="I201" s="84"/>
      <c r="J201" s="84"/>
      <c r="K201" s="84"/>
      <c r="L201" s="84"/>
      <c r="M201" s="84"/>
      <c r="N201" s="84"/>
      <c r="O201" s="84"/>
      <c r="P201" s="84"/>
      <c r="Q201" s="84"/>
      <c r="R201" s="84"/>
      <c r="S201" s="84"/>
      <c r="T201" s="84"/>
      <c r="U201" s="84"/>
      <c r="V201" s="84"/>
      <c r="W201" s="84"/>
      <c r="X201" s="84"/>
      <c r="Y201" s="84"/>
      <c r="Z201" s="84"/>
    </row>
    <row r="202" ht="15.75" customHeight="1">
      <c r="A202" s="84"/>
      <c r="B202" s="84"/>
      <c r="C202" s="84"/>
      <c r="D202" s="84"/>
      <c r="E202" s="84"/>
      <c r="F202" s="84"/>
      <c r="G202" s="84"/>
      <c r="H202" s="84"/>
      <c r="I202" s="84"/>
      <c r="J202" s="84"/>
      <c r="K202" s="84"/>
      <c r="L202" s="84"/>
      <c r="M202" s="84"/>
      <c r="N202" s="84"/>
      <c r="O202" s="84"/>
      <c r="P202" s="84"/>
      <c r="Q202" s="84"/>
      <c r="R202" s="84"/>
      <c r="S202" s="84"/>
      <c r="T202" s="84"/>
      <c r="U202" s="84"/>
      <c r="V202" s="84"/>
      <c r="W202" s="84"/>
      <c r="X202" s="84"/>
      <c r="Y202" s="84"/>
      <c r="Z202" s="84"/>
    </row>
    <row r="203" ht="15.75" customHeight="1">
      <c r="A203" s="84"/>
      <c r="B203" s="84"/>
      <c r="C203" s="84"/>
      <c r="D203" s="84"/>
      <c r="E203" s="84"/>
      <c r="F203" s="84"/>
      <c r="G203" s="84"/>
      <c r="H203" s="84"/>
      <c r="I203" s="84"/>
      <c r="J203" s="84"/>
      <c r="K203" s="84"/>
      <c r="L203" s="84"/>
      <c r="M203" s="84"/>
      <c r="N203" s="84"/>
      <c r="O203" s="84"/>
      <c r="P203" s="84"/>
      <c r="Q203" s="84"/>
      <c r="R203" s="84"/>
      <c r="S203" s="84"/>
      <c r="T203" s="84"/>
      <c r="U203" s="84"/>
      <c r="V203" s="84"/>
      <c r="W203" s="84"/>
      <c r="X203" s="84"/>
      <c r="Y203" s="84"/>
      <c r="Z203" s="84"/>
    </row>
    <row r="204" ht="15.75" customHeight="1">
      <c r="A204" s="84"/>
      <c r="B204" s="84"/>
      <c r="C204" s="84"/>
      <c r="D204" s="84"/>
      <c r="E204" s="84"/>
      <c r="F204" s="84"/>
      <c r="G204" s="84"/>
      <c r="H204" s="84"/>
      <c r="I204" s="84"/>
      <c r="J204" s="84"/>
      <c r="K204" s="84"/>
      <c r="L204" s="84"/>
      <c r="M204" s="84"/>
      <c r="N204" s="84"/>
      <c r="O204" s="84"/>
      <c r="P204" s="84"/>
      <c r="Q204" s="84"/>
      <c r="R204" s="84"/>
      <c r="S204" s="84"/>
      <c r="T204" s="84"/>
      <c r="U204" s="84"/>
      <c r="V204" s="84"/>
      <c r="W204" s="84"/>
      <c r="X204" s="84"/>
      <c r="Y204" s="84"/>
      <c r="Z204" s="84"/>
    </row>
    <row r="205" ht="15.75" customHeight="1">
      <c r="A205" s="84"/>
      <c r="B205" s="84"/>
      <c r="C205" s="84"/>
      <c r="D205" s="84"/>
      <c r="E205" s="84"/>
      <c r="F205" s="84"/>
      <c r="G205" s="84"/>
      <c r="H205" s="84"/>
      <c r="I205" s="84"/>
      <c r="J205" s="84"/>
      <c r="K205" s="84"/>
      <c r="L205" s="84"/>
      <c r="M205" s="84"/>
      <c r="N205" s="84"/>
      <c r="O205" s="84"/>
      <c r="P205" s="84"/>
      <c r="Q205" s="84"/>
      <c r="R205" s="84"/>
      <c r="S205" s="84"/>
      <c r="T205" s="84"/>
      <c r="U205" s="84"/>
      <c r="V205" s="84"/>
      <c r="W205" s="84"/>
      <c r="X205" s="84"/>
      <c r="Y205" s="84"/>
      <c r="Z205" s="84"/>
    </row>
    <row r="206" ht="15.75" customHeight="1">
      <c r="A206" s="84"/>
      <c r="B206" s="84"/>
      <c r="C206" s="84"/>
      <c r="D206" s="84"/>
      <c r="E206" s="84"/>
      <c r="F206" s="84"/>
      <c r="G206" s="84"/>
      <c r="H206" s="84"/>
      <c r="I206" s="84"/>
      <c r="J206" s="84"/>
      <c r="K206" s="84"/>
      <c r="L206" s="84"/>
      <c r="M206" s="84"/>
      <c r="N206" s="84"/>
      <c r="O206" s="84"/>
      <c r="P206" s="84"/>
      <c r="Q206" s="84"/>
      <c r="R206" s="84"/>
      <c r="S206" s="84"/>
      <c r="T206" s="84"/>
      <c r="U206" s="84"/>
      <c r="V206" s="84"/>
      <c r="W206" s="84"/>
      <c r="X206" s="84"/>
      <c r="Y206" s="84"/>
      <c r="Z206" s="84"/>
    </row>
    <row r="207" ht="15.75" customHeight="1">
      <c r="A207" s="84"/>
      <c r="B207" s="84"/>
      <c r="C207" s="84"/>
      <c r="D207" s="84"/>
      <c r="E207" s="84"/>
      <c r="F207" s="84"/>
      <c r="G207" s="84"/>
      <c r="H207" s="84"/>
      <c r="I207" s="84"/>
      <c r="J207" s="84"/>
      <c r="K207" s="84"/>
      <c r="L207" s="84"/>
      <c r="M207" s="84"/>
      <c r="N207" s="84"/>
      <c r="O207" s="84"/>
      <c r="P207" s="84"/>
      <c r="Q207" s="84"/>
      <c r="R207" s="84"/>
      <c r="S207" s="84"/>
      <c r="T207" s="84"/>
      <c r="U207" s="84"/>
      <c r="V207" s="84"/>
      <c r="W207" s="84"/>
      <c r="X207" s="84"/>
      <c r="Y207" s="84"/>
      <c r="Z207" s="84"/>
    </row>
    <row r="208" ht="15.75" customHeight="1">
      <c r="A208" s="84"/>
      <c r="B208" s="84"/>
      <c r="C208" s="84"/>
      <c r="D208" s="84"/>
      <c r="E208" s="84"/>
      <c r="F208" s="84"/>
      <c r="G208" s="84"/>
      <c r="H208" s="84"/>
      <c r="I208" s="84"/>
      <c r="J208" s="84"/>
      <c r="K208" s="84"/>
      <c r="L208" s="84"/>
      <c r="M208" s="84"/>
      <c r="N208" s="84"/>
      <c r="O208" s="84"/>
      <c r="P208" s="84"/>
      <c r="Q208" s="84"/>
      <c r="R208" s="84"/>
      <c r="S208" s="84"/>
      <c r="T208" s="84"/>
      <c r="U208" s="84"/>
      <c r="V208" s="84"/>
      <c r="W208" s="84"/>
      <c r="X208" s="84"/>
      <c r="Y208" s="84"/>
      <c r="Z208" s="84"/>
    </row>
    <row r="209" ht="15.75" customHeight="1">
      <c r="A209" s="84"/>
      <c r="B209" s="84"/>
      <c r="C209" s="84"/>
      <c r="D209" s="84"/>
      <c r="E209" s="84"/>
      <c r="F209" s="84"/>
      <c r="G209" s="84"/>
      <c r="H209" s="84"/>
      <c r="I209" s="84"/>
      <c r="J209" s="84"/>
      <c r="K209" s="84"/>
      <c r="L209" s="84"/>
      <c r="M209" s="84"/>
      <c r="N209" s="84"/>
      <c r="O209" s="84"/>
      <c r="P209" s="84"/>
      <c r="Q209" s="84"/>
      <c r="R209" s="84"/>
      <c r="S209" s="84"/>
      <c r="T209" s="84"/>
      <c r="U209" s="84"/>
      <c r="V209" s="84"/>
      <c r="W209" s="84"/>
      <c r="X209" s="84"/>
      <c r="Y209" s="84"/>
      <c r="Z209" s="84"/>
    </row>
    <row r="210" ht="15.75" customHeight="1">
      <c r="A210" s="84"/>
      <c r="B210" s="84"/>
      <c r="C210" s="84"/>
      <c r="D210" s="84"/>
      <c r="E210" s="84"/>
      <c r="F210" s="84"/>
      <c r="G210" s="84"/>
      <c r="H210" s="84"/>
      <c r="I210" s="84"/>
      <c r="J210" s="84"/>
      <c r="K210" s="84"/>
      <c r="L210" s="84"/>
      <c r="M210" s="84"/>
      <c r="N210" s="84"/>
      <c r="O210" s="84"/>
      <c r="P210" s="84"/>
      <c r="Q210" s="84"/>
      <c r="R210" s="84"/>
      <c r="S210" s="84"/>
      <c r="T210" s="84"/>
      <c r="U210" s="84"/>
      <c r="V210" s="84"/>
      <c r="W210" s="84"/>
      <c r="X210" s="84"/>
      <c r="Y210" s="84"/>
      <c r="Z210" s="84"/>
    </row>
    <row r="211" ht="15.75" customHeight="1">
      <c r="A211" s="84"/>
      <c r="B211" s="84"/>
      <c r="C211" s="84"/>
      <c r="D211" s="84"/>
      <c r="E211" s="84"/>
      <c r="F211" s="84"/>
      <c r="G211" s="84"/>
      <c r="H211" s="84"/>
      <c r="I211" s="84"/>
      <c r="J211" s="84"/>
      <c r="K211" s="84"/>
      <c r="L211" s="84"/>
      <c r="M211" s="84"/>
      <c r="N211" s="84"/>
      <c r="O211" s="84"/>
      <c r="P211" s="84"/>
      <c r="Q211" s="84"/>
      <c r="R211" s="84"/>
      <c r="S211" s="84"/>
      <c r="T211" s="84"/>
      <c r="U211" s="84"/>
      <c r="V211" s="84"/>
      <c r="W211" s="84"/>
      <c r="X211" s="84"/>
      <c r="Y211" s="84"/>
      <c r="Z211" s="84"/>
    </row>
    <row r="212" ht="15.75" customHeight="1">
      <c r="A212" s="84"/>
      <c r="B212" s="84"/>
      <c r="C212" s="84"/>
      <c r="D212" s="84"/>
      <c r="E212" s="84"/>
      <c r="F212" s="84"/>
      <c r="G212" s="84"/>
      <c r="H212" s="84"/>
      <c r="I212" s="84"/>
      <c r="J212" s="84"/>
      <c r="K212" s="84"/>
      <c r="L212" s="84"/>
      <c r="M212" s="84"/>
      <c r="N212" s="84"/>
      <c r="O212" s="84"/>
      <c r="P212" s="84"/>
      <c r="Q212" s="84"/>
      <c r="R212" s="84"/>
      <c r="S212" s="84"/>
      <c r="T212" s="84"/>
      <c r="U212" s="84"/>
      <c r="V212" s="84"/>
      <c r="W212" s="84"/>
      <c r="X212" s="84"/>
      <c r="Y212" s="84"/>
      <c r="Z212" s="84"/>
    </row>
    <row r="213" ht="15.75" customHeight="1">
      <c r="A213" s="84"/>
      <c r="B213" s="84"/>
      <c r="C213" s="84"/>
      <c r="D213" s="84"/>
      <c r="E213" s="84"/>
      <c r="F213" s="84"/>
      <c r="G213" s="84"/>
      <c r="H213" s="84"/>
      <c r="I213" s="84"/>
      <c r="J213" s="84"/>
      <c r="K213" s="84"/>
      <c r="L213" s="84"/>
      <c r="M213" s="84"/>
      <c r="N213" s="84"/>
      <c r="O213" s="84"/>
      <c r="P213" s="84"/>
      <c r="Q213" s="84"/>
      <c r="R213" s="84"/>
      <c r="S213" s="84"/>
      <c r="T213" s="84"/>
      <c r="U213" s="84"/>
      <c r="V213" s="84"/>
      <c r="W213" s="84"/>
      <c r="X213" s="84"/>
      <c r="Y213" s="84"/>
      <c r="Z213" s="84"/>
    </row>
    <row r="214" ht="15.75" customHeight="1">
      <c r="A214" s="84"/>
      <c r="B214" s="84"/>
      <c r="C214" s="84"/>
      <c r="D214" s="84"/>
      <c r="E214" s="84"/>
      <c r="F214" s="84"/>
      <c r="G214" s="84"/>
      <c r="H214" s="84"/>
      <c r="I214" s="84"/>
      <c r="J214" s="84"/>
      <c r="K214" s="84"/>
      <c r="L214" s="84"/>
      <c r="M214" s="84"/>
      <c r="N214" s="84"/>
      <c r="O214" s="84"/>
      <c r="P214" s="84"/>
      <c r="Q214" s="84"/>
      <c r="R214" s="84"/>
      <c r="S214" s="84"/>
      <c r="T214" s="84"/>
      <c r="U214" s="84"/>
      <c r="V214" s="84"/>
      <c r="W214" s="84"/>
      <c r="X214" s="84"/>
      <c r="Y214" s="84"/>
      <c r="Z214" s="84"/>
    </row>
    <row r="215" ht="15.75" customHeight="1">
      <c r="A215" s="84"/>
      <c r="B215" s="84"/>
      <c r="C215" s="84"/>
      <c r="D215" s="84"/>
      <c r="E215" s="84"/>
      <c r="F215" s="84"/>
      <c r="G215" s="84"/>
      <c r="H215" s="84"/>
      <c r="I215" s="84"/>
      <c r="J215" s="84"/>
      <c r="K215" s="84"/>
      <c r="L215" s="84"/>
      <c r="M215" s="84"/>
      <c r="N215" s="84"/>
      <c r="O215" s="84"/>
      <c r="P215" s="84"/>
      <c r="Q215" s="84"/>
      <c r="R215" s="84"/>
      <c r="S215" s="84"/>
      <c r="T215" s="84"/>
      <c r="U215" s="84"/>
      <c r="V215" s="84"/>
      <c r="W215" s="84"/>
      <c r="X215" s="84"/>
      <c r="Y215" s="84"/>
      <c r="Z215" s="84"/>
    </row>
    <row r="216" ht="15.75" customHeight="1">
      <c r="A216" s="84"/>
      <c r="B216" s="84"/>
      <c r="C216" s="84"/>
      <c r="D216" s="84"/>
      <c r="E216" s="84"/>
      <c r="F216" s="84"/>
      <c r="G216" s="84"/>
      <c r="H216" s="84"/>
      <c r="I216" s="84"/>
      <c r="J216" s="84"/>
      <c r="K216" s="84"/>
      <c r="L216" s="84"/>
      <c r="M216" s="84"/>
      <c r="N216" s="84"/>
      <c r="O216" s="84"/>
      <c r="P216" s="84"/>
      <c r="Q216" s="84"/>
      <c r="R216" s="84"/>
      <c r="S216" s="84"/>
      <c r="T216" s="84"/>
      <c r="U216" s="84"/>
      <c r="V216" s="84"/>
      <c r="W216" s="84"/>
      <c r="X216" s="84"/>
      <c r="Y216" s="84"/>
      <c r="Z216" s="84"/>
    </row>
    <row r="217" ht="15.75" customHeight="1">
      <c r="A217" s="84"/>
      <c r="B217" s="84"/>
      <c r="C217" s="84"/>
      <c r="D217" s="84"/>
      <c r="E217" s="84"/>
      <c r="F217" s="84"/>
      <c r="G217" s="84"/>
      <c r="H217" s="84"/>
      <c r="I217" s="84"/>
      <c r="J217" s="84"/>
      <c r="K217" s="84"/>
      <c r="L217" s="84"/>
      <c r="M217" s="84"/>
      <c r="N217" s="84"/>
      <c r="O217" s="84"/>
      <c r="P217" s="84"/>
      <c r="Q217" s="84"/>
      <c r="R217" s="84"/>
      <c r="S217" s="84"/>
      <c r="T217" s="84"/>
      <c r="U217" s="84"/>
      <c r="V217" s="84"/>
      <c r="W217" s="84"/>
      <c r="X217" s="84"/>
      <c r="Y217" s="84"/>
      <c r="Z217" s="84"/>
    </row>
    <row r="218" ht="15.75" customHeight="1">
      <c r="A218" s="84"/>
      <c r="B218" s="84"/>
      <c r="C218" s="84"/>
      <c r="D218" s="84"/>
      <c r="E218" s="84"/>
      <c r="F218" s="84"/>
      <c r="G218" s="84"/>
      <c r="H218" s="84"/>
      <c r="I218" s="84"/>
      <c r="J218" s="84"/>
      <c r="K218" s="84"/>
      <c r="L218" s="84"/>
      <c r="M218" s="84"/>
      <c r="N218" s="84"/>
      <c r="O218" s="84"/>
      <c r="P218" s="84"/>
      <c r="Q218" s="84"/>
      <c r="R218" s="84"/>
      <c r="S218" s="84"/>
      <c r="T218" s="84"/>
      <c r="U218" s="84"/>
      <c r="V218" s="84"/>
      <c r="W218" s="84"/>
      <c r="X218" s="84"/>
      <c r="Y218" s="84"/>
      <c r="Z218" s="84"/>
    </row>
    <row r="219" ht="15.75" customHeight="1">
      <c r="A219" s="84"/>
      <c r="B219" s="84"/>
      <c r="C219" s="84"/>
      <c r="D219" s="84"/>
      <c r="E219" s="84"/>
      <c r="F219" s="84"/>
      <c r="G219" s="84"/>
      <c r="H219" s="84"/>
      <c r="I219" s="84"/>
      <c r="J219" s="84"/>
      <c r="K219" s="84"/>
      <c r="L219" s="84"/>
      <c r="M219" s="84"/>
      <c r="N219" s="84"/>
      <c r="O219" s="84"/>
      <c r="P219" s="84"/>
      <c r="Q219" s="84"/>
      <c r="R219" s="84"/>
      <c r="S219" s="84"/>
      <c r="T219" s="84"/>
      <c r="U219" s="84"/>
      <c r="V219" s="84"/>
      <c r="W219" s="84"/>
      <c r="X219" s="84"/>
      <c r="Y219" s="84"/>
      <c r="Z219" s="84"/>
    </row>
    <row r="220" ht="15.75" customHeight="1">
      <c r="A220" s="84"/>
      <c r="B220" s="84"/>
      <c r="C220" s="84"/>
      <c r="D220" s="84"/>
      <c r="E220" s="84"/>
      <c r="F220" s="84"/>
      <c r="G220" s="84"/>
      <c r="H220" s="84"/>
      <c r="I220" s="84"/>
      <c r="J220" s="84"/>
      <c r="K220" s="84"/>
      <c r="L220" s="84"/>
      <c r="M220" s="84"/>
      <c r="N220" s="84"/>
      <c r="O220" s="84"/>
      <c r="P220" s="84"/>
      <c r="Q220" s="84"/>
      <c r="R220" s="84"/>
      <c r="S220" s="84"/>
      <c r="T220" s="84"/>
      <c r="U220" s="84"/>
      <c r="V220" s="84"/>
      <c r="W220" s="84"/>
      <c r="X220" s="84"/>
      <c r="Y220" s="84"/>
      <c r="Z220" s="84"/>
    </row>
    <row r="221" ht="15.75" customHeight="1">
      <c r="A221" s="84"/>
      <c r="B221" s="84"/>
      <c r="C221" s="84"/>
      <c r="D221" s="84"/>
      <c r="E221" s="84"/>
      <c r="F221" s="84"/>
      <c r="G221" s="84"/>
      <c r="H221" s="84"/>
      <c r="I221" s="84"/>
      <c r="J221" s="84"/>
      <c r="K221" s="84"/>
      <c r="L221" s="84"/>
      <c r="M221" s="84"/>
      <c r="N221" s="84"/>
      <c r="O221" s="84"/>
      <c r="P221" s="84"/>
      <c r="Q221" s="84"/>
      <c r="R221" s="84"/>
      <c r="S221" s="84"/>
      <c r="T221" s="84"/>
      <c r="U221" s="84"/>
      <c r="V221" s="84"/>
      <c r="W221" s="84"/>
      <c r="X221" s="84"/>
      <c r="Y221" s="84"/>
      <c r="Z221" s="84"/>
    </row>
    <row r="222" ht="15.75" customHeight="1">
      <c r="A222" s="84"/>
      <c r="B222" s="84"/>
      <c r="C222" s="84"/>
      <c r="D222" s="84"/>
      <c r="E222" s="84"/>
      <c r="F222" s="84"/>
      <c r="G222" s="84"/>
      <c r="H222" s="84"/>
      <c r="I222" s="84"/>
      <c r="J222" s="84"/>
      <c r="K222" s="84"/>
      <c r="L222" s="84"/>
      <c r="M222" s="84"/>
      <c r="N222" s="84"/>
      <c r="O222" s="84"/>
      <c r="P222" s="84"/>
      <c r="Q222" s="84"/>
      <c r="R222" s="84"/>
      <c r="S222" s="84"/>
      <c r="T222" s="84"/>
      <c r="U222" s="84"/>
      <c r="V222" s="84"/>
      <c r="W222" s="84"/>
      <c r="X222" s="84"/>
      <c r="Y222" s="84"/>
      <c r="Z222" s="84"/>
    </row>
    <row r="223" ht="15.75" customHeight="1">
      <c r="A223" s="84"/>
      <c r="B223" s="84"/>
      <c r="C223" s="84"/>
      <c r="D223" s="84"/>
      <c r="E223" s="84"/>
      <c r="F223" s="84"/>
      <c r="G223" s="84"/>
      <c r="H223" s="84"/>
      <c r="I223" s="84"/>
      <c r="J223" s="84"/>
      <c r="K223" s="84"/>
      <c r="L223" s="84"/>
      <c r="M223" s="84"/>
      <c r="N223" s="84"/>
      <c r="O223" s="84"/>
      <c r="P223" s="84"/>
      <c r="Q223" s="84"/>
      <c r="R223" s="84"/>
      <c r="S223" s="84"/>
      <c r="T223" s="84"/>
      <c r="U223" s="84"/>
      <c r="V223" s="84"/>
      <c r="W223" s="84"/>
      <c r="X223" s="84"/>
      <c r="Y223" s="84"/>
      <c r="Z223" s="84"/>
    </row>
    <row r="224" ht="15.75" customHeight="1">
      <c r="A224" s="84"/>
      <c r="B224" s="84"/>
      <c r="C224" s="84"/>
      <c r="D224" s="84"/>
      <c r="E224" s="84"/>
      <c r="F224" s="84"/>
      <c r="G224" s="84"/>
      <c r="H224" s="84"/>
      <c r="I224" s="84"/>
      <c r="J224" s="84"/>
      <c r="K224" s="84"/>
      <c r="L224" s="84"/>
      <c r="M224" s="84"/>
      <c r="N224" s="84"/>
      <c r="O224" s="84"/>
      <c r="P224" s="84"/>
      <c r="Q224" s="84"/>
      <c r="R224" s="84"/>
      <c r="S224" s="84"/>
      <c r="T224" s="84"/>
      <c r="U224" s="84"/>
      <c r="V224" s="84"/>
      <c r="W224" s="84"/>
      <c r="X224" s="84"/>
      <c r="Y224" s="84"/>
      <c r="Z224" s="84"/>
    </row>
    <row r="225" ht="15.75" customHeight="1">
      <c r="A225" s="84"/>
      <c r="B225" s="84"/>
      <c r="C225" s="84"/>
      <c r="D225" s="84"/>
      <c r="E225" s="84"/>
      <c r="F225" s="84"/>
      <c r="G225" s="84"/>
      <c r="H225" s="84"/>
      <c r="I225" s="84"/>
      <c r="J225" s="84"/>
      <c r="K225" s="84"/>
      <c r="L225" s="84"/>
      <c r="M225" s="84"/>
      <c r="N225" s="84"/>
      <c r="O225" s="84"/>
      <c r="P225" s="84"/>
      <c r="Q225" s="84"/>
      <c r="R225" s="84"/>
      <c r="S225" s="84"/>
      <c r="T225" s="84"/>
      <c r="U225" s="84"/>
      <c r="V225" s="84"/>
      <c r="W225" s="84"/>
      <c r="X225" s="84"/>
      <c r="Y225" s="84"/>
      <c r="Z225" s="84"/>
    </row>
    <row r="226" ht="15.75" customHeight="1">
      <c r="A226" s="84"/>
      <c r="B226" s="84"/>
      <c r="C226" s="84"/>
      <c r="D226" s="84"/>
      <c r="E226" s="84"/>
      <c r="F226" s="84"/>
      <c r="G226" s="84"/>
      <c r="H226" s="84"/>
      <c r="I226" s="84"/>
      <c r="J226" s="84"/>
      <c r="K226" s="84"/>
      <c r="L226" s="84"/>
      <c r="M226" s="84"/>
      <c r="N226" s="84"/>
      <c r="O226" s="84"/>
      <c r="P226" s="84"/>
      <c r="Q226" s="84"/>
      <c r="R226" s="84"/>
      <c r="S226" s="84"/>
      <c r="T226" s="84"/>
      <c r="U226" s="84"/>
      <c r="V226" s="84"/>
      <c r="W226" s="84"/>
      <c r="X226" s="84"/>
      <c r="Y226" s="84"/>
      <c r="Z226" s="84"/>
    </row>
    <row r="227" ht="15.75" customHeight="1">
      <c r="A227" s="84"/>
      <c r="B227" s="84"/>
      <c r="C227" s="84"/>
      <c r="D227" s="84"/>
      <c r="E227" s="84"/>
      <c r="F227" s="84"/>
      <c r="G227" s="84"/>
      <c r="H227" s="84"/>
      <c r="I227" s="84"/>
      <c r="J227" s="84"/>
      <c r="K227" s="84"/>
      <c r="L227" s="84"/>
      <c r="M227" s="84"/>
      <c r="N227" s="84"/>
      <c r="O227" s="84"/>
      <c r="P227" s="84"/>
      <c r="Q227" s="84"/>
      <c r="R227" s="84"/>
      <c r="S227" s="84"/>
      <c r="T227" s="84"/>
      <c r="U227" s="84"/>
      <c r="V227" s="84"/>
      <c r="W227" s="84"/>
      <c r="X227" s="84"/>
      <c r="Y227" s="84"/>
      <c r="Z227" s="84"/>
    </row>
    <row r="228" ht="15.75" customHeight="1">
      <c r="A228" s="84"/>
      <c r="B228" s="84"/>
      <c r="C228" s="84"/>
      <c r="D228" s="84"/>
      <c r="E228" s="84"/>
      <c r="F228" s="84"/>
      <c r="G228" s="84"/>
      <c r="H228" s="84"/>
      <c r="I228" s="84"/>
      <c r="J228" s="84"/>
      <c r="K228" s="84"/>
      <c r="L228" s="84"/>
      <c r="M228" s="84"/>
      <c r="N228" s="84"/>
      <c r="O228" s="84"/>
      <c r="P228" s="84"/>
      <c r="Q228" s="84"/>
      <c r="R228" s="84"/>
      <c r="S228" s="84"/>
      <c r="T228" s="84"/>
      <c r="U228" s="84"/>
      <c r="V228" s="84"/>
      <c r="W228" s="84"/>
      <c r="X228" s="84"/>
      <c r="Y228" s="84"/>
      <c r="Z228" s="84"/>
    </row>
    <row r="229" ht="15.75" customHeight="1">
      <c r="A229" s="84"/>
      <c r="B229" s="84"/>
      <c r="C229" s="84"/>
      <c r="D229" s="84"/>
      <c r="E229" s="84"/>
      <c r="F229" s="84"/>
      <c r="G229" s="84"/>
      <c r="H229" s="84"/>
      <c r="I229" s="84"/>
      <c r="J229" s="84"/>
      <c r="K229" s="84"/>
      <c r="L229" s="84"/>
      <c r="M229" s="84"/>
      <c r="N229" s="84"/>
      <c r="O229" s="84"/>
      <c r="P229" s="84"/>
      <c r="Q229" s="84"/>
      <c r="R229" s="84"/>
      <c r="S229" s="84"/>
      <c r="T229" s="84"/>
      <c r="U229" s="84"/>
      <c r="V229" s="84"/>
      <c r="W229" s="84"/>
      <c r="X229" s="84"/>
      <c r="Y229" s="84"/>
      <c r="Z229" s="84"/>
    </row>
    <row r="230" ht="15.75" customHeight="1">
      <c r="A230" s="84"/>
      <c r="B230" s="84"/>
      <c r="C230" s="84"/>
      <c r="D230" s="84"/>
      <c r="E230" s="84"/>
      <c r="F230" s="84"/>
      <c r="G230" s="84"/>
      <c r="H230" s="84"/>
      <c r="I230" s="84"/>
      <c r="J230" s="84"/>
      <c r="K230" s="84"/>
      <c r="L230" s="84"/>
      <c r="M230" s="84"/>
      <c r="N230" s="84"/>
      <c r="O230" s="84"/>
      <c r="P230" s="84"/>
      <c r="Q230" s="84"/>
      <c r="R230" s="84"/>
      <c r="S230" s="84"/>
      <c r="T230" s="84"/>
      <c r="U230" s="84"/>
      <c r="V230" s="84"/>
      <c r="W230" s="84"/>
      <c r="X230" s="84"/>
      <c r="Y230" s="84"/>
      <c r="Z230" s="84"/>
    </row>
    <row r="231" ht="15.75" customHeight="1">
      <c r="A231" s="84"/>
      <c r="B231" s="84"/>
      <c r="C231" s="84"/>
      <c r="D231" s="84"/>
      <c r="E231" s="84"/>
      <c r="F231" s="84"/>
      <c r="G231" s="84"/>
      <c r="H231" s="84"/>
      <c r="I231" s="84"/>
      <c r="J231" s="84"/>
      <c r="K231" s="84"/>
      <c r="L231" s="84"/>
      <c r="M231" s="84"/>
      <c r="N231" s="84"/>
      <c r="O231" s="84"/>
      <c r="P231" s="84"/>
      <c r="Q231" s="84"/>
      <c r="R231" s="84"/>
      <c r="S231" s="84"/>
      <c r="T231" s="84"/>
      <c r="U231" s="84"/>
      <c r="V231" s="84"/>
      <c r="W231" s="84"/>
      <c r="X231" s="84"/>
      <c r="Y231" s="84"/>
      <c r="Z231" s="84"/>
    </row>
    <row r="232" ht="15.75" customHeight="1">
      <c r="A232" s="84"/>
      <c r="B232" s="84"/>
      <c r="C232" s="84"/>
      <c r="D232" s="84"/>
      <c r="E232" s="84"/>
      <c r="F232" s="84"/>
      <c r="G232" s="84"/>
      <c r="H232" s="84"/>
      <c r="I232" s="84"/>
      <c r="J232" s="84"/>
      <c r="K232" s="84"/>
      <c r="L232" s="84"/>
      <c r="M232" s="84"/>
      <c r="N232" s="84"/>
      <c r="O232" s="84"/>
      <c r="P232" s="84"/>
      <c r="Q232" s="84"/>
      <c r="R232" s="84"/>
      <c r="S232" s="84"/>
      <c r="T232" s="84"/>
      <c r="U232" s="84"/>
      <c r="V232" s="84"/>
      <c r="W232" s="84"/>
      <c r="X232" s="84"/>
      <c r="Y232" s="84"/>
      <c r="Z232" s="84"/>
    </row>
    <row r="233" ht="15.75" customHeight="1">
      <c r="A233" s="84"/>
      <c r="B233" s="84"/>
      <c r="C233" s="84"/>
      <c r="D233" s="84"/>
      <c r="E233" s="84"/>
      <c r="F233" s="84"/>
      <c r="G233" s="84"/>
      <c r="H233" s="84"/>
      <c r="I233" s="84"/>
      <c r="J233" s="84"/>
      <c r="K233" s="84"/>
      <c r="L233" s="84"/>
      <c r="M233" s="84"/>
      <c r="N233" s="84"/>
      <c r="O233" s="84"/>
      <c r="P233" s="84"/>
      <c r="Q233" s="84"/>
      <c r="R233" s="84"/>
      <c r="S233" s="84"/>
      <c r="T233" s="84"/>
      <c r="U233" s="84"/>
      <c r="V233" s="84"/>
      <c r="W233" s="84"/>
      <c r="X233" s="84"/>
      <c r="Y233" s="84"/>
      <c r="Z233" s="84"/>
    </row>
    <row r="234" ht="15.75" customHeight="1">
      <c r="A234" s="84"/>
      <c r="B234" s="84"/>
      <c r="C234" s="84"/>
      <c r="D234" s="84"/>
      <c r="E234" s="84"/>
      <c r="F234" s="84"/>
      <c r="G234" s="84"/>
      <c r="H234" s="84"/>
      <c r="I234" s="84"/>
      <c r="J234" s="84"/>
      <c r="K234" s="84"/>
      <c r="L234" s="84"/>
      <c r="M234" s="84"/>
      <c r="N234" s="84"/>
      <c r="O234" s="84"/>
      <c r="P234" s="84"/>
      <c r="Q234" s="84"/>
      <c r="R234" s="84"/>
      <c r="S234" s="84"/>
      <c r="T234" s="84"/>
      <c r="U234" s="84"/>
      <c r="V234" s="84"/>
      <c r="W234" s="84"/>
      <c r="X234" s="84"/>
      <c r="Y234" s="84"/>
      <c r="Z234" s="84"/>
    </row>
    <row r="235" ht="15.75" customHeight="1">
      <c r="A235" s="84"/>
      <c r="B235" s="84"/>
      <c r="C235" s="84"/>
      <c r="D235" s="84"/>
      <c r="E235" s="84"/>
      <c r="F235" s="84"/>
      <c r="G235" s="84"/>
      <c r="H235" s="84"/>
      <c r="I235" s="84"/>
      <c r="J235" s="84"/>
      <c r="K235" s="84"/>
      <c r="L235" s="84"/>
      <c r="M235" s="84"/>
      <c r="N235" s="84"/>
      <c r="O235" s="84"/>
      <c r="P235" s="84"/>
      <c r="Q235" s="84"/>
      <c r="R235" s="84"/>
      <c r="S235" s="84"/>
      <c r="T235" s="84"/>
      <c r="U235" s="84"/>
      <c r="V235" s="84"/>
      <c r="W235" s="84"/>
      <c r="X235" s="84"/>
      <c r="Y235" s="84"/>
      <c r="Z235" s="84"/>
    </row>
    <row r="236" ht="15.75" customHeight="1">
      <c r="A236" s="84"/>
      <c r="B236" s="84"/>
      <c r="C236" s="84"/>
      <c r="D236" s="84"/>
      <c r="E236" s="84"/>
      <c r="F236" s="84"/>
    </row>
    <row r="237" ht="15.75" customHeight="1">
      <c r="A237" s="84"/>
      <c r="B237" s="84"/>
      <c r="C237" s="84"/>
      <c r="D237" s="84"/>
      <c r="E237" s="84"/>
      <c r="F237" s="84"/>
    </row>
    <row r="238" ht="15.75" customHeight="1">
      <c r="A238" s="84"/>
      <c r="B238" s="84"/>
      <c r="C238" s="84"/>
      <c r="D238" s="84"/>
      <c r="E238" s="84"/>
      <c r="F238" s="84"/>
    </row>
    <row r="239" ht="15.75" customHeight="1">
      <c r="A239" s="84"/>
      <c r="B239" s="84"/>
      <c r="C239" s="84"/>
      <c r="D239" s="84"/>
      <c r="E239" s="84"/>
      <c r="F239" s="84"/>
    </row>
    <row r="240" ht="15.75" customHeight="1">
      <c r="A240" s="84"/>
      <c r="B240" s="84"/>
      <c r="C240" s="84"/>
      <c r="D240" s="84"/>
      <c r="E240" s="84"/>
      <c r="F240" s="84"/>
    </row>
    <row r="241" ht="15.75" customHeight="1">
      <c r="A241" s="84"/>
      <c r="B241" s="84"/>
      <c r="C241" s="84"/>
      <c r="D241" s="84"/>
      <c r="E241" s="84"/>
      <c r="F241" s="84"/>
    </row>
    <row r="242" ht="15.75" customHeight="1">
      <c r="A242" s="84"/>
      <c r="B242" s="84"/>
      <c r="C242" s="84"/>
      <c r="D242" s="84"/>
      <c r="E242" s="84"/>
      <c r="F242" s="84"/>
    </row>
    <row r="243" ht="15.75" customHeight="1">
      <c r="A243" s="84"/>
      <c r="B243" s="84"/>
      <c r="C243" s="84"/>
      <c r="D243" s="84"/>
      <c r="E243" s="84"/>
      <c r="F243" s="84"/>
    </row>
    <row r="244" ht="15.75" customHeight="1">
      <c r="A244" s="84"/>
      <c r="B244" s="84"/>
      <c r="C244" s="84"/>
      <c r="D244" s="84"/>
      <c r="E244" s="84"/>
      <c r="F244" s="84"/>
    </row>
    <row r="245" ht="15.75" customHeight="1">
      <c r="A245" s="84"/>
      <c r="B245" s="84"/>
      <c r="C245" s="84"/>
      <c r="D245" s="84"/>
      <c r="E245" s="84"/>
      <c r="F245" s="84"/>
    </row>
    <row r="246" ht="15.75" customHeight="1">
      <c r="A246" s="84"/>
      <c r="B246" s="84"/>
      <c r="C246" s="84"/>
      <c r="D246" s="84"/>
      <c r="E246" s="84"/>
      <c r="F246" s="84"/>
    </row>
    <row r="247" ht="15.75" customHeight="1">
      <c r="A247" s="84"/>
      <c r="B247" s="84"/>
      <c r="C247" s="84"/>
      <c r="D247" s="84"/>
      <c r="E247" s="84"/>
      <c r="F247" s="84"/>
    </row>
    <row r="248" ht="15.75" customHeight="1">
      <c r="A248" s="84"/>
      <c r="B248" s="84"/>
      <c r="C248" s="84"/>
      <c r="D248" s="84"/>
      <c r="E248" s="84"/>
      <c r="F248" s="84"/>
    </row>
    <row r="249" ht="15.75" customHeight="1">
      <c r="A249" s="84"/>
      <c r="B249" s="84"/>
      <c r="C249" s="84"/>
      <c r="D249" s="84"/>
      <c r="E249" s="84"/>
      <c r="F249" s="84"/>
    </row>
    <row r="250" ht="15.75" customHeight="1">
      <c r="A250" s="84"/>
      <c r="B250" s="84"/>
      <c r="C250" s="84"/>
      <c r="D250" s="84"/>
      <c r="E250" s="84"/>
      <c r="F250" s="84"/>
    </row>
    <row r="251" ht="15.75" customHeight="1">
      <c r="A251" s="84"/>
      <c r="B251" s="84"/>
      <c r="C251" s="84"/>
      <c r="D251" s="84"/>
      <c r="E251" s="84"/>
      <c r="F251" s="84"/>
    </row>
    <row r="252" ht="15.75" customHeight="1">
      <c r="A252" s="84"/>
      <c r="B252" s="84"/>
      <c r="C252" s="84"/>
      <c r="D252" s="84"/>
      <c r="E252" s="84"/>
      <c r="F252" s="84"/>
    </row>
    <row r="253" ht="15.75" customHeight="1">
      <c r="A253" s="84"/>
      <c r="B253" s="84"/>
      <c r="C253" s="84"/>
      <c r="D253" s="84"/>
      <c r="E253" s="84"/>
      <c r="F253" s="84"/>
    </row>
    <row r="254" ht="15.75" customHeight="1">
      <c r="A254" s="84"/>
      <c r="B254" s="84"/>
      <c r="C254" s="84"/>
      <c r="D254" s="84"/>
      <c r="E254" s="84"/>
      <c r="F254" s="84"/>
    </row>
    <row r="255" ht="15.75" customHeight="1">
      <c r="A255" s="84"/>
      <c r="B255" s="84"/>
      <c r="C255" s="84"/>
      <c r="D255" s="84"/>
      <c r="E255" s="84"/>
      <c r="F255" s="84"/>
    </row>
    <row r="256" ht="15.75" customHeight="1">
      <c r="A256" s="84"/>
      <c r="B256" s="84"/>
      <c r="C256" s="84"/>
      <c r="D256" s="84"/>
      <c r="E256" s="84"/>
      <c r="F256" s="84"/>
    </row>
    <row r="257" ht="15.75" customHeight="1">
      <c r="A257" s="84"/>
      <c r="B257" s="84"/>
      <c r="C257" s="84"/>
      <c r="D257" s="84"/>
      <c r="E257" s="84"/>
      <c r="F257" s="84"/>
    </row>
    <row r="258" ht="15.75" customHeight="1">
      <c r="A258" s="84"/>
      <c r="B258" s="84"/>
      <c r="C258" s="84"/>
      <c r="D258" s="84"/>
      <c r="E258" s="84"/>
      <c r="F258" s="84"/>
    </row>
    <row r="259" ht="15.75" customHeight="1">
      <c r="A259" s="84"/>
      <c r="B259" s="84"/>
      <c r="C259" s="84"/>
      <c r="D259" s="84"/>
      <c r="E259" s="84"/>
      <c r="F259" s="84"/>
    </row>
    <row r="260" ht="15.75" customHeight="1">
      <c r="A260" s="84"/>
      <c r="B260" s="84"/>
      <c r="C260" s="84"/>
      <c r="D260" s="84"/>
      <c r="E260" s="84"/>
      <c r="F260" s="84"/>
    </row>
    <row r="261" ht="15.75" customHeight="1">
      <c r="A261" s="84"/>
      <c r="B261" s="84"/>
      <c r="C261" s="84"/>
      <c r="D261" s="84"/>
      <c r="E261" s="84"/>
      <c r="F261" s="84"/>
    </row>
    <row r="262" ht="15.75" customHeight="1">
      <c r="A262" s="84"/>
      <c r="B262" s="84"/>
      <c r="C262" s="84"/>
      <c r="D262" s="84"/>
      <c r="E262" s="84"/>
      <c r="F262" s="84"/>
    </row>
    <row r="263" ht="15.75" customHeight="1">
      <c r="A263" s="84"/>
      <c r="B263" s="84"/>
      <c r="C263" s="84"/>
      <c r="D263" s="84"/>
      <c r="E263" s="84"/>
      <c r="F263" s="84"/>
    </row>
    <row r="264" ht="15.75" customHeight="1">
      <c r="A264" s="84"/>
      <c r="B264" s="84"/>
      <c r="C264" s="84"/>
      <c r="D264" s="84"/>
      <c r="E264" s="84"/>
      <c r="F264" s="84"/>
    </row>
    <row r="265" ht="15.75" customHeight="1">
      <c r="A265" s="84"/>
      <c r="B265" s="84"/>
      <c r="C265" s="84"/>
      <c r="D265" s="84"/>
      <c r="E265" s="84"/>
      <c r="F265" s="84"/>
    </row>
    <row r="266" ht="15.75" customHeight="1">
      <c r="A266" s="84"/>
      <c r="B266" s="84"/>
      <c r="C266" s="84"/>
      <c r="D266" s="84"/>
      <c r="E266" s="84"/>
      <c r="F266" s="84"/>
    </row>
    <row r="267" ht="15.75" customHeight="1">
      <c r="A267" s="84"/>
      <c r="B267" s="84"/>
      <c r="C267" s="84"/>
      <c r="D267" s="84"/>
      <c r="E267" s="84"/>
      <c r="F267" s="84"/>
    </row>
    <row r="268" ht="15.75" customHeight="1">
      <c r="A268" s="84"/>
      <c r="B268" s="84"/>
      <c r="C268" s="84"/>
      <c r="D268" s="84"/>
      <c r="E268" s="84"/>
      <c r="F268" s="84"/>
    </row>
    <row r="269" ht="15.75" customHeight="1">
      <c r="A269" s="84"/>
      <c r="B269" s="84"/>
      <c r="C269" s="84"/>
      <c r="D269" s="84"/>
      <c r="E269" s="84"/>
      <c r="F269" s="84"/>
    </row>
    <row r="270" ht="15.75" customHeight="1">
      <c r="A270" s="84"/>
      <c r="B270" s="84"/>
      <c r="C270" s="84"/>
      <c r="D270" s="84"/>
      <c r="E270" s="84"/>
      <c r="F270" s="84"/>
    </row>
    <row r="271" ht="15.75" customHeight="1">
      <c r="A271" s="84"/>
      <c r="B271" s="84"/>
      <c r="C271" s="84"/>
      <c r="D271" s="84"/>
      <c r="E271" s="84"/>
      <c r="F271" s="84"/>
    </row>
    <row r="272" ht="15.75" customHeight="1">
      <c r="A272" s="84"/>
      <c r="B272" s="84"/>
      <c r="C272" s="84"/>
      <c r="D272" s="84"/>
      <c r="E272" s="84"/>
      <c r="F272" s="84"/>
    </row>
    <row r="273" ht="15.75" customHeight="1">
      <c r="A273" s="84"/>
      <c r="B273" s="84"/>
      <c r="C273" s="84"/>
      <c r="D273" s="84"/>
      <c r="E273" s="84"/>
      <c r="F273" s="84"/>
    </row>
    <row r="274" ht="15.75" customHeight="1">
      <c r="A274" s="84"/>
      <c r="B274" s="84"/>
      <c r="C274" s="84"/>
      <c r="D274" s="84"/>
      <c r="E274" s="84"/>
      <c r="F274" s="84"/>
    </row>
    <row r="275" ht="15.75" customHeight="1">
      <c r="A275" s="84"/>
      <c r="B275" s="84"/>
      <c r="C275" s="84"/>
      <c r="D275" s="84"/>
      <c r="E275" s="84"/>
      <c r="F275" s="84"/>
    </row>
    <row r="276" ht="15.75" customHeight="1">
      <c r="A276" s="84"/>
      <c r="B276" s="84"/>
      <c r="C276" s="84"/>
      <c r="D276" s="84"/>
      <c r="E276" s="84"/>
      <c r="F276" s="84"/>
    </row>
    <row r="277" ht="15.75" customHeight="1">
      <c r="A277" s="84"/>
      <c r="B277" s="84"/>
      <c r="C277" s="84"/>
      <c r="D277" s="84"/>
      <c r="E277" s="84"/>
      <c r="F277" s="84"/>
    </row>
    <row r="278" ht="15.75" customHeight="1">
      <c r="A278" s="84"/>
      <c r="B278" s="84"/>
      <c r="C278" s="84"/>
      <c r="D278" s="84"/>
      <c r="E278" s="84"/>
      <c r="F278" s="84"/>
    </row>
    <row r="279" ht="15.75" customHeight="1">
      <c r="A279" s="84"/>
      <c r="B279" s="84"/>
      <c r="C279" s="84"/>
      <c r="D279" s="84"/>
      <c r="E279" s="84"/>
      <c r="F279" s="84"/>
    </row>
    <row r="280" ht="15.75" customHeight="1">
      <c r="A280" s="84"/>
      <c r="B280" s="84"/>
      <c r="C280" s="84"/>
      <c r="D280" s="84"/>
      <c r="E280" s="84"/>
      <c r="F280" s="84"/>
    </row>
    <row r="281" ht="15.75" customHeight="1">
      <c r="A281" s="84"/>
      <c r="B281" s="84"/>
      <c r="C281" s="84"/>
      <c r="D281" s="84"/>
      <c r="E281" s="84"/>
      <c r="F281" s="84"/>
    </row>
    <row r="282" ht="15.75" customHeight="1">
      <c r="A282" s="84"/>
      <c r="B282" s="84"/>
      <c r="C282" s="84"/>
      <c r="D282" s="84"/>
      <c r="E282" s="84"/>
      <c r="F282" s="84"/>
    </row>
    <row r="283" ht="15.75" customHeight="1">
      <c r="A283" s="84"/>
      <c r="B283" s="84"/>
      <c r="C283" s="84"/>
      <c r="D283" s="84"/>
      <c r="E283" s="84"/>
      <c r="F283" s="84"/>
    </row>
    <row r="284" ht="15.75" customHeight="1">
      <c r="A284" s="84"/>
      <c r="B284" s="84"/>
      <c r="C284" s="84"/>
      <c r="D284" s="84"/>
      <c r="E284" s="84"/>
      <c r="F284" s="84"/>
    </row>
    <row r="285" ht="15.75" customHeight="1">
      <c r="A285" s="84"/>
      <c r="B285" s="84"/>
      <c r="C285" s="84"/>
      <c r="D285" s="84"/>
      <c r="E285" s="84"/>
      <c r="F285" s="84"/>
    </row>
    <row r="286" ht="15.75" customHeight="1">
      <c r="A286" s="84"/>
      <c r="B286" s="84"/>
      <c r="C286" s="84"/>
      <c r="D286" s="84"/>
      <c r="E286" s="84"/>
      <c r="F286" s="84"/>
    </row>
    <row r="287" ht="15.75" customHeight="1">
      <c r="A287" s="84"/>
      <c r="B287" s="84"/>
      <c r="C287" s="84"/>
      <c r="D287" s="84"/>
      <c r="E287" s="84"/>
      <c r="F287" s="84"/>
    </row>
    <row r="288" ht="15.75" customHeight="1">
      <c r="A288" s="84"/>
      <c r="B288" s="84"/>
      <c r="C288" s="84"/>
      <c r="D288" s="84"/>
      <c r="E288" s="84"/>
      <c r="F288" s="84"/>
    </row>
    <row r="289" ht="15.75" customHeight="1">
      <c r="A289" s="84"/>
      <c r="B289" s="84"/>
      <c r="C289" s="84"/>
      <c r="D289" s="84"/>
      <c r="E289" s="84"/>
      <c r="F289" s="84"/>
    </row>
    <row r="290" ht="15.75" customHeight="1">
      <c r="A290" s="84"/>
      <c r="B290" s="84"/>
      <c r="C290" s="84"/>
      <c r="D290" s="84"/>
      <c r="E290" s="84"/>
      <c r="F290" s="84"/>
    </row>
    <row r="291" ht="15.75" customHeight="1">
      <c r="A291" s="84"/>
      <c r="B291" s="84"/>
      <c r="C291" s="84"/>
      <c r="D291" s="84"/>
      <c r="E291" s="84"/>
      <c r="F291" s="84"/>
    </row>
    <row r="292" ht="15.75" customHeight="1">
      <c r="A292" s="84"/>
      <c r="B292" s="84"/>
      <c r="C292" s="84"/>
      <c r="D292" s="84"/>
      <c r="E292" s="84"/>
      <c r="F292" s="84"/>
    </row>
    <row r="293" ht="15.75" customHeight="1">
      <c r="A293" s="84"/>
      <c r="B293" s="84"/>
      <c r="C293" s="84"/>
      <c r="D293" s="84"/>
      <c r="E293" s="84"/>
      <c r="F293" s="84"/>
    </row>
    <row r="294" ht="15.75" customHeight="1">
      <c r="A294" s="84"/>
      <c r="B294" s="84"/>
      <c r="C294" s="84"/>
      <c r="D294" s="84"/>
      <c r="E294" s="84"/>
      <c r="F294" s="84"/>
    </row>
    <row r="295" ht="15.75" customHeight="1">
      <c r="A295" s="84"/>
      <c r="B295" s="84"/>
      <c r="C295" s="84"/>
      <c r="D295" s="84"/>
      <c r="E295" s="84"/>
      <c r="F295" s="84"/>
    </row>
    <row r="296" ht="15.75" customHeight="1">
      <c r="A296" s="84"/>
      <c r="B296" s="84"/>
      <c r="C296" s="84"/>
      <c r="D296" s="84"/>
      <c r="E296" s="84"/>
      <c r="F296" s="84"/>
    </row>
    <row r="297" ht="15.75" customHeight="1">
      <c r="A297" s="84"/>
      <c r="B297" s="84"/>
      <c r="C297" s="84"/>
      <c r="D297" s="84"/>
      <c r="E297" s="84"/>
      <c r="F297" s="84"/>
    </row>
    <row r="298" ht="15.75" customHeight="1">
      <c r="A298" s="84"/>
      <c r="B298" s="84"/>
      <c r="C298" s="84"/>
      <c r="D298" s="84"/>
      <c r="E298" s="84"/>
      <c r="F298" s="84"/>
    </row>
    <row r="299" ht="15.75" customHeight="1">
      <c r="A299" s="84"/>
      <c r="B299" s="84"/>
      <c r="C299" s="84"/>
      <c r="D299" s="84"/>
      <c r="E299" s="84"/>
      <c r="F299" s="84"/>
    </row>
    <row r="300" ht="15.75" customHeight="1">
      <c r="A300" s="84"/>
      <c r="B300" s="84"/>
      <c r="C300" s="84"/>
      <c r="D300" s="84"/>
      <c r="E300" s="84"/>
      <c r="F300" s="84"/>
    </row>
    <row r="301" ht="15.75" customHeight="1">
      <c r="A301" s="84"/>
      <c r="B301" s="84"/>
      <c r="C301" s="84"/>
      <c r="D301" s="84"/>
      <c r="E301" s="84"/>
      <c r="F301" s="84"/>
    </row>
    <row r="302" ht="15.75" customHeight="1">
      <c r="A302" s="84"/>
      <c r="B302" s="84"/>
      <c r="C302" s="84"/>
      <c r="D302" s="84"/>
      <c r="E302" s="84"/>
      <c r="F302" s="84"/>
    </row>
    <row r="303" ht="15.75" customHeight="1">
      <c r="A303" s="84"/>
      <c r="B303" s="84"/>
      <c r="C303" s="84"/>
      <c r="D303" s="84"/>
      <c r="E303" s="84"/>
      <c r="F303" s="84"/>
    </row>
    <row r="304" ht="15.75" customHeight="1">
      <c r="A304" s="84"/>
      <c r="B304" s="84"/>
      <c r="C304" s="84"/>
      <c r="D304" s="84"/>
      <c r="E304" s="84"/>
      <c r="F304" s="84"/>
    </row>
    <row r="305" ht="15.75" customHeight="1">
      <c r="A305" s="84"/>
      <c r="B305" s="84"/>
      <c r="C305" s="84"/>
      <c r="D305" s="84"/>
      <c r="E305" s="84"/>
      <c r="F305" s="84"/>
    </row>
    <row r="306" ht="15.75" customHeight="1">
      <c r="A306" s="84"/>
      <c r="B306" s="84"/>
      <c r="C306" s="84"/>
      <c r="D306" s="84"/>
      <c r="E306" s="84"/>
      <c r="F306" s="84"/>
    </row>
    <row r="307" ht="15.75" customHeight="1">
      <c r="A307" s="84"/>
      <c r="B307" s="84"/>
      <c r="C307" s="84"/>
      <c r="D307" s="84"/>
      <c r="E307" s="84"/>
      <c r="F307" s="84"/>
    </row>
    <row r="308" ht="15.75" customHeight="1">
      <c r="A308" s="84"/>
      <c r="B308" s="84"/>
      <c r="C308" s="84"/>
      <c r="D308" s="84"/>
      <c r="E308" s="84"/>
      <c r="F308" s="84"/>
    </row>
    <row r="309" ht="15.75" customHeight="1">
      <c r="A309" s="84"/>
      <c r="B309" s="84"/>
      <c r="C309" s="84"/>
      <c r="D309" s="84"/>
      <c r="E309" s="84"/>
      <c r="F309" s="84"/>
    </row>
    <row r="310" ht="15.75" customHeight="1">
      <c r="A310" s="84"/>
      <c r="B310" s="84"/>
      <c r="C310" s="84"/>
      <c r="D310" s="84"/>
      <c r="E310" s="84"/>
      <c r="F310" s="84"/>
    </row>
    <row r="311" ht="15.75" customHeight="1">
      <c r="A311" s="84"/>
      <c r="B311" s="84"/>
      <c r="C311" s="84"/>
      <c r="D311" s="84"/>
      <c r="E311" s="84"/>
      <c r="F311" s="84"/>
    </row>
    <row r="312" ht="15.75" customHeight="1">
      <c r="A312" s="84"/>
      <c r="B312" s="84"/>
      <c r="C312" s="84"/>
      <c r="D312" s="84"/>
      <c r="E312" s="84"/>
      <c r="F312" s="84"/>
    </row>
    <row r="313" ht="15.75" customHeight="1">
      <c r="A313" s="84"/>
      <c r="B313" s="84"/>
      <c r="C313" s="84"/>
      <c r="D313" s="84"/>
      <c r="E313" s="84"/>
      <c r="F313" s="84"/>
    </row>
    <row r="314" ht="15.75" customHeight="1">
      <c r="A314" s="84"/>
      <c r="B314" s="84"/>
      <c r="C314" s="84"/>
      <c r="D314" s="84"/>
      <c r="E314" s="84"/>
      <c r="F314" s="84"/>
    </row>
    <row r="315" ht="15.75" customHeight="1">
      <c r="A315" s="84"/>
      <c r="B315" s="84"/>
      <c r="C315" s="84"/>
      <c r="D315" s="84"/>
      <c r="E315" s="84"/>
      <c r="F315" s="84"/>
    </row>
    <row r="316" ht="15.75" customHeight="1">
      <c r="A316" s="84"/>
      <c r="B316" s="84"/>
      <c r="C316" s="84"/>
      <c r="D316" s="84"/>
      <c r="E316" s="84"/>
      <c r="F316" s="84"/>
    </row>
    <row r="317" ht="15.75" customHeight="1">
      <c r="A317" s="84"/>
      <c r="B317" s="84"/>
      <c r="C317" s="84"/>
      <c r="D317" s="84"/>
      <c r="E317" s="84"/>
      <c r="F317" s="84"/>
    </row>
    <row r="318" ht="15.75" customHeight="1">
      <c r="A318" s="84"/>
      <c r="B318" s="84"/>
      <c r="C318" s="84"/>
      <c r="D318" s="84"/>
      <c r="E318" s="84"/>
      <c r="F318" s="84"/>
    </row>
    <row r="319" ht="15.75" customHeight="1">
      <c r="A319" s="84"/>
      <c r="B319" s="84"/>
      <c r="C319" s="84"/>
      <c r="D319" s="84"/>
      <c r="E319" s="84"/>
      <c r="F319" s="84"/>
    </row>
    <row r="320" ht="15.75" customHeight="1">
      <c r="A320" s="84"/>
      <c r="B320" s="84"/>
      <c r="C320" s="84"/>
      <c r="D320" s="84"/>
      <c r="E320" s="84"/>
      <c r="F320" s="84"/>
    </row>
    <row r="321" ht="15.75" customHeight="1">
      <c r="A321" s="84"/>
      <c r="B321" s="84"/>
      <c r="C321" s="84"/>
      <c r="D321" s="84"/>
      <c r="E321" s="84"/>
      <c r="F321" s="84"/>
    </row>
    <row r="322" ht="15.75" customHeight="1">
      <c r="A322" s="84"/>
      <c r="B322" s="84"/>
      <c r="C322" s="84"/>
      <c r="D322" s="84"/>
      <c r="E322" s="84"/>
      <c r="F322" s="84"/>
    </row>
    <row r="323" ht="15.75" customHeight="1">
      <c r="A323" s="84"/>
      <c r="B323" s="84"/>
      <c r="C323" s="84"/>
      <c r="D323" s="84"/>
      <c r="E323" s="84"/>
      <c r="F323" s="84"/>
    </row>
    <row r="324" ht="15.75" customHeight="1">
      <c r="A324" s="84"/>
      <c r="B324" s="84"/>
      <c r="C324" s="84"/>
      <c r="D324" s="84"/>
      <c r="E324" s="84"/>
      <c r="F324" s="84"/>
    </row>
    <row r="325" ht="15.75" customHeight="1">
      <c r="A325" s="84"/>
      <c r="B325" s="84"/>
      <c r="C325" s="84"/>
      <c r="D325" s="84"/>
      <c r="E325" s="84"/>
      <c r="F325" s="84"/>
    </row>
    <row r="326" ht="15.75" customHeight="1">
      <c r="A326" s="84"/>
      <c r="B326" s="84"/>
      <c r="C326" s="84"/>
      <c r="D326" s="84"/>
      <c r="E326" s="84"/>
      <c r="F326" s="84"/>
    </row>
    <row r="327" ht="15.75" customHeight="1">
      <c r="A327" s="84"/>
      <c r="B327" s="84"/>
      <c r="C327" s="84"/>
      <c r="D327" s="84"/>
      <c r="E327" s="84"/>
      <c r="F327" s="84"/>
    </row>
    <row r="328" ht="15.75" customHeight="1">
      <c r="A328" s="84"/>
      <c r="B328" s="84"/>
      <c r="C328" s="84"/>
      <c r="D328" s="84"/>
      <c r="E328" s="84"/>
      <c r="F328" s="84"/>
    </row>
    <row r="329" ht="15.75" customHeight="1">
      <c r="A329" s="84"/>
      <c r="B329" s="84"/>
      <c r="C329" s="84"/>
      <c r="D329" s="84"/>
      <c r="E329" s="84"/>
      <c r="F329" s="84"/>
    </row>
    <row r="330" ht="15.75" customHeight="1">
      <c r="A330" s="84"/>
      <c r="B330" s="84"/>
      <c r="C330" s="84"/>
      <c r="D330" s="84"/>
      <c r="E330" s="84"/>
      <c r="F330" s="84"/>
    </row>
    <row r="331" ht="15.75" customHeight="1">
      <c r="A331" s="84"/>
      <c r="B331" s="84"/>
      <c r="C331" s="84"/>
      <c r="D331" s="84"/>
      <c r="E331" s="84"/>
      <c r="F331" s="84"/>
    </row>
    <row r="332" ht="15.75" customHeight="1">
      <c r="A332" s="84"/>
      <c r="B332" s="84"/>
      <c r="C332" s="84"/>
      <c r="D332" s="84"/>
      <c r="E332" s="84"/>
      <c r="F332" s="84"/>
    </row>
    <row r="333" ht="15.75" customHeight="1">
      <c r="A333" s="84"/>
      <c r="B333" s="84"/>
      <c r="C333" s="84"/>
      <c r="D333" s="84"/>
      <c r="E333" s="84"/>
      <c r="F333" s="84"/>
    </row>
    <row r="334" ht="15.75" customHeight="1">
      <c r="A334" s="84"/>
      <c r="B334" s="84"/>
      <c r="C334" s="84"/>
      <c r="D334" s="84"/>
      <c r="E334" s="84"/>
      <c r="F334" s="84"/>
    </row>
    <row r="335" ht="15.75" customHeight="1">
      <c r="A335" s="84"/>
      <c r="B335" s="84"/>
      <c r="C335" s="84"/>
      <c r="D335" s="84"/>
      <c r="E335" s="84"/>
      <c r="F335" s="84"/>
    </row>
    <row r="336" ht="15.75" customHeight="1">
      <c r="A336" s="84"/>
      <c r="B336" s="84"/>
      <c r="C336" s="84"/>
      <c r="D336" s="84"/>
      <c r="E336" s="84"/>
      <c r="F336" s="84"/>
    </row>
    <row r="337" ht="15.75" customHeight="1">
      <c r="A337" s="84"/>
      <c r="B337" s="84"/>
      <c r="C337" s="84"/>
      <c r="D337" s="84"/>
      <c r="E337" s="84"/>
      <c r="F337" s="84"/>
    </row>
    <row r="338" ht="15.75" customHeight="1">
      <c r="A338" s="84"/>
      <c r="B338" s="84"/>
      <c r="C338" s="84"/>
      <c r="D338" s="84"/>
      <c r="E338" s="84"/>
      <c r="F338" s="84"/>
    </row>
    <row r="339" ht="15.75" customHeight="1">
      <c r="A339" s="84"/>
      <c r="B339" s="84"/>
      <c r="C339" s="84"/>
      <c r="D339" s="84"/>
      <c r="E339" s="84"/>
      <c r="F339" s="84"/>
    </row>
    <row r="340" ht="15.75" customHeight="1">
      <c r="A340" s="84"/>
      <c r="B340" s="84"/>
      <c r="C340" s="84"/>
      <c r="D340" s="84"/>
      <c r="E340" s="84"/>
      <c r="F340" s="84"/>
    </row>
    <row r="341" ht="15.75" customHeight="1">
      <c r="A341" s="84"/>
      <c r="B341" s="84"/>
      <c r="C341" s="84"/>
      <c r="D341" s="84"/>
      <c r="E341" s="84"/>
      <c r="F341" s="84"/>
    </row>
    <row r="342" ht="15.75" customHeight="1">
      <c r="A342" s="84"/>
      <c r="B342" s="84"/>
      <c r="C342" s="84"/>
      <c r="D342" s="84"/>
      <c r="E342" s="84"/>
      <c r="F342" s="84"/>
    </row>
    <row r="343" ht="15.75" customHeight="1">
      <c r="A343" s="84"/>
      <c r="B343" s="84"/>
      <c r="C343" s="84"/>
      <c r="D343" s="84"/>
      <c r="E343" s="84"/>
      <c r="F343" s="84"/>
    </row>
    <row r="344" ht="15.75" customHeight="1">
      <c r="A344" s="84"/>
      <c r="B344" s="84"/>
      <c r="C344" s="84"/>
      <c r="D344" s="84"/>
      <c r="E344" s="84"/>
      <c r="F344" s="84"/>
    </row>
    <row r="345" ht="15.75" customHeight="1">
      <c r="A345" s="84"/>
      <c r="B345" s="84"/>
      <c r="C345" s="84"/>
      <c r="D345" s="84"/>
      <c r="E345" s="84"/>
      <c r="F345" s="84"/>
    </row>
    <row r="346" ht="15.75" customHeight="1">
      <c r="A346" s="84"/>
      <c r="B346" s="84"/>
      <c r="C346" s="84"/>
      <c r="D346" s="84"/>
      <c r="E346" s="84"/>
      <c r="F346" s="84"/>
    </row>
    <row r="347" ht="15.75" customHeight="1">
      <c r="A347" s="84"/>
      <c r="B347" s="84"/>
      <c r="C347" s="84"/>
      <c r="D347" s="84"/>
      <c r="E347" s="84"/>
      <c r="F347" s="84"/>
    </row>
    <row r="348" ht="15.75" customHeight="1">
      <c r="A348" s="84"/>
      <c r="B348" s="84"/>
      <c r="C348" s="84"/>
      <c r="D348" s="84"/>
      <c r="E348" s="84"/>
      <c r="F348" s="84"/>
    </row>
    <row r="349" ht="15.75" customHeight="1">
      <c r="A349" s="84"/>
      <c r="B349" s="84"/>
      <c r="C349" s="84"/>
      <c r="D349" s="84"/>
      <c r="E349" s="84"/>
      <c r="F349" s="84"/>
    </row>
    <row r="350" ht="15.75" customHeight="1">
      <c r="A350" s="84"/>
      <c r="B350" s="84"/>
      <c r="C350" s="84"/>
      <c r="D350" s="84"/>
      <c r="E350" s="84"/>
      <c r="F350" s="84"/>
    </row>
    <row r="351" ht="15.75" customHeight="1">
      <c r="A351" s="84"/>
      <c r="B351" s="84"/>
      <c r="C351" s="84"/>
      <c r="D351" s="84"/>
      <c r="E351" s="84"/>
      <c r="F351" s="84"/>
    </row>
    <row r="352" ht="15.75" customHeight="1">
      <c r="A352" s="84"/>
      <c r="B352" s="84"/>
      <c r="C352" s="84"/>
      <c r="D352" s="84"/>
      <c r="E352" s="84"/>
      <c r="F352" s="84"/>
    </row>
    <row r="353" ht="15.75" customHeight="1">
      <c r="A353" s="84"/>
      <c r="B353" s="84"/>
      <c r="C353" s="84"/>
      <c r="D353" s="84"/>
      <c r="E353" s="84"/>
      <c r="F353" s="84"/>
    </row>
    <row r="354" ht="15.75" customHeight="1">
      <c r="A354" s="84"/>
      <c r="B354" s="84"/>
      <c r="C354" s="84"/>
      <c r="D354" s="84"/>
      <c r="E354" s="84"/>
      <c r="F354" s="84"/>
    </row>
    <row r="355" ht="15.75" customHeight="1">
      <c r="A355" s="84"/>
      <c r="B355" s="84"/>
      <c r="C355" s="84"/>
      <c r="D355" s="84"/>
      <c r="E355" s="84"/>
      <c r="F355" s="84"/>
    </row>
    <row r="356" ht="15.75" customHeight="1">
      <c r="A356" s="84"/>
      <c r="B356" s="84"/>
      <c r="C356" s="84"/>
      <c r="D356" s="84"/>
      <c r="E356" s="84"/>
      <c r="F356" s="84"/>
    </row>
    <row r="357" ht="15.75" customHeight="1">
      <c r="A357" s="84"/>
      <c r="B357" s="84"/>
      <c r="C357" s="84"/>
      <c r="D357" s="84"/>
      <c r="E357" s="84"/>
      <c r="F357" s="84"/>
    </row>
    <row r="358" ht="15.75" customHeight="1">
      <c r="A358" s="84"/>
      <c r="B358" s="84"/>
      <c r="C358" s="84"/>
      <c r="D358" s="84"/>
      <c r="E358" s="84"/>
      <c r="F358" s="84"/>
    </row>
    <row r="359" ht="15.75" customHeight="1">
      <c r="A359" s="84"/>
      <c r="B359" s="84"/>
      <c r="C359" s="84"/>
      <c r="D359" s="84"/>
      <c r="E359" s="84"/>
      <c r="F359" s="84"/>
    </row>
    <row r="360" ht="15.75" customHeight="1">
      <c r="A360" s="84"/>
      <c r="B360" s="84"/>
      <c r="C360" s="84"/>
      <c r="D360" s="84"/>
      <c r="E360" s="84"/>
      <c r="F360" s="84"/>
    </row>
    <row r="361" ht="15.75" customHeight="1">
      <c r="A361" s="84"/>
      <c r="B361" s="84"/>
      <c r="C361" s="84"/>
      <c r="D361" s="84"/>
      <c r="E361" s="84"/>
      <c r="F361" s="84"/>
    </row>
    <row r="362" ht="15.75" customHeight="1">
      <c r="A362" s="84"/>
      <c r="B362" s="84"/>
      <c r="C362" s="84"/>
      <c r="D362" s="84"/>
      <c r="E362" s="84"/>
      <c r="F362" s="84"/>
    </row>
    <row r="363" ht="15.75" customHeight="1">
      <c r="A363" s="84"/>
      <c r="B363" s="84"/>
      <c r="C363" s="84"/>
      <c r="D363" s="84"/>
      <c r="E363" s="84"/>
      <c r="F363" s="84"/>
    </row>
    <row r="364" ht="15.75" customHeight="1">
      <c r="A364" s="84"/>
      <c r="B364" s="84"/>
      <c r="C364" s="84"/>
      <c r="D364" s="84"/>
      <c r="E364" s="84"/>
      <c r="F364" s="84"/>
    </row>
    <row r="365" ht="15.75" customHeight="1">
      <c r="A365" s="84"/>
      <c r="B365" s="84"/>
      <c r="C365" s="84"/>
      <c r="D365" s="84"/>
      <c r="E365" s="84"/>
      <c r="F365" s="84"/>
    </row>
    <row r="366" ht="15.75" customHeight="1">
      <c r="A366" s="84"/>
      <c r="B366" s="84"/>
      <c r="C366" s="84"/>
      <c r="D366" s="84"/>
      <c r="E366" s="84"/>
      <c r="F366" s="84"/>
    </row>
    <row r="367" ht="15.75" customHeight="1">
      <c r="A367" s="84"/>
      <c r="B367" s="84"/>
      <c r="C367" s="84"/>
      <c r="D367" s="84"/>
      <c r="E367" s="84"/>
      <c r="F367" s="84"/>
    </row>
    <row r="368" ht="15.75" customHeight="1">
      <c r="A368" s="84"/>
      <c r="B368" s="84"/>
      <c r="C368" s="84"/>
      <c r="D368" s="84"/>
      <c r="E368" s="84"/>
      <c r="F368" s="84"/>
    </row>
    <row r="369" ht="15.75" customHeight="1">
      <c r="A369" s="84"/>
      <c r="B369" s="84"/>
      <c r="C369" s="84"/>
      <c r="D369" s="84"/>
      <c r="E369" s="84"/>
      <c r="F369" s="84"/>
    </row>
    <row r="370" ht="15.75" customHeight="1">
      <c r="A370" s="84"/>
      <c r="B370" s="84"/>
      <c r="C370" s="84"/>
      <c r="D370" s="84"/>
      <c r="E370" s="84"/>
      <c r="F370" s="84"/>
    </row>
    <row r="371" ht="15.75" customHeight="1">
      <c r="A371" s="84"/>
      <c r="B371" s="84"/>
      <c r="C371" s="84"/>
      <c r="D371" s="84"/>
      <c r="E371" s="84"/>
      <c r="F371" s="84"/>
    </row>
    <row r="372" ht="15.75" customHeight="1">
      <c r="A372" s="84"/>
      <c r="B372" s="84"/>
      <c r="C372" s="84"/>
      <c r="D372" s="84"/>
      <c r="E372" s="84"/>
      <c r="F372" s="84"/>
    </row>
    <row r="373" ht="15.75" customHeight="1">
      <c r="A373" s="84"/>
      <c r="B373" s="84"/>
      <c r="C373" s="84"/>
      <c r="D373" s="84"/>
      <c r="E373" s="84"/>
      <c r="F373" s="84"/>
    </row>
    <row r="374" ht="15.75" customHeight="1">
      <c r="A374" s="84"/>
      <c r="B374" s="84"/>
      <c r="C374" s="84"/>
      <c r="D374" s="84"/>
      <c r="E374" s="84"/>
      <c r="F374" s="84"/>
    </row>
    <row r="375" ht="15.75" customHeight="1">
      <c r="A375" s="84"/>
      <c r="B375" s="84"/>
      <c r="C375" s="84"/>
      <c r="D375" s="84"/>
      <c r="E375" s="84"/>
      <c r="F375" s="84"/>
    </row>
    <row r="376" ht="15.75" customHeight="1">
      <c r="A376" s="84"/>
      <c r="B376" s="84"/>
      <c r="C376" s="84"/>
      <c r="D376" s="84"/>
      <c r="E376" s="84"/>
      <c r="F376" s="84"/>
    </row>
    <row r="377" ht="15.75" customHeight="1">
      <c r="A377" s="84"/>
      <c r="B377" s="84"/>
      <c r="C377" s="84"/>
      <c r="D377" s="84"/>
      <c r="E377" s="84"/>
      <c r="F377" s="84"/>
    </row>
    <row r="378" ht="15.75" customHeight="1">
      <c r="A378" s="84"/>
      <c r="B378" s="84"/>
      <c r="C378" s="84"/>
      <c r="D378" s="84"/>
      <c r="E378" s="84"/>
      <c r="F378" s="84"/>
    </row>
    <row r="379" ht="15.75" customHeight="1">
      <c r="A379" s="84"/>
      <c r="B379" s="84"/>
      <c r="C379" s="84"/>
      <c r="D379" s="84"/>
      <c r="E379" s="84"/>
      <c r="F379" s="84"/>
    </row>
    <row r="380" ht="15.75" customHeight="1">
      <c r="A380" s="84"/>
      <c r="B380" s="84"/>
      <c r="C380" s="84"/>
      <c r="D380" s="84"/>
      <c r="E380" s="84"/>
      <c r="F380" s="84"/>
    </row>
    <row r="381" ht="15.75" customHeight="1">
      <c r="A381" s="84"/>
      <c r="B381" s="84"/>
      <c r="C381" s="84"/>
      <c r="D381" s="84"/>
      <c r="E381" s="84"/>
      <c r="F381" s="84"/>
    </row>
    <row r="382" ht="15.75" customHeight="1">
      <c r="A382" s="84"/>
      <c r="B382" s="84"/>
      <c r="C382" s="84"/>
      <c r="D382" s="84"/>
      <c r="E382" s="84"/>
      <c r="F382" s="84"/>
    </row>
    <row r="383" ht="15.75" customHeight="1">
      <c r="A383" s="84"/>
      <c r="B383" s="84"/>
      <c r="C383" s="84"/>
      <c r="D383" s="84"/>
      <c r="E383" s="84"/>
      <c r="F383" s="84"/>
    </row>
    <row r="384" ht="15.75" customHeight="1">
      <c r="A384" s="84"/>
      <c r="B384" s="84"/>
      <c r="C384" s="84"/>
      <c r="D384" s="84"/>
      <c r="E384" s="84"/>
      <c r="F384" s="84"/>
    </row>
    <row r="385" ht="15.75" customHeight="1">
      <c r="A385" s="84"/>
      <c r="B385" s="84"/>
      <c r="C385" s="84"/>
      <c r="D385" s="84"/>
      <c r="E385" s="84"/>
      <c r="F385" s="84"/>
    </row>
    <row r="386" ht="15.75" customHeight="1">
      <c r="A386" s="84"/>
      <c r="B386" s="84"/>
      <c r="C386" s="84"/>
      <c r="D386" s="84"/>
      <c r="E386" s="84"/>
      <c r="F386" s="84"/>
    </row>
    <row r="387" ht="15.75" customHeight="1">
      <c r="A387" s="84"/>
      <c r="B387" s="84"/>
      <c r="C387" s="84"/>
      <c r="D387" s="84"/>
      <c r="E387" s="84"/>
      <c r="F387" s="84"/>
    </row>
    <row r="388" ht="15.75" customHeight="1">
      <c r="A388" s="84"/>
      <c r="B388" s="84"/>
      <c r="C388" s="84"/>
      <c r="D388" s="84"/>
      <c r="E388" s="84"/>
      <c r="F388" s="84"/>
    </row>
    <row r="389" ht="15.75" customHeight="1">
      <c r="A389" s="84"/>
      <c r="B389" s="84"/>
      <c r="C389" s="84"/>
      <c r="D389" s="84"/>
      <c r="E389" s="84"/>
      <c r="F389" s="84"/>
    </row>
    <row r="390" ht="15.75" customHeight="1">
      <c r="A390" s="84"/>
      <c r="B390" s="84"/>
      <c r="C390" s="84"/>
      <c r="D390" s="84"/>
      <c r="E390" s="84"/>
      <c r="F390" s="84"/>
    </row>
    <row r="391" ht="15.75" customHeight="1">
      <c r="A391" s="84"/>
      <c r="B391" s="84"/>
      <c r="C391" s="84"/>
      <c r="D391" s="84"/>
      <c r="E391" s="84"/>
      <c r="F391" s="84"/>
    </row>
    <row r="392" ht="15.75" customHeight="1">
      <c r="A392" s="84"/>
      <c r="B392" s="84"/>
      <c r="C392" s="84"/>
      <c r="D392" s="84"/>
      <c r="E392" s="84"/>
      <c r="F392" s="84"/>
    </row>
    <row r="393" ht="15.75" customHeight="1">
      <c r="A393" s="84"/>
      <c r="B393" s="84"/>
      <c r="C393" s="84"/>
      <c r="D393" s="84"/>
      <c r="E393" s="84"/>
      <c r="F393" s="84"/>
    </row>
    <row r="394" ht="15.75" customHeight="1">
      <c r="A394" s="84"/>
      <c r="B394" s="84"/>
      <c r="C394" s="84"/>
      <c r="D394" s="84"/>
      <c r="E394" s="84"/>
      <c r="F394" s="84"/>
    </row>
    <row r="395" ht="15.75" customHeight="1">
      <c r="A395" s="84"/>
      <c r="B395" s="84"/>
      <c r="C395" s="84"/>
      <c r="D395" s="84"/>
      <c r="E395" s="84"/>
      <c r="F395" s="84"/>
    </row>
    <row r="396" ht="15.75" customHeight="1">
      <c r="A396" s="84"/>
      <c r="B396" s="84"/>
      <c r="C396" s="84"/>
      <c r="D396" s="84"/>
      <c r="E396" s="84"/>
      <c r="F396" s="84"/>
    </row>
    <row r="397" ht="15.75" customHeight="1">
      <c r="A397" s="84"/>
      <c r="B397" s="84"/>
      <c r="C397" s="84"/>
      <c r="D397" s="84"/>
      <c r="E397" s="84"/>
      <c r="F397" s="84"/>
    </row>
    <row r="398" ht="15.75" customHeight="1">
      <c r="A398" s="84"/>
      <c r="B398" s="84"/>
      <c r="C398" s="84"/>
      <c r="D398" s="84"/>
      <c r="E398" s="84"/>
      <c r="F398" s="84"/>
    </row>
    <row r="399" ht="15.75" customHeight="1">
      <c r="A399" s="84"/>
      <c r="B399" s="84"/>
      <c r="C399" s="84"/>
      <c r="D399" s="84"/>
      <c r="E399" s="84"/>
      <c r="F399" s="84"/>
    </row>
    <row r="400" ht="15.75" customHeight="1">
      <c r="A400" s="84"/>
      <c r="B400" s="84"/>
      <c r="C400" s="84"/>
      <c r="D400" s="84"/>
      <c r="E400" s="84"/>
      <c r="F400" s="84"/>
    </row>
    <row r="401" ht="15.75" customHeight="1">
      <c r="A401" s="84"/>
      <c r="B401" s="84"/>
      <c r="C401" s="84"/>
      <c r="D401" s="84"/>
      <c r="E401" s="84"/>
      <c r="F401" s="84"/>
    </row>
    <row r="402" ht="15.75" customHeight="1">
      <c r="A402" s="84"/>
      <c r="B402" s="84"/>
      <c r="C402" s="84"/>
      <c r="D402" s="84"/>
      <c r="E402" s="84"/>
      <c r="F402" s="84"/>
    </row>
    <row r="403" ht="15.75" customHeight="1">
      <c r="A403" s="84"/>
      <c r="B403" s="84"/>
      <c r="C403" s="84"/>
      <c r="D403" s="84"/>
      <c r="E403" s="84"/>
      <c r="F403" s="84"/>
    </row>
    <row r="404" ht="15.75" customHeight="1">
      <c r="A404" s="84"/>
      <c r="B404" s="84"/>
      <c r="C404" s="84"/>
      <c r="D404" s="84"/>
      <c r="E404" s="84"/>
      <c r="F404" s="84"/>
    </row>
    <row r="405" ht="15.75" customHeight="1">
      <c r="A405" s="84"/>
      <c r="B405" s="84"/>
      <c r="C405" s="84"/>
      <c r="D405" s="84"/>
      <c r="E405" s="84"/>
      <c r="F405" s="84"/>
    </row>
    <row r="406" ht="15.75" customHeight="1">
      <c r="A406" s="84"/>
      <c r="B406" s="84"/>
      <c r="C406" s="84"/>
      <c r="D406" s="84"/>
      <c r="E406" s="84"/>
      <c r="F406" s="84"/>
    </row>
    <row r="407" ht="15.75" customHeight="1">
      <c r="A407" s="84"/>
      <c r="B407" s="84"/>
      <c r="C407" s="84"/>
      <c r="D407" s="84"/>
      <c r="E407" s="84"/>
      <c r="F407" s="84"/>
    </row>
    <row r="408" ht="15.75" customHeight="1">
      <c r="A408" s="84"/>
      <c r="B408" s="84"/>
      <c r="C408" s="84"/>
      <c r="D408" s="84"/>
      <c r="E408" s="84"/>
      <c r="F408" s="84"/>
    </row>
    <row r="409" ht="15.75" customHeight="1">
      <c r="A409" s="84"/>
      <c r="B409" s="84"/>
      <c r="C409" s="84"/>
      <c r="D409" s="84"/>
      <c r="E409" s="84"/>
      <c r="F409" s="84"/>
    </row>
    <row r="410" ht="15.75" customHeight="1">
      <c r="A410" s="84"/>
      <c r="B410" s="84"/>
      <c r="C410" s="84"/>
      <c r="D410" s="84"/>
      <c r="E410" s="84"/>
      <c r="F410" s="84"/>
    </row>
    <row r="411" ht="15.75" customHeight="1">
      <c r="A411" s="84"/>
      <c r="B411" s="84"/>
      <c r="C411" s="84"/>
      <c r="D411" s="84"/>
      <c r="E411" s="84"/>
      <c r="F411" s="84"/>
    </row>
    <row r="412" ht="15.75" customHeight="1">
      <c r="A412" s="84"/>
      <c r="B412" s="84"/>
      <c r="C412" s="84"/>
      <c r="D412" s="84"/>
      <c r="E412" s="84"/>
      <c r="F412" s="84"/>
    </row>
    <row r="413" ht="15.75" customHeight="1">
      <c r="A413" s="84"/>
      <c r="B413" s="84"/>
      <c r="C413" s="84"/>
      <c r="D413" s="84"/>
      <c r="E413" s="84"/>
      <c r="F413" s="84"/>
    </row>
    <row r="414" ht="15.75" customHeight="1">
      <c r="A414" s="84"/>
      <c r="B414" s="84"/>
      <c r="C414" s="84"/>
      <c r="D414" s="84"/>
      <c r="E414" s="84"/>
      <c r="F414" s="84"/>
    </row>
    <row r="415" ht="15.75" customHeight="1">
      <c r="A415" s="84"/>
      <c r="B415" s="84"/>
      <c r="C415" s="84"/>
      <c r="D415" s="84"/>
      <c r="E415" s="84"/>
      <c r="F415" s="84"/>
    </row>
    <row r="416" ht="15.75" customHeight="1">
      <c r="A416" s="84"/>
      <c r="B416" s="84"/>
      <c r="C416" s="84"/>
      <c r="D416" s="84"/>
      <c r="E416" s="84"/>
      <c r="F416" s="84"/>
    </row>
    <row r="417" ht="15.75" customHeight="1">
      <c r="A417" s="84"/>
      <c r="B417" s="84"/>
      <c r="C417" s="84"/>
      <c r="D417" s="84"/>
      <c r="E417" s="84"/>
      <c r="F417" s="84"/>
    </row>
    <row r="418" ht="15.75" customHeight="1">
      <c r="A418" s="84"/>
      <c r="B418" s="84"/>
      <c r="C418" s="84"/>
      <c r="D418" s="84"/>
      <c r="E418" s="84"/>
      <c r="F418" s="84"/>
    </row>
    <row r="419" ht="15.75" customHeight="1">
      <c r="A419" s="84"/>
      <c r="B419" s="84"/>
      <c r="C419" s="84"/>
      <c r="D419" s="84"/>
      <c r="E419" s="84"/>
      <c r="F419" s="84"/>
    </row>
    <row r="420" ht="15.75" customHeight="1">
      <c r="A420" s="84"/>
      <c r="B420" s="84"/>
      <c r="C420" s="84"/>
      <c r="D420" s="84"/>
      <c r="E420" s="84"/>
      <c r="F420" s="84"/>
    </row>
    <row r="421" ht="15.75" customHeight="1">
      <c r="A421" s="84"/>
      <c r="B421" s="84"/>
      <c r="C421" s="84"/>
      <c r="D421" s="84"/>
      <c r="E421" s="84"/>
      <c r="F421" s="84"/>
    </row>
    <row r="422" ht="15.75" customHeight="1">
      <c r="A422" s="84"/>
      <c r="B422" s="84"/>
      <c r="C422" s="84"/>
      <c r="D422" s="84"/>
      <c r="E422" s="84"/>
      <c r="F422" s="84"/>
    </row>
    <row r="423" ht="15.75" customHeight="1">
      <c r="A423" s="84"/>
      <c r="B423" s="84"/>
      <c r="C423" s="84"/>
      <c r="D423" s="84"/>
      <c r="E423" s="84"/>
      <c r="F423" s="84"/>
    </row>
    <row r="424" ht="15.75" customHeight="1">
      <c r="A424" s="84"/>
      <c r="B424" s="84"/>
      <c r="C424" s="84"/>
      <c r="D424" s="84"/>
      <c r="E424" s="84"/>
      <c r="F424" s="84"/>
    </row>
    <row r="425" ht="15.75" customHeight="1">
      <c r="A425" s="84"/>
      <c r="B425" s="84"/>
      <c r="C425" s="84"/>
      <c r="D425" s="84"/>
      <c r="E425" s="84"/>
      <c r="F425" s="84"/>
    </row>
    <row r="426" ht="15.75" customHeight="1">
      <c r="A426" s="84"/>
      <c r="B426" s="84"/>
      <c r="C426" s="84"/>
      <c r="D426" s="84"/>
      <c r="E426" s="84"/>
      <c r="F426" s="84"/>
    </row>
    <row r="427" ht="15.75" customHeight="1">
      <c r="A427" s="84"/>
      <c r="B427" s="84"/>
      <c r="C427" s="84"/>
      <c r="D427" s="84"/>
      <c r="E427" s="84"/>
      <c r="F427" s="84"/>
    </row>
    <row r="428" ht="15.75" customHeight="1">
      <c r="A428" s="84"/>
      <c r="B428" s="84"/>
      <c r="C428" s="84"/>
      <c r="D428" s="84"/>
      <c r="E428" s="84"/>
      <c r="F428" s="84"/>
    </row>
    <row r="429" ht="15.75" customHeight="1">
      <c r="A429" s="84"/>
      <c r="B429" s="84"/>
      <c r="C429" s="84"/>
      <c r="D429" s="84"/>
      <c r="E429" s="84"/>
      <c r="F429" s="84"/>
    </row>
    <row r="430" ht="15.75" customHeight="1">
      <c r="A430" s="84"/>
      <c r="B430" s="84"/>
      <c r="C430" s="84"/>
      <c r="D430" s="84"/>
      <c r="E430" s="84"/>
      <c r="F430" s="84"/>
    </row>
    <row r="431" ht="15.75" customHeight="1">
      <c r="A431" s="84"/>
      <c r="B431" s="84"/>
      <c r="C431" s="84"/>
      <c r="D431" s="84"/>
      <c r="E431" s="84"/>
      <c r="F431" s="84"/>
    </row>
    <row r="432" ht="15.75" customHeight="1">
      <c r="A432" s="84"/>
      <c r="B432" s="84"/>
      <c r="C432" s="84"/>
      <c r="D432" s="84"/>
      <c r="E432" s="84"/>
      <c r="F432" s="84"/>
    </row>
    <row r="433" ht="15.75" customHeight="1">
      <c r="A433" s="84"/>
      <c r="B433" s="84"/>
      <c r="C433" s="84"/>
      <c r="D433" s="84"/>
      <c r="E433" s="84"/>
      <c r="F433" s="84"/>
    </row>
    <row r="434" ht="15.75" customHeight="1">
      <c r="A434" s="84"/>
      <c r="B434" s="84"/>
      <c r="C434" s="84"/>
      <c r="D434" s="84"/>
      <c r="E434" s="84"/>
      <c r="F434" s="84"/>
    </row>
    <row r="435" ht="15.75" customHeight="1">
      <c r="A435" s="84"/>
      <c r="B435" s="84"/>
      <c r="C435" s="84"/>
      <c r="D435" s="84"/>
      <c r="E435" s="84"/>
      <c r="F435" s="84"/>
    </row>
    <row r="436" ht="15.75" customHeight="1">
      <c r="A436" s="84"/>
      <c r="B436" s="84"/>
      <c r="C436" s="84"/>
      <c r="D436" s="84"/>
      <c r="E436" s="84"/>
      <c r="F436" s="84"/>
    </row>
    <row r="437" ht="15.75" customHeight="1">
      <c r="A437" s="84"/>
      <c r="B437" s="84"/>
      <c r="C437" s="84"/>
      <c r="D437" s="84"/>
      <c r="E437" s="84"/>
      <c r="F437" s="84"/>
    </row>
    <row r="438" ht="15.75" customHeight="1">
      <c r="A438" s="84"/>
      <c r="B438" s="84"/>
      <c r="C438" s="84"/>
      <c r="D438" s="84"/>
      <c r="E438" s="84"/>
      <c r="F438" s="84"/>
    </row>
    <row r="439" ht="15.75" customHeight="1">
      <c r="A439" s="84"/>
      <c r="B439" s="84"/>
      <c r="C439" s="84"/>
      <c r="D439" s="84"/>
      <c r="E439" s="84"/>
      <c r="F439" s="84"/>
    </row>
    <row r="440" ht="15.75" customHeight="1">
      <c r="A440" s="84"/>
      <c r="B440" s="84"/>
      <c r="C440" s="84"/>
      <c r="D440" s="84"/>
      <c r="E440" s="84"/>
      <c r="F440" s="84"/>
    </row>
    <row r="441" ht="15.75" customHeight="1">
      <c r="A441" s="84"/>
      <c r="B441" s="84"/>
      <c r="C441" s="84"/>
      <c r="D441" s="84"/>
      <c r="E441" s="84"/>
      <c r="F441" s="84"/>
    </row>
    <row r="442" ht="15.75" customHeight="1">
      <c r="A442" s="84"/>
      <c r="B442" s="84"/>
      <c r="C442" s="84"/>
      <c r="D442" s="84"/>
      <c r="E442" s="84"/>
      <c r="F442" s="84"/>
    </row>
    <row r="443" ht="15.75" customHeight="1">
      <c r="A443" s="84"/>
      <c r="B443" s="84"/>
      <c r="C443" s="84"/>
      <c r="D443" s="84"/>
      <c r="E443" s="84"/>
      <c r="F443" s="84"/>
    </row>
    <row r="444" ht="15.75" customHeight="1">
      <c r="A444" s="84"/>
      <c r="B444" s="84"/>
      <c r="C444" s="84"/>
      <c r="D444" s="84"/>
      <c r="E444" s="84"/>
      <c r="F444" s="84"/>
    </row>
    <row r="445" ht="15.75" customHeight="1">
      <c r="A445" s="84"/>
      <c r="B445" s="84"/>
      <c r="C445" s="84"/>
      <c r="D445" s="84"/>
      <c r="E445" s="84"/>
      <c r="F445" s="84"/>
    </row>
    <row r="446" ht="15.75" customHeight="1">
      <c r="A446" s="84"/>
      <c r="B446" s="84"/>
      <c r="C446" s="84"/>
      <c r="D446" s="84"/>
      <c r="E446" s="84"/>
      <c r="F446" s="84"/>
    </row>
    <row r="447" ht="15.75" customHeight="1">
      <c r="A447" s="84"/>
      <c r="B447" s="84"/>
      <c r="C447" s="84"/>
      <c r="D447" s="84"/>
      <c r="E447" s="84"/>
      <c r="F447" s="84"/>
    </row>
    <row r="448" ht="15.75" customHeight="1">
      <c r="A448" s="84"/>
      <c r="B448" s="84"/>
      <c r="C448" s="84"/>
      <c r="D448" s="84"/>
      <c r="E448" s="84"/>
      <c r="F448" s="84"/>
    </row>
    <row r="449" ht="15.75" customHeight="1">
      <c r="A449" s="84"/>
      <c r="B449" s="84"/>
      <c r="C449" s="84"/>
      <c r="D449" s="84"/>
      <c r="E449" s="84"/>
      <c r="F449" s="84"/>
    </row>
    <row r="450" ht="15.75" customHeight="1">
      <c r="A450" s="84"/>
      <c r="B450" s="84"/>
      <c r="C450" s="84"/>
      <c r="D450" s="84"/>
      <c r="E450" s="84"/>
      <c r="F450" s="84"/>
    </row>
    <row r="451" ht="15.75" customHeight="1">
      <c r="A451" s="84"/>
      <c r="B451" s="84"/>
      <c r="C451" s="84"/>
      <c r="D451" s="84"/>
      <c r="E451" s="84"/>
      <c r="F451" s="84"/>
    </row>
    <row r="452" ht="15.75" customHeight="1">
      <c r="A452" s="84"/>
      <c r="B452" s="84"/>
      <c r="C452" s="84"/>
      <c r="D452" s="84"/>
      <c r="E452" s="84"/>
      <c r="F452" s="84"/>
    </row>
    <row r="453" ht="15.75" customHeight="1">
      <c r="A453" s="84"/>
      <c r="B453" s="84"/>
      <c r="C453" s="84"/>
      <c r="D453" s="84"/>
      <c r="E453" s="84"/>
      <c r="F453" s="84"/>
    </row>
    <row r="454" ht="15.75" customHeight="1">
      <c r="A454" s="84"/>
      <c r="B454" s="84"/>
      <c r="C454" s="84"/>
      <c r="D454" s="84"/>
      <c r="E454" s="84"/>
      <c r="F454" s="84"/>
    </row>
    <row r="455" ht="15.75" customHeight="1">
      <c r="A455" s="84"/>
      <c r="B455" s="84"/>
      <c r="C455" s="84"/>
      <c r="D455" s="84"/>
      <c r="E455" s="84"/>
      <c r="F455" s="84"/>
    </row>
    <row r="456" ht="15.75" customHeight="1">
      <c r="A456" s="84"/>
      <c r="B456" s="84"/>
      <c r="C456" s="84"/>
      <c r="D456" s="84"/>
      <c r="E456" s="84"/>
      <c r="F456" s="84"/>
    </row>
    <row r="457" ht="15.75" customHeight="1">
      <c r="A457" s="84"/>
      <c r="B457" s="84"/>
      <c r="C457" s="84"/>
      <c r="D457" s="84"/>
      <c r="E457" s="84"/>
      <c r="F457" s="84"/>
    </row>
    <row r="458" ht="15.75" customHeight="1">
      <c r="A458" s="84"/>
      <c r="B458" s="84"/>
      <c r="C458" s="84"/>
      <c r="D458" s="84"/>
      <c r="E458" s="84"/>
      <c r="F458" s="84"/>
    </row>
    <row r="459" ht="15.75" customHeight="1">
      <c r="A459" s="84"/>
      <c r="B459" s="84"/>
      <c r="C459" s="84"/>
      <c r="D459" s="84"/>
      <c r="E459" s="84"/>
      <c r="F459" s="84"/>
    </row>
    <row r="460" ht="15.75" customHeight="1">
      <c r="A460" s="84"/>
      <c r="B460" s="84"/>
      <c r="C460" s="84"/>
      <c r="D460" s="84"/>
      <c r="E460" s="84"/>
      <c r="F460" s="84"/>
    </row>
    <row r="461" ht="15.75" customHeight="1">
      <c r="A461" s="84"/>
      <c r="B461" s="84"/>
      <c r="C461" s="84"/>
      <c r="D461" s="84"/>
      <c r="E461" s="84"/>
      <c r="F461" s="84"/>
    </row>
    <row r="462" ht="15.75" customHeight="1">
      <c r="A462" s="84"/>
      <c r="B462" s="84"/>
      <c r="C462" s="84"/>
      <c r="D462" s="84"/>
      <c r="E462" s="84"/>
      <c r="F462" s="84"/>
    </row>
    <row r="463" ht="15.75" customHeight="1">
      <c r="A463" s="84"/>
      <c r="B463" s="84"/>
      <c r="C463" s="84"/>
      <c r="D463" s="84"/>
      <c r="E463" s="84"/>
      <c r="F463" s="84"/>
    </row>
    <row r="464" ht="15.75" customHeight="1">
      <c r="A464" s="84"/>
      <c r="B464" s="84"/>
      <c r="C464" s="84"/>
      <c r="D464" s="84"/>
      <c r="E464" s="84"/>
      <c r="F464" s="84"/>
    </row>
    <row r="465" ht="15.75" customHeight="1">
      <c r="A465" s="84"/>
      <c r="B465" s="84"/>
      <c r="C465" s="84"/>
      <c r="D465" s="84"/>
      <c r="E465" s="84"/>
      <c r="F465" s="84"/>
    </row>
    <row r="466" ht="15.75" customHeight="1">
      <c r="A466" s="84"/>
      <c r="B466" s="84"/>
      <c r="C466" s="84"/>
      <c r="D466" s="84"/>
      <c r="E466" s="84"/>
      <c r="F466" s="84"/>
    </row>
    <row r="467" ht="15.75" customHeight="1">
      <c r="A467" s="84"/>
      <c r="B467" s="84"/>
      <c r="C467" s="84"/>
      <c r="D467" s="84"/>
      <c r="E467" s="84"/>
      <c r="F467" s="84"/>
    </row>
    <row r="468" ht="15.75" customHeight="1">
      <c r="A468" s="84"/>
      <c r="B468" s="84"/>
      <c r="C468" s="84"/>
      <c r="D468" s="84"/>
      <c r="E468" s="84"/>
      <c r="F468" s="84"/>
    </row>
    <row r="469" ht="15.75" customHeight="1">
      <c r="A469" s="84"/>
      <c r="B469" s="84"/>
      <c r="C469" s="84"/>
      <c r="D469" s="84"/>
      <c r="E469" s="84"/>
      <c r="F469" s="84"/>
    </row>
    <row r="470" ht="15.75" customHeight="1">
      <c r="A470" s="84"/>
      <c r="B470" s="84"/>
      <c r="C470" s="84"/>
      <c r="D470" s="84"/>
      <c r="E470" s="84"/>
      <c r="F470" s="84"/>
    </row>
    <row r="471" ht="15.75" customHeight="1">
      <c r="A471" s="84"/>
      <c r="B471" s="84"/>
      <c r="C471" s="84"/>
      <c r="D471" s="84"/>
      <c r="E471" s="84"/>
      <c r="F471" s="84"/>
    </row>
    <row r="472" ht="15.75" customHeight="1">
      <c r="A472" s="84"/>
      <c r="B472" s="84"/>
      <c r="C472" s="84"/>
      <c r="D472" s="84"/>
      <c r="E472" s="84"/>
      <c r="F472" s="84"/>
    </row>
    <row r="473" ht="15.75" customHeight="1">
      <c r="A473" s="84"/>
      <c r="B473" s="84"/>
      <c r="C473" s="84"/>
      <c r="D473" s="84"/>
      <c r="E473" s="84"/>
      <c r="F473" s="84"/>
    </row>
    <row r="474" ht="15.75" customHeight="1">
      <c r="A474" s="84"/>
      <c r="B474" s="84"/>
      <c r="C474" s="84"/>
      <c r="D474" s="84"/>
      <c r="E474" s="84"/>
      <c r="F474" s="84"/>
    </row>
    <row r="475" ht="15.75" customHeight="1">
      <c r="A475" s="84"/>
      <c r="B475" s="84"/>
      <c r="C475" s="84"/>
      <c r="D475" s="84"/>
      <c r="E475" s="84"/>
      <c r="F475" s="84"/>
    </row>
    <row r="476" ht="15.75" customHeight="1">
      <c r="A476" s="84"/>
      <c r="B476" s="84"/>
      <c r="C476" s="84"/>
      <c r="D476" s="84"/>
      <c r="E476" s="84"/>
      <c r="F476" s="84"/>
    </row>
    <row r="477" ht="15.75" customHeight="1">
      <c r="A477" s="84"/>
      <c r="B477" s="84"/>
      <c r="C477" s="84"/>
      <c r="D477" s="84"/>
      <c r="E477" s="84"/>
      <c r="F477" s="84"/>
    </row>
    <row r="478" ht="15.75" customHeight="1">
      <c r="A478" s="84"/>
      <c r="B478" s="84"/>
      <c r="C478" s="84"/>
      <c r="D478" s="84"/>
      <c r="E478" s="84"/>
      <c r="F478" s="84"/>
    </row>
    <row r="479" ht="15.75" customHeight="1">
      <c r="A479" s="84"/>
      <c r="B479" s="84"/>
      <c r="C479" s="84"/>
      <c r="D479" s="84"/>
      <c r="E479" s="84"/>
      <c r="F479" s="84"/>
    </row>
    <row r="480" ht="15.75" customHeight="1">
      <c r="A480" s="84"/>
      <c r="B480" s="84"/>
      <c r="C480" s="84"/>
      <c r="D480" s="84"/>
      <c r="E480" s="84"/>
      <c r="F480" s="84"/>
    </row>
    <row r="481" ht="15.75" customHeight="1">
      <c r="A481" s="84"/>
      <c r="B481" s="84"/>
      <c r="C481" s="84"/>
      <c r="D481" s="84"/>
      <c r="E481" s="84"/>
      <c r="F481" s="84"/>
    </row>
    <row r="482" ht="15.75" customHeight="1">
      <c r="A482" s="84"/>
      <c r="B482" s="84"/>
      <c r="C482" s="84"/>
      <c r="D482" s="84"/>
      <c r="E482" s="84"/>
      <c r="F482" s="84"/>
    </row>
    <row r="483" ht="15.75" customHeight="1">
      <c r="A483" s="84"/>
      <c r="B483" s="84"/>
      <c r="C483" s="84"/>
      <c r="D483" s="84"/>
      <c r="E483" s="84"/>
      <c r="F483" s="84"/>
    </row>
    <row r="484" ht="15.75" customHeight="1">
      <c r="A484" s="84"/>
      <c r="B484" s="84"/>
      <c r="C484" s="84"/>
      <c r="D484" s="84"/>
      <c r="E484" s="84"/>
      <c r="F484" s="84"/>
    </row>
    <row r="485" ht="15.75" customHeight="1">
      <c r="A485" s="84"/>
      <c r="B485" s="84"/>
      <c r="C485" s="84"/>
      <c r="D485" s="84"/>
      <c r="E485" s="84"/>
      <c r="F485" s="84"/>
    </row>
    <row r="486" ht="15.75" customHeight="1">
      <c r="A486" s="84"/>
      <c r="B486" s="84"/>
      <c r="C486" s="84"/>
      <c r="D486" s="84"/>
      <c r="E486" s="84"/>
      <c r="F486" s="84"/>
    </row>
    <row r="487" ht="15.75" customHeight="1">
      <c r="A487" s="84"/>
      <c r="B487" s="84"/>
      <c r="C487" s="84"/>
      <c r="D487" s="84"/>
      <c r="E487" s="84"/>
      <c r="F487" s="84"/>
    </row>
    <row r="488" ht="15.75" customHeight="1">
      <c r="A488" s="84"/>
      <c r="B488" s="84"/>
      <c r="C488" s="84"/>
      <c r="D488" s="84"/>
      <c r="E488" s="84"/>
      <c r="F488" s="84"/>
    </row>
    <row r="489" ht="15.75" customHeight="1">
      <c r="A489" s="84"/>
      <c r="B489" s="84"/>
      <c r="C489" s="84"/>
      <c r="D489" s="84"/>
      <c r="E489" s="84"/>
      <c r="F489" s="84"/>
    </row>
    <row r="490" ht="15.75" customHeight="1">
      <c r="A490" s="84"/>
      <c r="B490" s="84"/>
      <c r="C490" s="84"/>
      <c r="D490" s="84"/>
      <c r="E490" s="84"/>
      <c r="F490" s="84"/>
    </row>
    <row r="491" ht="15.75" customHeight="1">
      <c r="A491" s="84"/>
      <c r="B491" s="84"/>
      <c r="C491" s="84"/>
      <c r="D491" s="84"/>
      <c r="E491" s="84"/>
      <c r="F491" s="84"/>
    </row>
    <row r="492" ht="15.75" customHeight="1">
      <c r="A492" s="84"/>
      <c r="B492" s="84"/>
      <c r="C492" s="84"/>
      <c r="D492" s="84"/>
      <c r="E492" s="84"/>
      <c r="F492" s="84"/>
    </row>
    <row r="493" ht="15.75" customHeight="1">
      <c r="A493" s="84"/>
      <c r="B493" s="84"/>
      <c r="C493" s="84"/>
      <c r="D493" s="84"/>
      <c r="E493" s="84"/>
      <c r="F493" s="84"/>
    </row>
    <row r="494" ht="15.75" customHeight="1">
      <c r="A494" s="84"/>
      <c r="B494" s="84"/>
      <c r="C494" s="84"/>
      <c r="D494" s="84"/>
      <c r="E494" s="84"/>
      <c r="F494" s="84"/>
    </row>
    <row r="495" ht="15.75" customHeight="1">
      <c r="A495" s="84"/>
      <c r="B495" s="84"/>
      <c r="C495" s="84"/>
      <c r="D495" s="84"/>
      <c r="E495" s="84"/>
      <c r="F495" s="84"/>
    </row>
    <row r="496" ht="15.75" customHeight="1">
      <c r="A496" s="84"/>
      <c r="B496" s="84"/>
      <c r="C496" s="84"/>
      <c r="D496" s="84"/>
      <c r="E496" s="84"/>
      <c r="F496" s="84"/>
    </row>
    <row r="497" ht="15.75" customHeight="1">
      <c r="A497" s="84"/>
      <c r="B497" s="84"/>
      <c r="C497" s="84"/>
      <c r="D497" s="84"/>
      <c r="E497" s="84"/>
      <c r="F497" s="84"/>
    </row>
    <row r="498" ht="15.75" customHeight="1">
      <c r="A498" s="84"/>
      <c r="B498" s="84"/>
      <c r="C498" s="84"/>
      <c r="D498" s="84"/>
      <c r="E498" s="84"/>
      <c r="F498" s="84"/>
    </row>
    <row r="499" ht="15.75" customHeight="1">
      <c r="A499" s="84"/>
      <c r="B499" s="84"/>
      <c r="C499" s="84"/>
      <c r="D499" s="84"/>
      <c r="E499" s="84"/>
      <c r="F499" s="84"/>
    </row>
    <row r="500" ht="15.75" customHeight="1">
      <c r="A500" s="84"/>
      <c r="B500" s="84"/>
      <c r="C500" s="84"/>
      <c r="D500" s="84"/>
      <c r="E500" s="84"/>
      <c r="F500" s="84"/>
    </row>
    <row r="501" ht="15.75" customHeight="1">
      <c r="A501" s="84"/>
      <c r="B501" s="84"/>
      <c r="C501" s="84"/>
      <c r="D501" s="84"/>
      <c r="E501" s="84"/>
      <c r="F501" s="84"/>
    </row>
    <row r="502" ht="15.75" customHeight="1">
      <c r="A502" s="84"/>
      <c r="B502" s="84"/>
      <c r="C502" s="84"/>
      <c r="D502" s="84"/>
      <c r="E502" s="84"/>
      <c r="F502" s="84"/>
    </row>
    <row r="503" ht="15.75" customHeight="1">
      <c r="A503" s="84"/>
      <c r="B503" s="84"/>
      <c r="C503" s="84"/>
      <c r="D503" s="84"/>
      <c r="E503" s="84"/>
      <c r="F503" s="84"/>
    </row>
    <row r="504" ht="15.75" customHeight="1">
      <c r="A504" s="84"/>
      <c r="B504" s="84"/>
      <c r="C504" s="84"/>
      <c r="D504" s="84"/>
      <c r="E504" s="84"/>
      <c r="F504" s="84"/>
    </row>
    <row r="505" ht="15.75" customHeight="1">
      <c r="A505" s="84"/>
      <c r="B505" s="84"/>
      <c r="C505" s="84"/>
      <c r="D505" s="84"/>
      <c r="E505" s="84"/>
      <c r="F505" s="84"/>
    </row>
    <row r="506" ht="15.75" customHeight="1">
      <c r="A506" s="84"/>
      <c r="B506" s="84"/>
      <c r="C506" s="84"/>
      <c r="D506" s="84"/>
      <c r="E506" s="84"/>
      <c r="F506" s="84"/>
    </row>
    <row r="507" ht="15.75" customHeight="1">
      <c r="A507" s="84"/>
      <c r="B507" s="84"/>
      <c r="C507" s="84"/>
      <c r="D507" s="84"/>
      <c r="E507" s="84"/>
      <c r="F507" s="84"/>
    </row>
    <row r="508" ht="15.75" customHeight="1">
      <c r="A508" s="84"/>
      <c r="B508" s="84"/>
      <c r="C508" s="84"/>
      <c r="D508" s="84"/>
      <c r="E508" s="84"/>
      <c r="F508" s="84"/>
    </row>
    <row r="509" ht="15.75" customHeight="1">
      <c r="A509" s="84"/>
      <c r="B509" s="84"/>
      <c r="C509" s="84"/>
      <c r="D509" s="84"/>
      <c r="E509" s="84"/>
      <c r="F509" s="84"/>
    </row>
    <row r="510" ht="15.75" customHeight="1">
      <c r="A510" s="84"/>
      <c r="B510" s="84"/>
      <c r="C510" s="84"/>
      <c r="D510" s="84"/>
      <c r="E510" s="84"/>
      <c r="F510" s="84"/>
    </row>
    <row r="511" ht="15.75" customHeight="1">
      <c r="A511" s="84"/>
      <c r="B511" s="84"/>
      <c r="C511" s="84"/>
      <c r="D511" s="84"/>
      <c r="E511" s="84"/>
      <c r="F511" s="84"/>
    </row>
    <row r="512" ht="15.75" customHeight="1">
      <c r="A512" s="84"/>
      <c r="B512" s="84"/>
      <c r="C512" s="84"/>
      <c r="D512" s="84"/>
      <c r="E512" s="84"/>
      <c r="F512" s="84"/>
    </row>
    <row r="513" ht="15.75" customHeight="1">
      <c r="A513" s="84"/>
      <c r="B513" s="84"/>
      <c r="C513" s="84"/>
      <c r="D513" s="84"/>
      <c r="E513" s="84"/>
      <c r="F513" s="84"/>
    </row>
    <row r="514" ht="15.75" customHeight="1">
      <c r="A514" s="84"/>
      <c r="B514" s="84"/>
      <c r="C514" s="84"/>
      <c r="D514" s="84"/>
      <c r="E514" s="84"/>
      <c r="F514" s="84"/>
    </row>
    <row r="515" ht="15.75" customHeight="1">
      <c r="A515" s="84"/>
      <c r="B515" s="84"/>
      <c r="C515" s="84"/>
      <c r="D515" s="84"/>
      <c r="E515" s="84"/>
      <c r="F515" s="84"/>
    </row>
    <row r="516" ht="15.75" customHeight="1">
      <c r="A516" s="84"/>
      <c r="B516" s="84"/>
      <c r="C516" s="84"/>
      <c r="D516" s="84"/>
      <c r="E516" s="84"/>
      <c r="F516" s="84"/>
    </row>
    <row r="517" ht="15.75" customHeight="1">
      <c r="A517" s="84"/>
      <c r="B517" s="84"/>
      <c r="C517" s="84"/>
      <c r="D517" s="84"/>
      <c r="E517" s="84"/>
      <c r="F517" s="84"/>
    </row>
    <row r="518" ht="15.75" customHeight="1">
      <c r="A518" s="84"/>
      <c r="B518" s="84"/>
      <c r="C518" s="84"/>
      <c r="D518" s="84"/>
      <c r="E518" s="84"/>
      <c r="F518" s="84"/>
    </row>
    <row r="519" ht="15.75" customHeight="1">
      <c r="A519" s="84"/>
      <c r="B519" s="84"/>
      <c r="C519" s="84"/>
      <c r="D519" s="84"/>
      <c r="E519" s="84"/>
      <c r="F519" s="84"/>
    </row>
    <row r="520" ht="15.75" customHeight="1">
      <c r="A520" s="84"/>
      <c r="B520" s="84"/>
      <c r="C520" s="84"/>
      <c r="D520" s="84"/>
      <c r="E520" s="84"/>
      <c r="F520" s="84"/>
    </row>
    <row r="521" ht="15.75" customHeight="1">
      <c r="A521" s="84"/>
      <c r="B521" s="84"/>
      <c r="C521" s="84"/>
      <c r="D521" s="84"/>
      <c r="E521" s="84"/>
      <c r="F521" s="84"/>
    </row>
    <row r="522" ht="15.75" customHeight="1">
      <c r="A522" s="84"/>
      <c r="B522" s="84"/>
      <c r="C522" s="84"/>
      <c r="D522" s="84"/>
      <c r="E522" s="84"/>
      <c r="F522" s="84"/>
    </row>
    <row r="523" ht="15.75" customHeight="1">
      <c r="A523" s="84"/>
      <c r="B523" s="84"/>
      <c r="C523" s="84"/>
      <c r="D523" s="84"/>
      <c r="E523" s="84"/>
      <c r="F523" s="84"/>
    </row>
    <row r="524" ht="15.75" customHeight="1">
      <c r="A524" s="84"/>
      <c r="B524" s="84"/>
      <c r="C524" s="84"/>
      <c r="D524" s="84"/>
      <c r="E524" s="84"/>
      <c r="F524" s="84"/>
    </row>
    <row r="525" ht="15.75" customHeight="1">
      <c r="A525" s="84"/>
      <c r="B525" s="84"/>
      <c r="C525" s="84"/>
      <c r="D525" s="84"/>
      <c r="E525" s="84"/>
      <c r="F525" s="84"/>
    </row>
    <row r="526" ht="15.75" customHeight="1">
      <c r="A526" s="84"/>
      <c r="B526" s="84"/>
      <c r="C526" s="84"/>
      <c r="D526" s="84"/>
      <c r="E526" s="84"/>
      <c r="F526" s="84"/>
    </row>
    <row r="527" ht="15.75" customHeight="1">
      <c r="A527" s="84"/>
      <c r="B527" s="84"/>
      <c r="C527" s="84"/>
      <c r="D527" s="84"/>
      <c r="E527" s="84"/>
      <c r="F527" s="84"/>
    </row>
    <row r="528" ht="15.75" customHeight="1">
      <c r="A528" s="84"/>
      <c r="B528" s="84"/>
      <c r="C528" s="84"/>
      <c r="D528" s="84"/>
      <c r="E528" s="84"/>
      <c r="F528" s="84"/>
    </row>
    <row r="529" ht="15.75" customHeight="1">
      <c r="A529" s="84"/>
      <c r="B529" s="84"/>
      <c r="C529" s="84"/>
      <c r="D529" s="84"/>
      <c r="E529" s="84"/>
      <c r="F529" s="84"/>
    </row>
    <row r="530" ht="15.75" customHeight="1">
      <c r="A530" s="84"/>
      <c r="B530" s="84"/>
      <c r="C530" s="84"/>
      <c r="D530" s="84"/>
      <c r="E530" s="84"/>
      <c r="F530" s="84"/>
    </row>
    <row r="531" ht="15.75" customHeight="1">
      <c r="A531" s="84"/>
      <c r="B531" s="84"/>
      <c r="C531" s="84"/>
      <c r="D531" s="84"/>
      <c r="E531" s="84"/>
      <c r="F531" s="84"/>
    </row>
    <row r="532" ht="15.75" customHeight="1">
      <c r="A532" s="84"/>
      <c r="B532" s="84"/>
      <c r="C532" s="84"/>
      <c r="D532" s="84"/>
      <c r="E532" s="84"/>
      <c r="F532" s="84"/>
    </row>
    <row r="533" ht="15.75" customHeight="1">
      <c r="A533" s="84"/>
      <c r="B533" s="84"/>
      <c r="C533" s="84"/>
      <c r="D533" s="84"/>
      <c r="E533" s="84"/>
      <c r="F533" s="84"/>
    </row>
    <row r="534" ht="15.75" customHeight="1">
      <c r="A534" s="84"/>
      <c r="B534" s="84"/>
      <c r="C534" s="84"/>
      <c r="D534" s="84"/>
      <c r="E534" s="84"/>
      <c r="F534" s="84"/>
    </row>
    <row r="535" ht="15.75" customHeight="1">
      <c r="A535" s="84"/>
      <c r="B535" s="84"/>
      <c r="C535" s="84"/>
      <c r="D535" s="84"/>
      <c r="E535" s="84"/>
      <c r="F535" s="84"/>
    </row>
    <row r="536" ht="15.75" customHeight="1">
      <c r="A536" s="84"/>
      <c r="B536" s="84"/>
      <c r="C536" s="84"/>
      <c r="D536" s="84"/>
      <c r="E536" s="84"/>
      <c r="F536" s="84"/>
    </row>
    <row r="537" ht="15.75" customHeight="1">
      <c r="A537" s="84"/>
      <c r="B537" s="84"/>
      <c r="C537" s="84"/>
      <c r="D537" s="84"/>
      <c r="E537" s="84"/>
      <c r="F537" s="84"/>
    </row>
    <row r="538" ht="15.75" customHeight="1">
      <c r="A538" s="84"/>
      <c r="B538" s="84"/>
      <c r="C538" s="84"/>
      <c r="D538" s="84"/>
      <c r="E538" s="84"/>
      <c r="F538" s="84"/>
    </row>
    <row r="539" ht="15.75" customHeight="1">
      <c r="A539" s="84"/>
      <c r="B539" s="84"/>
      <c r="C539" s="84"/>
      <c r="D539" s="84"/>
      <c r="E539" s="84"/>
      <c r="F539" s="84"/>
    </row>
    <row r="540" ht="15.75" customHeight="1">
      <c r="A540" s="84"/>
      <c r="B540" s="84"/>
      <c r="C540" s="84"/>
      <c r="D540" s="84"/>
      <c r="E540" s="84"/>
      <c r="F540" s="84"/>
    </row>
    <row r="541" ht="15.75" customHeight="1">
      <c r="A541" s="84"/>
      <c r="B541" s="84"/>
      <c r="C541" s="84"/>
      <c r="D541" s="84"/>
      <c r="E541" s="84"/>
      <c r="F541" s="84"/>
    </row>
    <row r="542" ht="15.75" customHeight="1">
      <c r="A542" s="84"/>
      <c r="B542" s="84"/>
      <c r="C542" s="84"/>
      <c r="D542" s="84"/>
      <c r="E542" s="84"/>
      <c r="F542" s="84"/>
    </row>
    <row r="543" ht="15.75" customHeight="1">
      <c r="A543" s="84"/>
      <c r="B543" s="84"/>
      <c r="C543" s="84"/>
      <c r="D543" s="84"/>
      <c r="E543" s="84"/>
      <c r="F543" s="84"/>
    </row>
    <row r="544" ht="15.75" customHeight="1">
      <c r="A544" s="84"/>
      <c r="B544" s="84"/>
      <c r="C544" s="84"/>
      <c r="D544" s="84"/>
      <c r="E544" s="84"/>
      <c r="F544" s="84"/>
    </row>
    <row r="545" ht="15.75" customHeight="1">
      <c r="A545" s="84"/>
      <c r="B545" s="84"/>
      <c r="C545" s="84"/>
      <c r="D545" s="84"/>
      <c r="E545" s="84"/>
      <c r="F545" s="84"/>
    </row>
    <row r="546" ht="15.75" customHeight="1">
      <c r="A546" s="84"/>
      <c r="B546" s="84"/>
      <c r="C546" s="84"/>
      <c r="D546" s="84"/>
      <c r="E546" s="84"/>
      <c r="F546" s="84"/>
    </row>
    <row r="547" ht="15.75" customHeight="1">
      <c r="A547" s="84"/>
      <c r="B547" s="84"/>
      <c r="C547" s="84"/>
      <c r="D547" s="84"/>
      <c r="E547" s="84"/>
      <c r="F547" s="84"/>
    </row>
    <row r="548" ht="15.75" customHeight="1">
      <c r="A548" s="84"/>
      <c r="B548" s="84"/>
      <c r="C548" s="84"/>
      <c r="D548" s="84"/>
      <c r="E548" s="84"/>
      <c r="F548" s="84"/>
    </row>
    <row r="549" ht="15.75" customHeight="1">
      <c r="A549" s="84"/>
      <c r="B549" s="84"/>
      <c r="C549" s="84"/>
      <c r="D549" s="84"/>
      <c r="E549" s="84"/>
      <c r="F549" s="84"/>
    </row>
    <row r="550" ht="15.75" customHeight="1">
      <c r="A550" s="84"/>
      <c r="B550" s="84"/>
      <c r="C550" s="84"/>
      <c r="D550" s="84"/>
      <c r="E550" s="84"/>
      <c r="F550" s="84"/>
    </row>
    <row r="551" ht="15.75" customHeight="1">
      <c r="A551" s="84"/>
      <c r="B551" s="84"/>
      <c r="C551" s="84"/>
      <c r="D551" s="84"/>
      <c r="E551" s="84"/>
      <c r="F551" s="84"/>
    </row>
    <row r="552" ht="15.75" customHeight="1">
      <c r="A552" s="84"/>
      <c r="B552" s="84"/>
      <c r="C552" s="84"/>
      <c r="D552" s="84"/>
      <c r="E552" s="84"/>
      <c r="F552" s="84"/>
    </row>
    <row r="553" ht="15.75" customHeight="1">
      <c r="A553" s="84"/>
      <c r="B553" s="84"/>
      <c r="C553" s="84"/>
      <c r="D553" s="84"/>
      <c r="E553" s="84"/>
      <c r="F553" s="84"/>
    </row>
    <row r="554" ht="15.75" customHeight="1">
      <c r="A554" s="84"/>
      <c r="B554" s="84"/>
      <c r="C554" s="84"/>
      <c r="D554" s="84"/>
      <c r="E554" s="84"/>
      <c r="F554" s="84"/>
    </row>
    <row r="555" ht="15.75" customHeight="1">
      <c r="A555" s="84"/>
      <c r="B555" s="84"/>
      <c r="C555" s="84"/>
      <c r="D555" s="84"/>
      <c r="E555" s="84"/>
      <c r="F555" s="84"/>
    </row>
    <row r="556" ht="15.75" customHeight="1">
      <c r="A556" s="84"/>
      <c r="B556" s="84"/>
      <c r="C556" s="84"/>
      <c r="D556" s="84"/>
      <c r="E556" s="84"/>
      <c r="F556" s="84"/>
    </row>
    <row r="557" ht="15.75" customHeight="1">
      <c r="A557" s="84"/>
      <c r="B557" s="84"/>
      <c r="C557" s="84"/>
      <c r="D557" s="84"/>
      <c r="E557" s="84"/>
      <c r="F557" s="84"/>
    </row>
    <row r="558" ht="15.75" customHeight="1">
      <c r="A558" s="84"/>
      <c r="B558" s="84"/>
      <c r="C558" s="84"/>
      <c r="D558" s="84"/>
      <c r="E558" s="84"/>
      <c r="F558" s="84"/>
    </row>
    <row r="559" ht="15.75" customHeight="1">
      <c r="A559" s="84"/>
      <c r="B559" s="84"/>
      <c r="C559" s="84"/>
      <c r="D559" s="84"/>
      <c r="E559" s="84"/>
      <c r="F559" s="84"/>
    </row>
    <row r="560" ht="15.75" customHeight="1">
      <c r="A560" s="84"/>
      <c r="B560" s="84"/>
      <c r="C560" s="84"/>
      <c r="D560" s="84"/>
      <c r="E560" s="84"/>
      <c r="F560" s="84"/>
    </row>
    <row r="561" ht="15.75" customHeight="1">
      <c r="A561" s="84"/>
      <c r="B561" s="84"/>
      <c r="C561" s="84"/>
      <c r="D561" s="84"/>
      <c r="E561" s="84"/>
      <c r="F561" s="84"/>
    </row>
    <row r="562" ht="15.75" customHeight="1">
      <c r="A562" s="84"/>
      <c r="B562" s="84"/>
      <c r="C562" s="84"/>
      <c r="D562" s="84"/>
      <c r="E562" s="84"/>
      <c r="F562" s="84"/>
    </row>
    <row r="563" ht="15.75" customHeight="1">
      <c r="A563" s="84"/>
      <c r="B563" s="84"/>
      <c r="C563" s="84"/>
      <c r="D563" s="84"/>
      <c r="E563" s="84"/>
      <c r="F563" s="84"/>
    </row>
    <row r="564" ht="15.75" customHeight="1">
      <c r="A564" s="84"/>
      <c r="B564" s="84"/>
      <c r="C564" s="84"/>
      <c r="D564" s="84"/>
      <c r="E564" s="84"/>
      <c r="F564" s="84"/>
    </row>
    <row r="565" ht="15.75" customHeight="1">
      <c r="A565" s="84"/>
      <c r="B565" s="84"/>
      <c r="C565" s="84"/>
      <c r="D565" s="84"/>
      <c r="E565" s="84"/>
      <c r="F565" s="84"/>
    </row>
    <row r="566" ht="15.75" customHeight="1">
      <c r="A566" s="84"/>
      <c r="B566" s="84"/>
      <c r="C566" s="84"/>
      <c r="D566" s="84"/>
      <c r="E566" s="84"/>
      <c r="F566" s="84"/>
    </row>
    <row r="567" ht="15.75" customHeight="1">
      <c r="A567" s="84"/>
      <c r="B567" s="84"/>
      <c r="C567" s="84"/>
      <c r="D567" s="84"/>
      <c r="E567" s="84"/>
      <c r="F567" s="84"/>
    </row>
    <row r="568" ht="15.75" customHeight="1">
      <c r="A568" s="84"/>
      <c r="B568" s="84"/>
      <c r="C568" s="84"/>
      <c r="D568" s="84"/>
      <c r="E568" s="84"/>
      <c r="F568" s="84"/>
    </row>
    <row r="569" ht="15.75" customHeight="1">
      <c r="A569" s="84"/>
      <c r="B569" s="84"/>
      <c r="C569" s="84"/>
      <c r="D569" s="84"/>
      <c r="E569" s="84"/>
      <c r="F569" s="84"/>
    </row>
    <row r="570" ht="15.75" customHeight="1">
      <c r="A570" s="84"/>
      <c r="B570" s="84"/>
      <c r="C570" s="84"/>
      <c r="D570" s="84"/>
      <c r="E570" s="84"/>
      <c r="F570" s="84"/>
    </row>
    <row r="571" ht="15.75" customHeight="1">
      <c r="A571" s="84"/>
      <c r="B571" s="84"/>
      <c r="C571" s="84"/>
      <c r="D571" s="84"/>
      <c r="E571" s="84"/>
      <c r="F571" s="84"/>
    </row>
    <row r="572" ht="15.75" customHeight="1">
      <c r="A572" s="84"/>
      <c r="B572" s="84"/>
      <c r="C572" s="84"/>
      <c r="D572" s="84"/>
      <c r="E572" s="84"/>
      <c r="F572" s="84"/>
    </row>
    <row r="573" ht="15.75" customHeight="1">
      <c r="A573" s="84"/>
      <c r="B573" s="84"/>
      <c r="C573" s="84"/>
      <c r="D573" s="84"/>
      <c r="E573" s="84"/>
      <c r="F573" s="84"/>
    </row>
    <row r="574" ht="15.75" customHeight="1">
      <c r="A574" s="84"/>
      <c r="B574" s="84"/>
      <c r="C574" s="84"/>
      <c r="D574" s="84"/>
      <c r="E574" s="84"/>
      <c r="F574" s="84"/>
    </row>
    <row r="575" ht="15.75" customHeight="1">
      <c r="A575" s="84"/>
      <c r="B575" s="84"/>
      <c r="C575" s="84"/>
      <c r="D575" s="84"/>
      <c r="E575" s="84"/>
      <c r="F575" s="84"/>
    </row>
    <row r="576" ht="15.75" customHeight="1">
      <c r="A576" s="84"/>
      <c r="B576" s="84"/>
      <c r="C576" s="84"/>
      <c r="D576" s="84"/>
      <c r="E576" s="84"/>
      <c r="F576" s="84"/>
    </row>
    <row r="577" ht="15.75" customHeight="1">
      <c r="A577" s="84"/>
      <c r="B577" s="84"/>
      <c r="C577" s="84"/>
      <c r="D577" s="84"/>
      <c r="E577" s="84"/>
      <c r="F577" s="84"/>
    </row>
    <row r="578" ht="15.75" customHeight="1">
      <c r="A578" s="84"/>
      <c r="B578" s="84"/>
      <c r="C578" s="84"/>
      <c r="D578" s="84"/>
      <c r="E578" s="84"/>
      <c r="F578" s="84"/>
    </row>
    <row r="579" ht="15.75" customHeight="1">
      <c r="A579" s="84"/>
      <c r="B579" s="84"/>
      <c r="C579" s="84"/>
      <c r="D579" s="84"/>
      <c r="E579" s="84"/>
      <c r="F579" s="84"/>
    </row>
    <row r="580" ht="15.75" customHeight="1">
      <c r="A580" s="84"/>
      <c r="B580" s="84"/>
      <c r="C580" s="84"/>
      <c r="D580" s="84"/>
      <c r="E580" s="84"/>
      <c r="F580" s="84"/>
    </row>
    <row r="581" ht="15.75" customHeight="1">
      <c r="A581" s="84"/>
      <c r="B581" s="84"/>
      <c r="C581" s="84"/>
      <c r="D581" s="84"/>
      <c r="E581" s="84"/>
      <c r="F581" s="84"/>
    </row>
    <row r="582" ht="15.75" customHeight="1">
      <c r="A582" s="84"/>
      <c r="B582" s="84"/>
      <c r="C582" s="84"/>
      <c r="D582" s="84"/>
      <c r="E582" s="84"/>
      <c r="F582" s="84"/>
    </row>
    <row r="583" ht="15.75" customHeight="1">
      <c r="A583" s="84"/>
      <c r="B583" s="84"/>
      <c r="C583" s="84"/>
      <c r="D583" s="84"/>
      <c r="E583" s="84"/>
      <c r="F583" s="84"/>
    </row>
    <row r="584" ht="15.75" customHeight="1">
      <c r="A584" s="84"/>
      <c r="B584" s="84"/>
      <c r="C584" s="84"/>
      <c r="D584" s="84"/>
      <c r="E584" s="84"/>
      <c r="F584" s="84"/>
    </row>
    <row r="585" ht="15.75" customHeight="1">
      <c r="A585" s="84"/>
      <c r="B585" s="84"/>
      <c r="C585" s="84"/>
      <c r="D585" s="84"/>
      <c r="E585" s="84"/>
      <c r="F585" s="84"/>
    </row>
    <row r="586" ht="15.75" customHeight="1">
      <c r="A586" s="84"/>
      <c r="B586" s="84"/>
      <c r="C586" s="84"/>
      <c r="D586" s="84"/>
      <c r="E586" s="84"/>
      <c r="F586" s="84"/>
    </row>
    <row r="587" ht="15.75" customHeight="1">
      <c r="A587" s="84"/>
      <c r="B587" s="84"/>
      <c r="C587" s="84"/>
      <c r="D587" s="84"/>
      <c r="E587" s="84"/>
      <c r="F587" s="84"/>
    </row>
    <row r="588" ht="15.75" customHeight="1">
      <c r="A588" s="84"/>
      <c r="B588" s="84"/>
      <c r="C588" s="84"/>
      <c r="D588" s="84"/>
      <c r="E588" s="84"/>
      <c r="F588" s="84"/>
    </row>
    <row r="589" ht="15.75" customHeight="1">
      <c r="A589" s="84"/>
      <c r="B589" s="84"/>
      <c r="C589" s="84"/>
      <c r="D589" s="84"/>
      <c r="E589" s="84"/>
      <c r="F589" s="84"/>
    </row>
    <row r="590" ht="15.75" customHeight="1">
      <c r="A590" s="84"/>
      <c r="B590" s="84"/>
      <c r="C590" s="84"/>
      <c r="D590" s="84"/>
      <c r="E590" s="84"/>
      <c r="F590" s="84"/>
    </row>
    <row r="591" ht="15.75" customHeight="1">
      <c r="A591" s="84"/>
      <c r="B591" s="84"/>
      <c r="C591" s="84"/>
      <c r="D591" s="84"/>
      <c r="E591" s="84"/>
      <c r="F591" s="84"/>
    </row>
    <row r="592" ht="15.75" customHeight="1">
      <c r="A592" s="84"/>
      <c r="B592" s="84"/>
      <c r="C592" s="84"/>
      <c r="D592" s="84"/>
      <c r="E592" s="84"/>
      <c r="F592" s="84"/>
    </row>
    <row r="593" ht="15.75" customHeight="1">
      <c r="A593" s="84"/>
      <c r="B593" s="84"/>
      <c r="C593" s="84"/>
      <c r="D593" s="84"/>
      <c r="E593" s="84"/>
      <c r="F593" s="84"/>
    </row>
    <row r="594" ht="15.75" customHeight="1">
      <c r="A594" s="84"/>
      <c r="B594" s="84"/>
      <c r="C594" s="84"/>
      <c r="D594" s="84"/>
      <c r="E594" s="84"/>
      <c r="F594" s="84"/>
    </row>
    <row r="595" ht="15.75" customHeight="1">
      <c r="A595" s="84"/>
      <c r="B595" s="84"/>
      <c r="C595" s="84"/>
      <c r="D595" s="84"/>
      <c r="E595" s="84"/>
      <c r="F595" s="84"/>
    </row>
    <row r="596" ht="15.75" customHeight="1">
      <c r="A596" s="84"/>
      <c r="B596" s="84"/>
      <c r="C596" s="84"/>
      <c r="D596" s="84"/>
      <c r="E596" s="84"/>
      <c r="F596" s="84"/>
    </row>
    <row r="597" ht="15.75" customHeight="1">
      <c r="A597" s="84"/>
      <c r="B597" s="84"/>
      <c r="C597" s="84"/>
      <c r="D597" s="84"/>
      <c r="E597" s="84"/>
      <c r="F597" s="84"/>
    </row>
    <row r="598" ht="15.75" customHeight="1">
      <c r="A598" s="84"/>
      <c r="B598" s="84"/>
      <c r="C598" s="84"/>
      <c r="D598" s="84"/>
      <c r="E598" s="84"/>
      <c r="F598" s="84"/>
    </row>
    <row r="599" ht="15.75" customHeight="1">
      <c r="A599" s="84"/>
      <c r="B599" s="84"/>
      <c r="C599" s="84"/>
      <c r="D599" s="84"/>
      <c r="E599" s="84"/>
      <c r="F599" s="84"/>
    </row>
    <row r="600" ht="15.75" customHeight="1">
      <c r="A600" s="84"/>
      <c r="B600" s="84"/>
      <c r="C600" s="84"/>
      <c r="D600" s="84"/>
      <c r="E600" s="84"/>
      <c r="F600" s="84"/>
    </row>
    <row r="601" ht="15.75" customHeight="1">
      <c r="A601" s="84"/>
      <c r="B601" s="84"/>
      <c r="C601" s="84"/>
      <c r="D601" s="84"/>
      <c r="E601" s="84"/>
      <c r="F601" s="84"/>
    </row>
    <row r="602" ht="15.75" customHeight="1">
      <c r="A602" s="84"/>
      <c r="B602" s="84"/>
      <c r="C602" s="84"/>
      <c r="D602" s="84"/>
      <c r="E602" s="84"/>
      <c r="F602" s="84"/>
    </row>
    <row r="603" ht="15.75" customHeight="1">
      <c r="A603" s="84"/>
      <c r="B603" s="84"/>
      <c r="C603" s="84"/>
      <c r="D603" s="84"/>
      <c r="E603" s="84"/>
      <c r="F603" s="84"/>
    </row>
    <row r="604" ht="15.75" customHeight="1">
      <c r="A604" s="84"/>
      <c r="B604" s="84"/>
      <c r="C604" s="84"/>
      <c r="D604" s="84"/>
      <c r="E604" s="84"/>
      <c r="F604" s="84"/>
    </row>
    <row r="605" ht="15.75" customHeight="1">
      <c r="A605" s="84"/>
      <c r="B605" s="84"/>
      <c r="C605" s="84"/>
      <c r="D605" s="84"/>
      <c r="E605" s="84"/>
      <c r="F605" s="84"/>
    </row>
    <row r="606" ht="15.75" customHeight="1">
      <c r="A606" s="84"/>
      <c r="B606" s="84"/>
      <c r="C606" s="84"/>
      <c r="D606" s="84"/>
      <c r="E606" s="84"/>
      <c r="F606" s="84"/>
    </row>
    <row r="607" ht="15.75" customHeight="1">
      <c r="A607" s="84"/>
      <c r="B607" s="84"/>
      <c r="C607" s="84"/>
      <c r="D607" s="84"/>
      <c r="E607" s="84"/>
      <c r="F607" s="84"/>
    </row>
    <row r="608" ht="15.75" customHeight="1">
      <c r="A608" s="84"/>
      <c r="B608" s="84"/>
      <c r="C608" s="84"/>
      <c r="D608" s="84"/>
      <c r="E608" s="84"/>
      <c r="F608" s="84"/>
    </row>
    <row r="609" ht="15.75" customHeight="1">
      <c r="A609" s="84"/>
      <c r="B609" s="84"/>
      <c r="C609" s="84"/>
      <c r="D609" s="84"/>
      <c r="E609" s="84"/>
      <c r="F609" s="84"/>
    </row>
    <row r="610" ht="15.75" customHeight="1">
      <c r="A610" s="84"/>
      <c r="B610" s="84"/>
      <c r="C610" s="84"/>
      <c r="D610" s="84"/>
      <c r="E610" s="84"/>
      <c r="F610" s="84"/>
    </row>
    <row r="611" ht="15.75" customHeight="1">
      <c r="A611" s="84"/>
      <c r="B611" s="84"/>
      <c r="C611" s="84"/>
      <c r="D611" s="84"/>
      <c r="E611" s="84"/>
      <c r="F611" s="84"/>
    </row>
    <row r="612" ht="15.75" customHeight="1">
      <c r="A612" s="84"/>
      <c r="B612" s="84"/>
      <c r="C612" s="84"/>
      <c r="D612" s="84"/>
      <c r="E612" s="84"/>
      <c r="F612" s="84"/>
    </row>
    <row r="613" ht="15.75" customHeight="1">
      <c r="A613" s="84"/>
      <c r="B613" s="84"/>
      <c r="C613" s="84"/>
      <c r="D613" s="84"/>
      <c r="E613" s="84"/>
      <c r="F613" s="84"/>
    </row>
    <row r="614" ht="15.75" customHeight="1">
      <c r="A614" s="84"/>
      <c r="B614" s="84"/>
      <c r="C614" s="84"/>
      <c r="D614" s="84"/>
      <c r="E614" s="84"/>
      <c r="F614" s="84"/>
    </row>
    <row r="615" ht="15.75" customHeight="1">
      <c r="A615" s="84"/>
      <c r="B615" s="84"/>
      <c r="C615" s="84"/>
      <c r="D615" s="84"/>
      <c r="E615" s="84"/>
      <c r="F615" s="84"/>
    </row>
    <row r="616" ht="15.75" customHeight="1">
      <c r="A616" s="84"/>
      <c r="B616" s="84"/>
      <c r="C616" s="84"/>
      <c r="D616" s="84"/>
      <c r="E616" s="84"/>
      <c r="F616" s="84"/>
    </row>
    <row r="617" ht="15.75" customHeight="1">
      <c r="A617" s="84"/>
      <c r="B617" s="84"/>
      <c r="C617" s="84"/>
      <c r="D617" s="84"/>
      <c r="E617" s="84"/>
      <c r="F617" s="84"/>
    </row>
    <row r="618" ht="15.75" customHeight="1">
      <c r="A618" s="84"/>
      <c r="B618" s="84"/>
      <c r="C618" s="84"/>
      <c r="D618" s="84"/>
      <c r="E618" s="84"/>
      <c r="F618" s="84"/>
    </row>
    <row r="619" ht="15.75" customHeight="1">
      <c r="A619" s="84"/>
      <c r="B619" s="84"/>
      <c r="C619" s="84"/>
      <c r="D619" s="84"/>
      <c r="E619" s="84"/>
      <c r="F619" s="84"/>
    </row>
    <row r="620" ht="15.75" customHeight="1">
      <c r="A620" s="84"/>
      <c r="B620" s="84"/>
      <c r="C620" s="84"/>
      <c r="D620" s="84"/>
      <c r="E620" s="84"/>
      <c r="F620" s="84"/>
    </row>
    <row r="621" ht="15.75" customHeight="1">
      <c r="A621" s="84"/>
      <c r="B621" s="84"/>
      <c r="C621" s="84"/>
      <c r="D621" s="84"/>
      <c r="E621" s="84"/>
      <c r="F621" s="84"/>
    </row>
    <row r="622" ht="15.75" customHeight="1">
      <c r="A622" s="84"/>
      <c r="B622" s="84"/>
      <c r="C622" s="84"/>
      <c r="D622" s="84"/>
      <c r="E622" s="84"/>
      <c r="F622" s="84"/>
    </row>
    <row r="623" ht="15.75" customHeight="1">
      <c r="A623" s="84"/>
      <c r="B623" s="84"/>
      <c r="C623" s="84"/>
      <c r="D623" s="84"/>
      <c r="E623" s="84"/>
      <c r="F623" s="84"/>
    </row>
    <row r="624" ht="15.75" customHeight="1">
      <c r="A624" s="84"/>
      <c r="B624" s="84"/>
      <c r="C624" s="84"/>
      <c r="D624" s="84"/>
      <c r="E624" s="84"/>
      <c r="F624" s="84"/>
    </row>
    <row r="625" ht="15.75" customHeight="1">
      <c r="A625" s="84"/>
      <c r="B625" s="84"/>
      <c r="C625" s="84"/>
      <c r="D625" s="84"/>
      <c r="E625" s="84"/>
      <c r="F625" s="84"/>
    </row>
    <row r="626" ht="15.75" customHeight="1">
      <c r="A626" s="84"/>
      <c r="B626" s="84"/>
      <c r="C626" s="84"/>
      <c r="D626" s="84"/>
      <c r="E626" s="84"/>
      <c r="F626" s="84"/>
    </row>
    <row r="627" ht="15.75" customHeight="1">
      <c r="A627" s="84"/>
      <c r="B627" s="84"/>
      <c r="C627" s="84"/>
      <c r="D627" s="84"/>
      <c r="E627" s="84"/>
      <c r="F627" s="84"/>
    </row>
    <row r="628" ht="15.75" customHeight="1">
      <c r="A628" s="84"/>
      <c r="B628" s="84"/>
      <c r="C628" s="84"/>
      <c r="D628" s="84"/>
      <c r="E628" s="84"/>
      <c r="F628" s="84"/>
    </row>
    <row r="629" ht="15.75" customHeight="1">
      <c r="A629" s="84"/>
      <c r="B629" s="84"/>
      <c r="C629" s="84"/>
      <c r="D629" s="84"/>
      <c r="E629" s="84"/>
      <c r="F629" s="84"/>
    </row>
    <row r="630" ht="15.75" customHeight="1">
      <c r="A630" s="84"/>
      <c r="B630" s="84"/>
      <c r="C630" s="84"/>
      <c r="D630" s="84"/>
      <c r="E630" s="84"/>
      <c r="F630" s="84"/>
    </row>
    <row r="631" ht="15.75" customHeight="1">
      <c r="A631" s="84"/>
      <c r="B631" s="84"/>
      <c r="C631" s="84"/>
      <c r="D631" s="84"/>
      <c r="E631" s="84"/>
      <c r="F631" s="84"/>
    </row>
    <row r="632" ht="15.75" customHeight="1">
      <c r="A632" s="84"/>
      <c r="B632" s="84"/>
      <c r="C632" s="84"/>
      <c r="D632" s="84"/>
      <c r="E632" s="84"/>
      <c r="F632" s="84"/>
    </row>
    <row r="633" ht="15.75" customHeight="1">
      <c r="A633" s="84"/>
      <c r="B633" s="84"/>
      <c r="C633" s="84"/>
      <c r="D633" s="84"/>
      <c r="E633" s="84"/>
      <c r="F633" s="84"/>
    </row>
    <row r="634" ht="15.75" customHeight="1">
      <c r="A634" s="84"/>
      <c r="B634" s="84"/>
      <c r="C634" s="84"/>
      <c r="D634" s="84"/>
      <c r="E634" s="84"/>
      <c r="F634" s="84"/>
    </row>
    <row r="635" ht="15.75" customHeight="1">
      <c r="A635" s="84"/>
      <c r="B635" s="84"/>
      <c r="C635" s="84"/>
      <c r="D635" s="84"/>
      <c r="E635" s="84"/>
      <c r="F635" s="84"/>
    </row>
    <row r="636" ht="15.75" customHeight="1">
      <c r="A636" s="84"/>
      <c r="B636" s="84"/>
      <c r="C636" s="84"/>
      <c r="D636" s="84"/>
      <c r="E636" s="84"/>
      <c r="F636" s="84"/>
    </row>
    <row r="637" ht="15.75" customHeight="1">
      <c r="A637" s="84"/>
      <c r="B637" s="84"/>
      <c r="C637" s="84"/>
      <c r="D637" s="84"/>
      <c r="E637" s="84"/>
      <c r="F637" s="84"/>
    </row>
    <row r="638" ht="15.75" customHeight="1">
      <c r="A638" s="84"/>
      <c r="B638" s="84"/>
      <c r="C638" s="84"/>
      <c r="D638" s="84"/>
      <c r="E638" s="84"/>
      <c r="F638" s="84"/>
    </row>
    <row r="639" ht="15.75" customHeight="1">
      <c r="A639" s="84"/>
      <c r="B639" s="84"/>
      <c r="C639" s="84"/>
      <c r="D639" s="84"/>
      <c r="E639" s="84"/>
      <c r="F639" s="84"/>
    </row>
    <row r="640" ht="15.75" customHeight="1">
      <c r="A640" s="84"/>
      <c r="B640" s="84"/>
      <c r="C640" s="84"/>
      <c r="D640" s="84"/>
      <c r="E640" s="84"/>
      <c r="F640" s="84"/>
    </row>
    <row r="641" ht="15.75" customHeight="1">
      <c r="A641" s="84"/>
      <c r="B641" s="84"/>
      <c r="C641" s="84"/>
      <c r="D641" s="84"/>
      <c r="E641" s="84"/>
      <c r="F641" s="84"/>
    </row>
    <row r="642" ht="15.75" customHeight="1">
      <c r="A642" s="84"/>
      <c r="B642" s="84"/>
      <c r="C642" s="84"/>
      <c r="D642" s="84"/>
      <c r="E642" s="84"/>
      <c r="F642" s="84"/>
    </row>
    <row r="643" ht="15.75" customHeight="1">
      <c r="A643" s="84"/>
      <c r="B643" s="84"/>
      <c r="C643" s="84"/>
      <c r="D643" s="84"/>
      <c r="E643" s="84"/>
      <c r="F643" s="84"/>
    </row>
    <row r="644" ht="15.75" customHeight="1">
      <c r="A644" s="84"/>
      <c r="B644" s="84"/>
      <c r="C644" s="84"/>
      <c r="D644" s="84"/>
      <c r="E644" s="84"/>
      <c r="F644" s="84"/>
    </row>
    <row r="645" ht="15.75" customHeight="1">
      <c r="A645" s="84"/>
      <c r="B645" s="84"/>
      <c r="C645" s="84"/>
      <c r="D645" s="84"/>
      <c r="E645" s="84"/>
      <c r="F645" s="84"/>
    </row>
    <row r="646" ht="15.75" customHeight="1">
      <c r="A646" s="84"/>
      <c r="B646" s="84"/>
      <c r="C646" s="84"/>
      <c r="D646" s="84"/>
      <c r="E646" s="84"/>
      <c r="F646" s="84"/>
    </row>
    <row r="647" ht="15.75" customHeight="1">
      <c r="A647" s="84"/>
      <c r="B647" s="84"/>
      <c r="C647" s="84"/>
      <c r="D647" s="84"/>
      <c r="E647" s="84"/>
      <c r="F647" s="84"/>
    </row>
    <row r="648" ht="15.75" customHeight="1">
      <c r="A648" s="84"/>
      <c r="B648" s="84"/>
      <c r="C648" s="84"/>
      <c r="D648" s="84"/>
      <c r="E648" s="84"/>
      <c r="F648" s="84"/>
    </row>
    <row r="649" ht="15.75" customHeight="1">
      <c r="A649" s="84"/>
      <c r="B649" s="84"/>
      <c r="C649" s="84"/>
      <c r="D649" s="84"/>
      <c r="E649" s="84"/>
      <c r="F649" s="84"/>
    </row>
    <row r="650" ht="15.75" customHeight="1">
      <c r="A650" s="84"/>
      <c r="B650" s="84"/>
      <c r="C650" s="84"/>
      <c r="D650" s="84"/>
      <c r="E650" s="84"/>
      <c r="F650" s="84"/>
    </row>
    <row r="651" ht="15.75" customHeight="1">
      <c r="A651" s="84"/>
      <c r="B651" s="84"/>
      <c r="C651" s="84"/>
      <c r="D651" s="84"/>
      <c r="E651" s="84"/>
      <c r="F651" s="84"/>
    </row>
    <row r="652" ht="15.75" customHeight="1">
      <c r="A652" s="84"/>
      <c r="B652" s="84"/>
      <c r="C652" s="84"/>
      <c r="D652" s="84"/>
      <c r="E652" s="84"/>
      <c r="F652" s="84"/>
    </row>
    <row r="653" ht="15.75" customHeight="1">
      <c r="A653" s="84"/>
      <c r="B653" s="84"/>
      <c r="C653" s="84"/>
      <c r="D653" s="84"/>
      <c r="E653" s="84"/>
      <c r="F653" s="84"/>
    </row>
    <row r="654" ht="15.75" customHeight="1">
      <c r="A654" s="84"/>
      <c r="B654" s="84"/>
      <c r="C654" s="84"/>
      <c r="D654" s="84"/>
      <c r="E654" s="84"/>
      <c r="F654" s="84"/>
    </row>
    <row r="655" ht="15.75" customHeight="1">
      <c r="A655" s="84"/>
      <c r="B655" s="84"/>
      <c r="C655" s="84"/>
      <c r="D655" s="84"/>
      <c r="E655" s="84"/>
      <c r="F655" s="84"/>
    </row>
    <row r="656" ht="15.75" customHeight="1">
      <c r="A656" s="84"/>
      <c r="B656" s="84"/>
      <c r="C656" s="84"/>
      <c r="D656" s="84"/>
      <c r="E656" s="84"/>
      <c r="F656" s="84"/>
    </row>
    <row r="657" ht="15.75" customHeight="1">
      <c r="A657" s="84"/>
      <c r="B657" s="84"/>
      <c r="C657" s="84"/>
      <c r="D657" s="84"/>
      <c r="E657" s="84"/>
      <c r="F657" s="84"/>
    </row>
    <row r="658" ht="15.75" customHeight="1">
      <c r="A658" s="84"/>
      <c r="B658" s="84"/>
      <c r="C658" s="84"/>
      <c r="D658" s="84"/>
      <c r="E658" s="84"/>
      <c r="F658" s="84"/>
    </row>
    <row r="659" ht="15.75" customHeight="1">
      <c r="A659" s="84"/>
      <c r="B659" s="84"/>
      <c r="C659" s="84"/>
      <c r="D659" s="84"/>
      <c r="E659" s="84"/>
      <c r="F659" s="84"/>
    </row>
    <row r="660" ht="15.75" customHeight="1">
      <c r="A660" s="84"/>
      <c r="B660" s="84"/>
      <c r="C660" s="84"/>
      <c r="D660" s="84"/>
      <c r="E660" s="84"/>
      <c r="F660" s="84"/>
    </row>
    <row r="661" ht="15.75" customHeight="1">
      <c r="A661" s="84"/>
      <c r="B661" s="84"/>
      <c r="C661" s="84"/>
      <c r="D661" s="84"/>
      <c r="E661" s="84"/>
      <c r="F661" s="84"/>
    </row>
    <row r="662" ht="15.75" customHeight="1">
      <c r="A662" s="84"/>
      <c r="B662" s="84"/>
      <c r="C662" s="84"/>
      <c r="D662" s="84"/>
      <c r="E662" s="84"/>
      <c r="F662" s="84"/>
    </row>
    <row r="663" ht="15.75" customHeight="1">
      <c r="A663" s="84"/>
      <c r="B663" s="84"/>
      <c r="C663" s="84"/>
      <c r="D663" s="84"/>
      <c r="E663" s="84"/>
      <c r="F663" s="84"/>
    </row>
    <row r="664" ht="15.75" customHeight="1">
      <c r="A664" s="84"/>
      <c r="B664" s="84"/>
      <c r="C664" s="84"/>
      <c r="D664" s="84"/>
      <c r="E664" s="84"/>
      <c r="F664" s="84"/>
    </row>
    <row r="665" ht="15.75" customHeight="1">
      <c r="A665" s="84"/>
      <c r="B665" s="84"/>
      <c r="C665" s="84"/>
      <c r="D665" s="84"/>
      <c r="E665" s="84"/>
      <c r="F665" s="84"/>
    </row>
    <row r="666" ht="15.75" customHeight="1">
      <c r="A666" s="84"/>
      <c r="B666" s="84"/>
      <c r="C666" s="84"/>
      <c r="D666" s="84"/>
      <c r="E666" s="84"/>
      <c r="F666" s="84"/>
    </row>
    <row r="667" ht="15.75" customHeight="1">
      <c r="A667" s="84"/>
      <c r="B667" s="84"/>
      <c r="C667" s="84"/>
      <c r="D667" s="84"/>
      <c r="E667" s="84"/>
      <c r="F667" s="84"/>
    </row>
    <row r="668" ht="15.75" customHeight="1">
      <c r="A668" s="84"/>
      <c r="B668" s="84"/>
      <c r="C668" s="84"/>
      <c r="D668" s="84"/>
      <c r="E668" s="84"/>
      <c r="F668" s="84"/>
    </row>
    <row r="669" ht="15.75" customHeight="1">
      <c r="A669" s="84"/>
      <c r="B669" s="84"/>
      <c r="C669" s="84"/>
      <c r="D669" s="84"/>
      <c r="E669" s="84"/>
      <c r="F669" s="84"/>
    </row>
    <row r="670" ht="15.75" customHeight="1">
      <c r="A670" s="84"/>
      <c r="B670" s="84"/>
      <c r="C670" s="84"/>
      <c r="D670" s="84"/>
      <c r="E670" s="84"/>
      <c r="F670" s="84"/>
    </row>
    <row r="671" ht="15.75" customHeight="1">
      <c r="A671" s="84"/>
      <c r="B671" s="84"/>
      <c r="C671" s="84"/>
      <c r="D671" s="84"/>
      <c r="E671" s="84"/>
      <c r="F671" s="84"/>
    </row>
    <row r="672" ht="15.75" customHeight="1">
      <c r="A672" s="84"/>
      <c r="B672" s="84"/>
      <c r="C672" s="84"/>
      <c r="D672" s="84"/>
      <c r="E672" s="84"/>
      <c r="F672" s="84"/>
    </row>
    <row r="673" ht="15.75" customHeight="1">
      <c r="A673" s="84"/>
      <c r="B673" s="84"/>
      <c r="C673" s="84"/>
      <c r="D673" s="84"/>
      <c r="E673" s="84"/>
      <c r="F673" s="84"/>
    </row>
    <row r="674" ht="15.75" customHeight="1">
      <c r="A674" s="84"/>
      <c r="B674" s="84"/>
      <c r="C674" s="84"/>
      <c r="D674" s="84"/>
      <c r="E674" s="84"/>
      <c r="F674" s="84"/>
    </row>
    <row r="675" ht="15.75" customHeight="1">
      <c r="A675" s="84"/>
      <c r="B675" s="84"/>
      <c r="C675" s="84"/>
      <c r="D675" s="84"/>
      <c r="E675" s="84"/>
      <c r="F675" s="84"/>
    </row>
    <row r="676" ht="15.75" customHeight="1">
      <c r="A676" s="84"/>
      <c r="B676" s="84"/>
      <c r="C676" s="84"/>
      <c r="D676" s="84"/>
      <c r="E676" s="84"/>
      <c r="F676" s="84"/>
    </row>
    <row r="677" ht="15.75" customHeight="1">
      <c r="A677" s="84"/>
      <c r="B677" s="84"/>
      <c r="C677" s="84"/>
      <c r="D677" s="84"/>
      <c r="E677" s="84"/>
      <c r="F677" s="84"/>
    </row>
    <row r="678" ht="15.75" customHeight="1">
      <c r="A678" s="84"/>
      <c r="B678" s="84"/>
      <c r="C678" s="84"/>
      <c r="D678" s="84"/>
      <c r="E678" s="84"/>
      <c r="F678" s="84"/>
    </row>
    <row r="679" ht="15.75" customHeight="1">
      <c r="A679" s="84"/>
      <c r="B679" s="84"/>
      <c r="C679" s="84"/>
      <c r="D679" s="84"/>
      <c r="E679" s="84"/>
      <c r="F679" s="84"/>
    </row>
    <row r="680" ht="15.75" customHeight="1">
      <c r="A680" s="84"/>
      <c r="B680" s="84"/>
      <c r="C680" s="84"/>
      <c r="D680" s="84"/>
      <c r="E680" s="84"/>
      <c r="F680" s="84"/>
    </row>
    <row r="681" ht="15.75" customHeight="1">
      <c r="A681" s="84"/>
      <c r="B681" s="84"/>
      <c r="C681" s="84"/>
      <c r="D681" s="84"/>
      <c r="E681" s="84"/>
      <c r="F681" s="84"/>
    </row>
    <row r="682" ht="15.75" customHeight="1">
      <c r="A682" s="84"/>
      <c r="B682" s="84"/>
      <c r="C682" s="84"/>
      <c r="D682" s="84"/>
      <c r="E682" s="84"/>
      <c r="F682" s="84"/>
    </row>
    <row r="683" ht="15.75" customHeight="1">
      <c r="A683" s="84"/>
      <c r="B683" s="84"/>
      <c r="C683" s="84"/>
      <c r="D683" s="84"/>
      <c r="E683" s="84"/>
      <c r="F683" s="84"/>
    </row>
    <row r="684" ht="15.75" customHeight="1">
      <c r="A684" s="84"/>
      <c r="B684" s="84"/>
      <c r="C684" s="84"/>
      <c r="D684" s="84"/>
      <c r="E684" s="84"/>
      <c r="F684" s="84"/>
    </row>
    <row r="685" ht="15.75" customHeight="1">
      <c r="A685" s="84"/>
      <c r="B685" s="84"/>
      <c r="C685" s="84"/>
      <c r="D685" s="84"/>
      <c r="E685" s="84"/>
      <c r="F685" s="84"/>
    </row>
    <row r="686" ht="15.75" customHeight="1">
      <c r="A686" s="84"/>
      <c r="B686" s="84"/>
      <c r="C686" s="84"/>
      <c r="D686" s="84"/>
      <c r="E686" s="84"/>
      <c r="F686" s="84"/>
    </row>
    <row r="687" ht="15.75" customHeight="1">
      <c r="A687" s="84"/>
      <c r="B687" s="84"/>
      <c r="C687" s="84"/>
      <c r="D687" s="84"/>
      <c r="E687" s="84"/>
      <c r="F687" s="84"/>
    </row>
    <row r="688" ht="15.75" customHeight="1">
      <c r="A688" s="84"/>
      <c r="B688" s="84"/>
      <c r="C688" s="84"/>
      <c r="D688" s="84"/>
      <c r="E688" s="84"/>
      <c r="F688" s="84"/>
    </row>
    <row r="689" ht="15.75" customHeight="1">
      <c r="A689" s="84"/>
      <c r="B689" s="84"/>
      <c r="C689" s="84"/>
      <c r="D689" s="84"/>
      <c r="E689" s="84"/>
      <c r="F689" s="84"/>
    </row>
    <row r="690" ht="15.75" customHeight="1">
      <c r="A690" s="84"/>
      <c r="B690" s="84"/>
      <c r="C690" s="84"/>
      <c r="D690" s="84"/>
      <c r="E690" s="84"/>
      <c r="F690" s="84"/>
    </row>
    <row r="691" ht="15.75" customHeight="1">
      <c r="A691" s="84"/>
      <c r="B691" s="84"/>
      <c r="C691" s="84"/>
      <c r="D691" s="84"/>
      <c r="E691" s="84"/>
      <c r="F691" s="84"/>
    </row>
    <row r="692" ht="15.75" customHeight="1">
      <c r="A692" s="84"/>
      <c r="B692" s="84"/>
      <c r="C692" s="84"/>
      <c r="D692" s="84"/>
      <c r="E692" s="84"/>
      <c r="F692" s="84"/>
    </row>
    <row r="693" ht="15.75" customHeight="1">
      <c r="A693" s="84"/>
      <c r="B693" s="84"/>
      <c r="C693" s="84"/>
      <c r="D693" s="84"/>
      <c r="E693" s="84"/>
      <c r="F693" s="84"/>
    </row>
    <row r="694" ht="15.75" customHeight="1">
      <c r="A694" s="84"/>
      <c r="B694" s="84"/>
      <c r="C694" s="84"/>
      <c r="D694" s="84"/>
      <c r="E694" s="84"/>
      <c r="F694" s="84"/>
    </row>
    <row r="695" ht="15.75" customHeight="1">
      <c r="A695" s="84"/>
      <c r="B695" s="84"/>
      <c r="C695" s="84"/>
      <c r="D695" s="84"/>
      <c r="E695" s="84"/>
      <c r="F695" s="84"/>
    </row>
    <row r="696" ht="15.75" customHeight="1">
      <c r="A696" s="84"/>
      <c r="B696" s="84"/>
      <c r="C696" s="84"/>
      <c r="D696" s="84"/>
      <c r="E696" s="84"/>
      <c r="F696" s="84"/>
    </row>
    <row r="697" ht="15.75" customHeight="1">
      <c r="A697" s="84"/>
      <c r="B697" s="84"/>
      <c r="C697" s="84"/>
      <c r="D697" s="84"/>
      <c r="E697" s="84"/>
      <c r="F697" s="84"/>
    </row>
    <row r="698" ht="15.75" customHeight="1">
      <c r="A698" s="84"/>
      <c r="B698" s="84"/>
      <c r="C698" s="84"/>
      <c r="D698" s="84"/>
      <c r="E698" s="84"/>
      <c r="F698" s="84"/>
    </row>
    <row r="699" ht="15.75" customHeight="1">
      <c r="A699" s="84"/>
      <c r="B699" s="84"/>
      <c r="C699" s="84"/>
      <c r="D699" s="84"/>
      <c r="E699" s="84"/>
      <c r="F699" s="84"/>
    </row>
    <row r="700" ht="15.75" customHeight="1">
      <c r="A700" s="84"/>
      <c r="B700" s="84"/>
      <c r="C700" s="84"/>
      <c r="D700" s="84"/>
      <c r="E700" s="84"/>
      <c r="F700" s="84"/>
    </row>
    <row r="701" ht="15.75" customHeight="1">
      <c r="A701" s="84"/>
      <c r="B701" s="84"/>
      <c r="C701" s="84"/>
      <c r="D701" s="84"/>
      <c r="E701" s="84"/>
      <c r="F701" s="84"/>
    </row>
    <row r="702" ht="15.75" customHeight="1">
      <c r="A702" s="84"/>
      <c r="B702" s="84"/>
      <c r="C702" s="84"/>
      <c r="D702" s="84"/>
      <c r="E702" s="84"/>
      <c r="F702" s="84"/>
    </row>
    <row r="703" ht="15.75" customHeight="1">
      <c r="A703" s="84"/>
      <c r="B703" s="84"/>
      <c r="C703" s="84"/>
      <c r="D703" s="84"/>
      <c r="E703" s="84"/>
      <c r="F703" s="84"/>
    </row>
    <row r="704" ht="15.75" customHeight="1">
      <c r="A704" s="84"/>
      <c r="B704" s="84"/>
      <c r="C704" s="84"/>
      <c r="D704" s="84"/>
      <c r="E704" s="84"/>
      <c r="F704" s="84"/>
    </row>
    <row r="705" ht="15.75" customHeight="1">
      <c r="A705" s="84"/>
      <c r="B705" s="84"/>
      <c r="C705" s="84"/>
      <c r="D705" s="84"/>
      <c r="E705" s="84"/>
      <c r="F705" s="84"/>
    </row>
    <row r="706" ht="15.75" customHeight="1">
      <c r="A706" s="84"/>
      <c r="B706" s="84"/>
      <c r="C706" s="84"/>
      <c r="D706" s="84"/>
      <c r="E706" s="84"/>
      <c r="F706" s="84"/>
    </row>
    <row r="707" ht="15.75" customHeight="1">
      <c r="A707" s="84"/>
      <c r="B707" s="84"/>
      <c r="C707" s="84"/>
      <c r="D707" s="84"/>
      <c r="E707" s="84"/>
      <c r="F707" s="84"/>
    </row>
    <row r="708" ht="15.75" customHeight="1">
      <c r="A708" s="84"/>
      <c r="B708" s="84"/>
      <c r="C708" s="84"/>
      <c r="D708" s="84"/>
      <c r="E708" s="84"/>
      <c r="F708" s="84"/>
    </row>
    <row r="709" ht="15.75" customHeight="1">
      <c r="A709" s="84"/>
      <c r="B709" s="84"/>
      <c r="C709" s="84"/>
      <c r="D709" s="84"/>
      <c r="E709" s="84"/>
      <c r="F709" s="84"/>
    </row>
    <row r="710" ht="15.75" customHeight="1">
      <c r="A710" s="84"/>
      <c r="B710" s="84"/>
      <c r="C710" s="84"/>
      <c r="D710" s="84"/>
      <c r="E710" s="84"/>
      <c r="F710" s="84"/>
    </row>
    <row r="711" ht="15.75" customHeight="1">
      <c r="A711" s="84"/>
      <c r="B711" s="84"/>
      <c r="C711" s="84"/>
      <c r="D711" s="84"/>
      <c r="E711" s="84"/>
      <c r="F711" s="84"/>
    </row>
    <row r="712" ht="15.75" customHeight="1">
      <c r="A712" s="84"/>
      <c r="B712" s="84"/>
      <c r="C712" s="84"/>
      <c r="D712" s="84"/>
      <c r="E712" s="84"/>
      <c r="F712" s="84"/>
    </row>
    <row r="713" ht="15.75" customHeight="1">
      <c r="A713" s="84"/>
      <c r="B713" s="84"/>
      <c r="C713" s="84"/>
      <c r="D713" s="84"/>
      <c r="E713" s="84"/>
      <c r="F713" s="84"/>
    </row>
    <row r="714" ht="15.75" customHeight="1">
      <c r="A714" s="84"/>
      <c r="B714" s="84"/>
      <c r="C714" s="84"/>
      <c r="D714" s="84"/>
      <c r="E714" s="84"/>
      <c r="F714" s="84"/>
    </row>
    <row r="715" ht="15.75" customHeight="1">
      <c r="A715" s="84"/>
      <c r="B715" s="84"/>
      <c r="C715" s="84"/>
      <c r="D715" s="84"/>
      <c r="E715" s="84"/>
      <c r="F715" s="84"/>
    </row>
    <row r="716" ht="15.75" customHeight="1">
      <c r="A716" s="84"/>
      <c r="B716" s="84"/>
      <c r="C716" s="84"/>
      <c r="D716" s="84"/>
      <c r="E716" s="84"/>
      <c r="F716" s="84"/>
    </row>
    <row r="717" ht="15.75" customHeight="1">
      <c r="A717" s="84"/>
      <c r="B717" s="84"/>
      <c r="C717" s="84"/>
      <c r="D717" s="84"/>
      <c r="E717" s="84"/>
      <c r="F717" s="84"/>
    </row>
    <row r="718" ht="15.75" customHeight="1">
      <c r="A718" s="84"/>
      <c r="B718" s="84"/>
      <c r="C718" s="84"/>
      <c r="D718" s="84"/>
      <c r="E718" s="84"/>
      <c r="F718" s="84"/>
    </row>
    <row r="719" ht="15.75" customHeight="1">
      <c r="A719" s="84"/>
      <c r="B719" s="84"/>
      <c r="C719" s="84"/>
      <c r="D719" s="84"/>
      <c r="E719" s="84"/>
      <c r="F719" s="84"/>
    </row>
    <row r="720" ht="15.75" customHeight="1">
      <c r="A720" s="84"/>
      <c r="B720" s="84"/>
      <c r="C720" s="84"/>
      <c r="D720" s="84"/>
      <c r="E720" s="84"/>
      <c r="F720" s="84"/>
    </row>
    <row r="721" ht="15.75" customHeight="1">
      <c r="A721" s="84"/>
      <c r="B721" s="84"/>
      <c r="C721" s="84"/>
      <c r="D721" s="84"/>
      <c r="E721" s="84"/>
      <c r="F721" s="84"/>
    </row>
    <row r="722" ht="15.75" customHeight="1">
      <c r="A722" s="84"/>
      <c r="B722" s="84"/>
      <c r="C722" s="84"/>
      <c r="D722" s="84"/>
      <c r="E722" s="84"/>
      <c r="F722" s="84"/>
    </row>
    <row r="723" ht="15.75" customHeight="1">
      <c r="A723" s="84"/>
      <c r="B723" s="84"/>
      <c r="C723" s="84"/>
      <c r="D723" s="84"/>
      <c r="E723" s="84"/>
      <c r="F723" s="84"/>
    </row>
    <row r="724" ht="15.75" customHeight="1">
      <c r="A724" s="84"/>
      <c r="B724" s="84"/>
      <c r="C724" s="84"/>
      <c r="D724" s="84"/>
      <c r="E724" s="84"/>
      <c r="F724" s="84"/>
    </row>
    <row r="725" ht="15.75" customHeight="1">
      <c r="A725" s="84"/>
      <c r="B725" s="84"/>
      <c r="C725" s="84"/>
      <c r="D725" s="84"/>
      <c r="E725" s="84"/>
      <c r="F725" s="84"/>
    </row>
    <row r="726" ht="15.75" customHeight="1">
      <c r="A726" s="84"/>
      <c r="B726" s="84"/>
      <c r="C726" s="84"/>
      <c r="D726" s="84"/>
      <c r="E726" s="84"/>
      <c r="F726" s="84"/>
    </row>
    <row r="727" ht="15.75" customHeight="1">
      <c r="A727" s="84"/>
      <c r="B727" s="84"/>
      <c r="C727" s="84"/>
      <c r="D727" s="84"/>
      <c r="E727" s="84"/>
      <c r="F727" s="84"/>
    </row>
    <row r="728" ht="15.75" customHeight="1">
      <c r="A728" s="84"/>
      <c r="B728" s="84"/>
      <c r="C728" s="84"/>
      <c r="D728" s="84"/>
      <c r="E728" s="84"/>
      <c r="F728" s="84"/>
    </row>
    <row r="729" ht="15.75" customHeight="1">
      <c r="A729" s="84"/>
      <c r="B729" s="84"/>
      <c r="C729" s="84"/>
      <c r="D729" s="84"/>
      <c r="E729" s="84"/>
      <c r="F729" s="84"/>
    </row>
    <row r="730" ht="15.75" customHeight="1">
      <c r="A730" s="84"/>
      <c r="B730" s="84"/>
      <c r="C730" s="84"/>
      <c r="D730" s="84"/>
      <c r="E730" s="84"/>
      <c r="F730" s="84"/>
    </row>
    <row r="731" ht="15.75" customHeight="1">
      <c r="A731" s="84"/>
      <c r="B731" s="84"/>
      <c r="C731" s="84"/>
      <c r="D731" s="84"/>
      <c r="E731" s="84"/>
      <c r="F731" s="84"/>
    </row>
    <row r="732" ht="15.75" customHeight="1">
      <c r="A732" s="84"/>
      <c r="B732" s="84"/>
      <c r="C732" s="84"/>
      <c r="D732" s="84"/>
      <c r="E732" s="84"/>
      <c r="F732" s="84"/>
    </row>
    <row r="733" ht="15.75" customHeight="1">
      <c r="A733" s="84"/>
      <c r="B733" s="84"/>
      <c r="C733" s="84"/>
      <c r="D733" s="84"/>
      <c r="E733" s="84"/>
      <c r="F733" s="84"/>
    </row>
    <row r="734" ht="15.75" customHeight="1">
      <c r="A734" s="84"/>
      <c r="B734" s="84"/>
      <c r="C734" s="84"/>
      <c r="D734" s="84"/>
      <c r="E734" s="84"/>
      <c r="F734" s="84"/>
    </row>
    <row r="735" ht="15.75" customHeight="1">
      <c r="A735" s="84"/>
      <c r="B735" s="84"/>
      <c r="C735" s="84"/>
      <c r="D735" s="84"/>
      <c r="E735" s="84"/>
      <c r="F735" s="84"/>
    </row>
    <row r="736" ht="15.75" customHeight="1">
      <c r="A736" s="84"/>
      <c r="B736" s="84"/>
      <c r="C736" s="84"/>
      <c r="D736" s="84"/>
      <c r="E736" s="84"/>
      <c r="F736" s="84"/>
    </row>
    <row r="737" ht="15.75" customHeight="1">
      <c r="A737" s="84"/>
      <c r="B737" s="84"/>
      <c r="C737" s="84"/>
      <c r="D737" s="84"/>
      <c r="E737" s="84"/>
      <c r="F737" s="84"/>
    </row>
    <row r="738" ht="15.75" customHeight="1">
      <c r="A738" s="84"/>
      <c r="B738" s="84"/>
      <c r="C738" s="84"/>
      <c r="D738" s="84"/>
      <c r="E738" s="84"/>
      <c r="F738" s="84"/>
    </row>
    <row r="739" ht="15.75" customHeight="1">
      <c r="A739" s="84"/>
      <c r="B739" s="84"/>
      <c r="C739" s="84"/>
      <c r="D739" s="84"/>
      <c r="E739" s="84"/>
      <c r="F739" s="84"/>
    </row>
    <row r="740" ht="15.75" customHeight="1">
      <c r="A740" s="84"/>
      <c r="B740" s="84"/>
      <c r="C740" s="84"/>
      <c r="D740" s="84"/>
      <c r="E740" s="84"/>
      <c r="F740" s="84"/>
    </row>
    <row r="741" ht="15.75" customHeight="1">
      <c r="A741" s="84"/>
      <c r="B741" s="84"/>
      <c r="C741" s="84"/>
      <c r="D741" s="84"/>
      <c r="E741" s="84"/>
      <c r="F741" s="84"/>
    </row>
    <row r="742" ht="15.75" customHeight="1">
      <c r="A742" s="84"/>
      <c r="B742" s="84"/>
      <c r="C742" s="84"/>
      <c r="D742" s="84"/>
      <c r="E742" s="84"/>
      <c r="F742" s="84"/>
    </row>
    <row r="743" ht="15.75" customHeight="1">
      <c r="A743" s="84"/>
      <c r="B743" s="84"/>
      <c r="C743" s="84"/>
      <c r="D743" s="84"/>
      <c r="E743" s="84"/>
      <c r="F743" s="84"/>
    </row>
    <row r="744" ht="15.75" customHeight="1">
      <c r="A744" s="84"/>
      <c r="B744" s="84"/>
      <c r="C744" s="84"/>
      <c r="D744" s="84"/>
      <c r="E744" s="84"/>
      <c r="F744" s="84"/>
    </row>
    <row r="745" ht="15.75" customHeight="1">
      <c r="A745" s="84"/>
      <c r="B745" s="84"/>
      <c r="C745" s="84"/>
      <c r="D745" s="84"/>
      <c r="E745" s="84"/>
      <c r="F745" s="84"/>
    </row>
    <row r="746" ht="15.75" customHeight="1">
      <c r="A746" s="84"/>
      <c r="B746" s="84"/>
      <c r="C746" s="84"/>
      <c r="D746" s="84"/>
      <c r="E746" s="84"/>
      <c r="F746" s="84"/>
    </row>
    <row r="747" ht="15.75" customHeight="1">
      <c r="A747" s="84"/>
      <c r="B747" s="84"/>
      <c r="C747" s="84"/>
      <c r="D747" s="84"/>
      <c r="E747" s="84"/>
      <c r="F747" s="84"/>
    </row>
    <row r="748" ht="15.75" customHeight="1">
      <c r="A748" s="84"/>
      <c r="B748" s="84"/>
      <c r="C748" s="84"/>
      <c r="D748" s="84"/>
      <c r="E748" s="84"/>
      <c r="F748" s="84"/>
    </row>
    <row r="749" ht="15.75" customHeight="1">
      <c r="A749" s="84"/>
      <c r="B749" s="84"/>
      <c r="C749" s="84"/>
      <c r="D749" s="84"/>
      <c r="E749" s="84"/>
      <c r="F749" s="84"/>
    </row>
    <row r="750" ht="15.75" customHeight="1">
      <c r="A750" s="84"/>
      <c r="B750" s="84"/>
      <c r="C750" s="84"/>
      <c r="D750" s="84"/>
      <c r="E750" s="84"/>
      <c r="F750" s="84"/>
    </row>
    <row r="751" ht="15.75" customHeight="1">
      <c r="A751" s="84"/>
      <c r="B751" s="84"/>
      <c r="C751" s="84"/>
      <c r="D751" s="84"/>
      <c r="E751" s="84"/>
      <c r="F751" s="84"/>
    </row>
    <row r="752" ht="15.75" customHeight="1">
      <c r="A752" s="84"/>
      <c r="B752" s="84"/>
      <c r="C752" s="84"/>
      <c r="D752" s="84"/>
      <c r="E752" s="84"/>
      <c r="F752" s="84"/>
    </row>
    <row r="753" ht="15.75" customHeight="1">
      <c r="A753" s="84"/>
      <c r="B753" s="84"/>
      <c r="C753" s="84"/>
      <c r="D753" s="84"/>
      <c r="E753" s="84"/>
      <c r="F753" s="84"/>
    </row>
    <row r="754" ht="15.75" customHeight="1">
      <c r="A754" s="84"/>
      <c r="B754" s="84"/>
      <c r="C754" s="84"/>
      <c r="D754" s="84"/>
      <c r="E754" s="84"/>
      <c r="F754" s="84"/>
    </row>
    <row r="755" ht="15.75" customHeight="1">
      <c r="A755" s="84"/>
      <c r="B755" s="84"/>
      <c r="C755" s="84"/>
      <c r="D755" s="84"/>
      <c r="E755" s="84"/>
      <c r="F755" s="84"/>
    </row>
    <row r="756" ht="15.75" customHeight="1">
      <c r="A756" s="84"/>
      <c r="B756" s="84"/>
      <c r="C756" s="84"/>
      <c r="D756" s="84"/>
      <c r="E756" s="84"/>
      <c r="F756" s="84"/>
    </row>
    <row r="757" ht="15.75" customHeight="1">
      <c r="A757" s="84"/>
      <c r="B757" s="84"/>
      <c r="C757" s="84"/>
      <c r="D757" s="84"/>
      <c r="E757" s="84"/>
      <c r="F757" s="84"/>
    </row>
    <row r="758" ht="15.75" customHeight="1">
      <c r="A758" s="84"/>
      <c r="B758" s="84"/>
      <c r="C758" s="84"/>
      <c r="D758" s="84"/>
      <c r="E758" s="84"/>
      <c r="F758" s="84"/>
    </row>
    <row r="759" ht="15.75" customHeight="1">
      <c r="A759" s="84"/>
      <c r="B759" s="84"/>
      <c r="C759" s="84"/>
      <c r="D759" s="84"/>
      <c r="E759" s="84"/>
      <c r="F759" s="84"/>
    </row>
    <row r="760" ht="15.75" customHeight="1">
      <c r="A760" s="84"/>
      <c r="B760" s="84"/>
      <c r="C760" s="84"/>
      <c r="D760" s="84"/>
      <c r="E760" s="84"/>
      <c r="F760" s="84"/>
    </row>
    <row r="761" ht="15.75" customHeight="1">
      <c r="A761" s="84"/>
      <c r="B761" s="84"/>
      <c r="C761" s="84"/>
      <c r="D761" s="84"/>
      <c r="E761" s="84"/>
      <c r="F761" s="84"/>
    </row>
    <row r="762" ht="15.75" customHeight="1">
      <c r="A762" s="84"/>
      <c r="B762" s="84"/>
      <c r="C762" s="84"/>
      <c r="D762" s="84"/>
      <c r="E762" s="84"/>
      <c r="F762" s="84"/>
    </row>
    <row r="763" ht="15.75" customHeight="1">
      <c r="A763" s="84"/>
      <c r="B763" s="84"/>
      <c r="C763" s="84"/>
      <c r="D763" s="84"/>
      <c r="E763" s="84"/>
      <c r="F763" s="84"/>
    </row>
    <row r="764" ht="15.75" customHeight="1">
      <c r="A764" s="84"/>
      <c r="B764" s="84"/>
      <c r="C764" s="84"/>
      <c r="D764" s="84"/>
      <c r="E764" s="84"/>
      <c r="F764" s="84"/>
    </row>
    <row r="765" ht="15.75" customHeight="1">
      <c r="A765" s="84"/>
      <c r="B765" s="84"/>
      <c r="C765" s="84"/>
      <c r="D765" s="84"/>
      <c r="E765" s="84"/>
      <c r="F765" s="84"/>
    </row>
    <row r="766" ht="15.75" customHeight="1">
      <c r="A766" s="84"/>
      <c r="B766" s="84"/>
      <c r="C766" s="84"/>
      <c r="D766" s="84"/>
      <c r="E766" s="84"/>
      <c r="F766" s="84"/>
    </row>
    <row r="767" ht="15.75" customHeight="1">
      <c r="A767" s="84"/>
      <c r="B767" s="84"/>
      <c r="C767" s="84"/>
      <c r="D767" s="84"/>
      <c r="E767" s="84"/>
      <c r="F767" s="84"/>
    </row>
    <row r="768" ht="15.75" customHeight="1">
      <c r="A768" s="84"/>
      <c r="B768" s="84"/>
      <c r="C768" s="84"/>
      <c r="D768" s="84"/>
      <c r="E768" s="84"/>
      <c r="F768" s="84"/>
    </row>
    <row r="769" ht="15.75" customHeight="1">
      <c r="A769" s="84"/>
      <c r="B769" s="84"/>
      <c r="C769" s="84"/>
      <c r="D769" s="84"/>
      <c r="E769" s="84"/>
      <c r="F769" s="84"/>
    </row>
    <row r="770" ht="15.75" customHeight="1">
      <c r="A770" s="84"/>
      <c r="B770" s="84"/>
      <c r="C770" s="84"/>
      <c r="D770" s="84"/>
      <c r="E770" s="84"/>
      <c r="F770" s="84"/>
    </row>
    <row r="771" ht="15.75" customHeight="1">
      <c r="A771" s="84"/>
      <c r="B771" s="84"/>
      <c r="C771" s="84"/>
      <c r="D771" s="84"/>
      <c r="E771" s="84"/>
      <c r="F771" s="84"/>
    </row>
    <row r="772" ht="15.75" customHeight="1">
      <c r="A772" s="84"/>
      <c r="B772" s="84"/>
      <c r="C772" s="84"/>
      <c r="D772" s="84"/>
      <c r="E772" s="84"/>
      <c r="F772" s="84"/>
    </row>
    <row r="773" ht="15.75" customHeight="1">
      <c r="A773" s="84"/>
      <c r="B773" s="84"/>
      <c r="C773" s="84"/>
      <c r="D773" s="84"/>
      <c r="E773" s="84"/>
      <c r="F773" s="84"/>
    </row>
    <row r="774" ht="15.75" customHeight="1">
      <c r="A774" s="84"/>
      <c r="B774" s="84"/>
      <c r="C774" s="84"/>
      <c r="D774" s="84"/>
      <c r="E774" s="84"/>
      <c r="F774" s="84"/>
    </row>
    <row r="775" ht="15.75" customHeight="1">
      <c r="A775" s="84"/>
      <c r="B775" s="84"/>
      <c r="C775" s="84"/>
      <c r="D775" s="84"/>
      <c r="E775" s="84"/>
      <c r="F775" s="84"/>
    </row>
    <row r="776" ht="15.75" customHeight="1">
      <c r="A776" s="84"/>
      <c r="B776" s="84"/>
      <c r="C776" s="84"/>
      <c r="D776" s="84"/>
      <c r="E776" s="84"/>
      <c r="F776" s="84"/>
    </row>
    <row r="777" ht="15.75" customHeight="1">
      <c r="A777" s="84"/>
      <c r="B777" s="84"/>
      <c r="C777" s="84"/>
      <c r="D777" s="84"/>
      <c r="E777" s="84"/>
      <c r="F777" s="84"/>
    </row>
    <row r="778" ht="15.75" customHeight="1">
      <c r="A778" s="84"/>
      <c r="B778" s="84"/>
      <c r="C778" s="84"/>
      <c r="D778" s="84"/>
      <c r="E778" s="84"/>
      <c r="F778" s="84"/>
    </row>
    <row r="779" ht="15.75" customHeight="1">
      <c r="A779" s="84"/>
      <c r="B779" s="84"/>
      <c r="C779" s="84"/>
      <c r="D779" s="84"/>
      <c r="E779" s="84"/>
      <c r="F779" s="84"/>
    </row>
    <row r="780" ht="15.75" customHeight="1">
      <c r="A780" s="84"/>
      <c r="B780" s="84"/>
      <c r="C780" s="84"/>
      <c r="D780" s="84"/>
      <c r="E780" s="84"/>
      <c r="F780" s="84"/>
    </row>
    <row r="781" ht="15.75" customHeight="1">
      <c r="A781" s="84"/>
      <c r="B781" s="84"/>
      <c r="C781" s="84"/>
      <c r="D781" s="84"/>
      <c r="E781" s="84"/>
      <c r="F781" s="84"/>
    </row>
    <row r="782" ht="15.75" customHeight="1">
      <c r="A782" s="84"/>
      <c r="B782" s="84"/>
      <c r="C782" s="84"/>
      <c r="D782" s="84"/>
      <c r="E782" s="84"/>
      <c r="F782" s="84"/>
    </row>
    <row r="783" ht="15.75" customHeight="1">
      <c r="A783" s="84"/>
      <c r="B783" s="84"/>
      <c r="C783" s="84"/>
      <c r="D783" s="84"/>
      <c r="E783" s="84"/>
      <c r="F783" s="84"/>
    </row>
    <row r="784" ht="15.75" customHeight="1">
      <c r="A784" s="84"/>
      <c r="B784" s="84"/>
      <c r="C784" s="84"/>
      <c r="D784" s="84"/>
      <c r="E784" s="84"/>
      <c r="F784" s="84"/>
    </row>
    <row r="785" ht="15.75" customHeight="1">
      <c r="A785" s="84"/>
      <c r="B785" s="84"/>
      <c r="C785" s="84"/>
      <c r="D785" s="84"/>
      <c r="E785" s="84"/>
      <c r="F785" s="84"/>
    </row>
    <row r="786" ht="15.75" customHeight="1">
      <c r="A786" s="84"/>
      <c r="B786" s="84"/>
      <c r="C786" s="84"/>
      <c r="D786" s="84"/>
      <c r="E786" s="84"/>
      <c r="F786" s="84"/>
    </row>
    <row r="787" ht="15.75" customHeight="1">
      <c r="A787" s="84"/>
      <c r="B787" s="84"/>
      <c r="C787" s="84"/>
      <c r="D787" s="84"/>
      <c r="E787" s="84"/>
      <c r="F787" s="84"/>
    </row>
    <row r="788" ht="15.75" customHeight="1">
      <c r="A788" s="84"/>
      <c r="B788" s="84"/>
      <c r="C788" s="84"/>
      <c r="D788" s="84"/>
      <c r="E788" s="84"/>
      <c r="F788" s="84"/>
    </row>
    <row r="789" ht="15.75" customHeight="1">
      <c r="A789" s="84"/>
      <c r="B789" s="84"/>
      <c r="C789" s="84"/>
      <c r="D789" s="84"/>
      <c r="E789" s="84"/>
      <c r="F789" s="84"/>
    </row>
    <row r="790" ht="15.75" customHeight="1">
      <c r="A790" s="84"/>
      <c r="B790" s="84"/>
      <c r="C790" s="84"/>
      <c r="D790" s="84"/>
      <c r="E790" s="84"/>
      <c r="F790" s="84"/>
    </row>
    <row r="791" ht="15.75" customHeight="1">
      <c r="A791" s="84"/>
      <c r="B791" s="84"/>
      <c r="C791" s="84"/>
      <c r="D791" s="84"/>
      <c r="E791" s="84"/>
      <c r="F791" s="84"/>
    </row>
    <row r="792" ht="15.75" customHeight="1">
      <c r="A792" s="84"/>
      <c r="B792" s="84"/>
      <c r="C792" s="84"/>
      <c r="D792" s="84"/>
      <c r="E792" s="84"/>
      <c r="F792" s="84"/>
    </row>
    <row r="793" ht="15.75" customHeight="1">
      <c r="A793" s="84"/>
      <c r="B793" s="84"/>
      <c r="C793" s="84"/>
      <c r="D793" s="84"/>
      <c r="E793" s="84"/>
      <c r="F793" s="84"/>
    </row>
    <row r="794" ht="15.75" customHeight="1">
      <c r="A794" s="84"/>
      <c r="B794" s="84"/>
      <c r="C794" s="84"/>
      <c r="D794" s="84"/>
      <c r="E794" s="84"/>
      <c r="F794" s="84"/>
    </row>
    <row r="795" ht="15.75" customHeight="1">
      <c r="A795" s="84"/>
      <c r="B795" s="84"/>
      <c r="C795" s="84"/>
      <c r="D795" s="84"/>
      <c r="E795" s="84"/>
      <c r="F795" s="84"/>
    </row>
    <row r="796" ht="15.75" customHeight="1">
      <c r="A796" s="84"/>
      <c r="B796" s="84"/>
      <c r="C796" s="84"/>
      <c r="D796" s="84"/>
      <c r="E796" s="84"/>
      <c r="F796" s="84"/>
    </row>
    <row r="797" ht="15.75" customHeight="1">
      <c r="A797" s="84"/>
      <c r="B797" s="84"/>
      <c r="C797" s="84"/>
      <c r="D797" s="84"/>
      <c r="E797" s="84"/>
      <c r="F797" s="84"/>
    </row>
    <row r="798" ht="15.75" customHeight="1">
      <c r="A798" s="84"/>
      <c r="B798" s="84"/>
      <c r="C798" s="84"/>
      <c r="D798" s="84"/>
      <c r="E798" s="84"/>
      <c r="F798" s="84"/>
    </row>
    <row r="799" ht="15.75" customHeight="1">
      <c r="A799" s="84"/>
      <c r="B799" s="84"/>
      <c r="C799" s="84"/>
      <c r="D799" s="84"/>
      <c r="E799" s="84"/>
      <c r="F799" s="84"/>
    </row>
    <row r="800" ht="15.75" customHeight="1">
      <c r="A800" s="84"/>
      <c r="B800" s="84"/>
      <c r="C800" s="84"/>
      <c r="D800" s="84"/>
      <c r="E800" s="84"/>
      <c r="F800" s="84"/>
    </row>
    <row r="801" ht="15.75" customHeight="1">
      <c r="A801" s="84"/>
      <c r="B801" s="84"/>
      <c r="C801" s="84"/>
      <c r="D801" s="84"/>
      <c r="E801" s="84"/>
      <c r="F801" s="84"/>
    </row>
    <row r="802" ht="15.75" customHeight="1">
      <c r="A802" s="84"/>
      <c r="B802" s="84"/>
      <c r="C802" s="84"/>
      <c r="D802" s="84"/>
      <c r="E802" s="84"/>
      <c r="F802" s="84"/>
    </row>
    <row r="803" ht="15.75" customHeight="1">
      <c r="A803" s="84"/>
      <c r="B803" s="84"/>
      <c r="C803" s="84"/>
      <c r="D803" s="84"/>
      <c r="E803" s="84"/>
      <c r="F803" s="84"/>
    </row>
    <row r="804" ht="15.75" customHeight="1">
      <c r="A804" s="84"/>
      <c r="B804" s="84"/>
      <c r="C804" s="84"/>
      <c r="D804" s="84"/>
      <c r="E804" s="84"/>
      <c r="F804" s="84"/>
    </row>
    <row r="805" ht="15.75" customHeight="1">
      <c r="A805" s="84"/>
      <c r="B805" s="84"/>
      <c r="C805" s="84"/>
      <c r="D805" s="84"/>
      <c r="E805" s="84"/>
      <c r="F805" s="84"/>
    </row>
    <row r="806" ht="15.75" customHeight="1">
      <c r="A806" s="84"/>
      <c r="B806" s="84"/>
      <c r="C806" s="84"/>
      <c r="D806" s="84"/>
      <c r="E806" s="84"/>
      <c r="F806" s="84"/>
    </row>
    <row r="807" ht="15.75" customHeight="1">
      <c r="A807" s="84"/>
      <c r="B807" s="84"/>
      <c r="C807" s="84"/>
      <c r="D807" s="84"/>
      <c r="E807" s="84"/>
      <c r="F807" s="84"/>
    </row>
    <row r="808" ht="15.75" customHeight="1">
      <c r="A808" s="84"/>
      <c r="B808" s="84"/>
      <c r="C808" s="84"/>
      <c r="D808" s="84"/>
      <c r="E808" s="84"/>
      <c r="F808" s="84"/>
    </row>
    <row r="809" ht="15.75" customHeight="1">
      <c r="A809" s="84"/>
      <c r="B809" s="84"/>
      <c r="C809" s="84"/>
      <c r="D809" s="84"/>
      <c r="E809" s="84"/>
      <c r="F809" s="84"/>
    </row>
    <row r="810" ht="15.75" customHeight="1">
      <c r="A810" s="84"/>
      <c r="B810" s="84"/>
      <c r="C810" s="84"/>
      <c r="D810" s="84"/>
      <c r="E810" s="84"/>
      <c r="F810" s="84"/>
    </row>
    <row r="811" ht="15.75" customHeight="1">
      <c r="A811" s="84"/>
      <c r="B811" s="84"/>
      <c r="C811" s="84"/>
      <c r="D811" s="84"/>
      <c r="E811" s="84"/>
      <c r="F811" s="84"/>
    </row>
    <row r="812" ht="15.75" customHeight="1">
      <c r="A812" s="84"/>
      <c r="B812" s="84"/>
      <c r="C812" s="84"/>
      <c r="D812" s="84"/>
      <c r="E812" s="84"/>
      <c r="F812" s="84"/>
    </row>
    <row r="813" ht="15.75" customHeight="1">
      <c r="A813" s="84"/>
      <c r="B813" s="84"/>
      <c r="C813" s="84"/>
      <c r="D813" s="84"/>
      <c r="E813" s="84"/>
      <c r="F813" s="84"/>
    </row>
    <row r="814" ht="15.75" customHeight="1">
      <c r="A814" s="84"/>
      <c r="B814" s="84"/>
      <c r="C814" s="84"/>
      <c r="D814" s="84"/>
      <c r="E814" s="84"/>
      <c r="F814" s="84"/>
    </row>
    <row r="815" ht="15.75" customHeight="1">
      <c r="A815" s="84"/>
      <c r="B815" s="84"/>
      <c r="C815" s="84"/>
      <c r="D815" s="84"/>
      <c r="E815" s="84"/>
      <c r="F815" s="84"/>
    </row>
    <row r="816" ht="15.75" customHeight="1">
      <c r="A816" s="84"/>
      <c r="B816" s="84"/>
      <c r="C816" s="84"/>
      <c r="D816" s="84"/>
      <c r="E816" s="84"/>
      <c r="F816" s="84"/>
    </row>
    <row r="817" ht="15.75" customHeight="1">
      <c r="A817" s="84"/>
      <c r="B817" s="84"/>
      <c r="C817" s="84"/>
      <c r="D817" s="84"/>
      <c r="E817" s="84"/>
      <c r="F817" s="84"/>
    </row>
    <row r="818" ht="15.75" customHeight="1">
      <c r="A818" s="84"/>
      <c r="B818" s="84"/>
      <c r="C818" s="84"/>
      <c r="D818" s="84"/>
      <c r="E818" s="84"/>
      <c r="F818" s="84"/>
    </row>
    <row r="819" ht="15.75" customHeight="1">
      <c r="A819" s="84"/>
      <c r="B819" s="84"/>
      <c r="C819" s="84"/>
      <c r="D819" s="84"/>
      <c r="E819" s="84"/>
      <c r="F819" s="84"/>
    </row>
    <row r="820" ht="15.75" customHeight="1">
      <c r="A820" s="84"/>
      <c r="B820" s="84"/>
      <c r="C820" s="84"/>
      <c r="D820" s="84"/>
      <c r="E820" s="84"/>
      <c r="F820" s="84"/>
    </row>
    <row r="821" ht="15.75" customHeight="1">
      <c r="A821" s="84"/>
      <c r="B821" s="84"/>
      <c r="C821" s="84"/>
      <c r="D821" s="84"/>
      <c r="E821" s="84"/>
      <c r="F821" s="84"/>
    </row>
    <row r="822" ht="15.75" customHeight="1">
      <c r="A822" s="84"/>
      <c r="B822" s="84"/>
      <c r="C822" s="84"/>
      <c r="D822" s="84"/>
      <c r="E822" s="84"/>
      <c r="F822" s="84"/>
    </row>
    <row r="823" ht="15.75" customHeight="1">
      <c r="A823" s="84"/>
      <c r="B823" s="84"/>
      <c r="C823" s="84"/>
      <c r="D823" s="84"/>
      <c r="E823" s="84"/>
      <c r="F823" s="84"/>
    </row>
    <row r="824" ht="15.75" customHeight="1">
      <c r="A824" s="84"/>
      <c r="B824" s="84"/>
      <c r="C824" s="84"/>
      <c r="D824" s="84"/>
      <c r="E824" s="84"/>
      <c r="F824" s="84"/>
    </row>
    <row r="825" ht="15.75" customHeight="1">
      <c r="A825" s="84"/>
      <c r="B825" s="84"/>
      <c r="C825" s="84"/>
      <c r="D825" s="84"/>
      <c r="E825" s="84"/>
      <c r="F825" s="84"/>
    </row>
    <row r="826" ht="15.75" customHeight="1">
      <c r="A826" s="84"/>
      <c r="B826" s="84"/>
      <c r="C826" s="84"/>
      <c r="D826" s="84"/>
      <c r="E826" s="84"/>
      <c r="F826" s="84"/>
    </row>
    <row r="827" ht="15.75" customHeight="1">
      <c r="A827" s="84"/>
      <c r="B827" s="84"/>
      <c r="C827" s="84"/>
      <c r="D827" s="84"/>
      <c r="E827" s="84"/>
      <c r="F827" s="84"/>
    </row>
    <row r="828" ht="15.75" customHeight="1">
      <c r="A828" s="84"/>
      <c r="B828" s="84"/>
      <c r="C828" s="84"/>
      <c r="D828" s="84"/>
      <c r="E828" s="84"/>
      <c r="F828" s="84"/>
    </row>
    <row r="829" ht="15.75" customHeight="1">
      <c r="A829" s="84"/>
      <c r="B829" s="84"/>
      <c r="C829" s="84"/>
      <c r="D829" s="84"/>
      <c r="E829" s="84"/>
      <c r="F829" s="84"/>
    </row>
    <row r="830" ht="15.75" customHeight="1">
      <c r="A830" s="84"/>
      <c r="B830" s="84"/>
      <c r="C830" s="84"/>
      <c r="D830" s="84"/>
      <c r="E830" s="84"/>
      <c r="F830" s="84"/>
    </row>
    <row r="831" ht="15.75" customHeight="1">
      <c r="A831" s="84"/>
      <c r="B831" s="84"/>
      <c r="C831" s="84"/>
      <c r="D831" s="84"/>
      <c r="E831" s="84"/>
      <c r="F831" s="84"/>
    </row>
    <row r="832" ht="15.75" customHeight="1">
      <c r="A832" s="84"/>
      <c r="B832" s="84"/>
      <c r="C832" s="84"/>
      <c r="D832" s="84"/>
      <c r="E832" s="84"/>
      <c r="F832" s="84"/>
    </row>
    <row r="833" ht="15.75" customHeight="1">
      <c r="A833" s="84"/>
      <c r="B833" s="84"/>
      <c r="C833" s="84"/>
      <c r="D833" s="84"/>
      <c r="E833" s="84"/>
      <c r="F833" s="84"/>
    </row>
    <row r="834" ht="15.75" customHeight="1">
      <c r="A834" s="84"/>
      <c r="B834" s="84"/>
      <c r="C834" s="84"/>
      <c r="D834" s="84"/>
      <c r="E834" s="84"/>
      <c r="F834" s="84"/>
    </row>
    <row r="835" ht="15.75" customHeight="1">
      <c r="A835" s="84"/>
      <c r="B835" s="84"/>
      <c r="C835" s="84"/>
      <c r="D835" s="84"/>
      <c r="E835" s="84"/>
      <c r="F835" s="84"/>
    </row>
    <row r="836" ht="15.75" customHeight="1">
      <c r="A836" s="84"/>
      <c r="B836" s="84"/>
      <c r="C836" s="84"/>
      <c r="D836" s="84"/>
      <c r="E836" s="84"/>
      <c r="F836" s="84"/>
    </row>
    <row r="837" ht="15.75" customHeight="1">
      <c r="A837" s="84"/>
      <c r="B837" s="84"/>
      <c r="C837" s="84"/>
      <c r="D837" s="84"/>
      <c r="E837" s="84"/>
      <c r="F837" s="84"/>
    </row>
    <row r="838" ht="15.75" customHeight="1">
      <c r="A838" s="84"/>
      <c r="B838" s="84"/>
      <c r="C838" s="84"/>
      <c r="D838" s="84"/>
      <c r="E838" s="84"/>
      <c r="F838" s="84"/>
    </row>
    <row r="839" ht="15.75" customHeight="1">
      <c r="A839" s="84"/>
      <c r="B839" s="84"/>
      <c r="C839" s="84"/>
      <c r="D839" s="84"/>
      <c r="E839" s="84"/>
      <c r="F839" s="84"/>
    </row>
    <row r="840" ht="15.75" customHeight="1">
      <c r="A840" s="84"/>
      <c r="B840" s="84"/>
      <c r="C840" s="84"/>
      <c r="D840" s="84"/>
      <c r="E840" s="84"/>
      <c r="F840" s="84"/>
    </row>
    <row r="841" ht="15.75" customHeight="1">
      <c r="A841" s="84"/>
      <c r="B841" s="84"/>
      <c r="C841" s="84"/>
      <c r="D841" s="84"/>
      <c r="E841" s="84"/>
      <c r="F841" s="84"/>
    </row>
    <row r="842" ht="15.75" customHeight="1">
      <c r="A842" s="84"/>
      <c r="B842" s="84"/>
      <c r="C842" s="84"/>
      <c r="D842" s="84"/>
      <c r="E842" s="84"/>
      <c r="F842" s="84"/>
    </row>
    <row r="843" ht="15.75" customHeight="1">
      <c r="A843" s="84"/>
      <c r="B843" s="84"/>
      <c r="C843" s="84"/>
      <c r="D843" s="84"/>
      <c r="E843" s="84"/>
      <c r="F843" s="84"/>
    </row>
    <row r="844" ht="15.75" customHeight="1">
      <c r="A844" s="84"/>
      <c r="B844" s="84"/>
      <c r="C844" s="84"/>
      <c r="D844" s="84"/>
      <c r="E844" s="84"/>
      <c r="F844" s="84"/>
    </row>
    <row r="845" ht="15.75" customHeight="1">
      <c r="A845" s="84"/>
      <c r="B845" s="84"/>
      <c r="C845" s="84"/>
      <c r="D845" s="84"/>
      <c r="E845" s="84"/>
      <c r="F845" s="84"/>
    </row>
    <row r="846" ht="15.75" customHeight="1">
      <c r="A846" s="84"/>
      <c r="B846" s="84"/>
      <c r="C846" s="84"/>
      <c r="D846" s="84"/>
      <c r="E846" s="84"/>
      <c r="F846" s="84"/>
    </row>
    <row r="847" ht="15.75" customHeight="1">
      <c r="A847" s="84"/>
      <c r="B847" s="84"/>
      <c r="C847" s="84"/>
      <c r="D847" s="84"/>
      <c r="E847" s="84"/>
      <c r="F847" s="84"/>
    </row>
    <row r="848" ht="15.75" customHeight="1">
      <c r="A848" s="84"/>
      <c r="B848" s="84"/>
      <c r="C848" s="84"/>
      <c r="D848" s="84"/>
      <c r="E848" s="84"/>
      <c r="F848" s="84"/>
    </row>
    <row r="849" ht="15.75" customHeight="1">
      <c r="A849" s="84"/>
      <c r="B849" s="84"/>
      <c r="C849" s="84"/>
      <c r="D849" s="84"/>
      <c r="E849" s="84"/>
      <c r="F849" s="84"/>
    </row>
    <row r="850" ht="15.75" customHeight="1">
      <c r="A850" s="84"/>
      <c r="B850" s="84"/>
      <c r="C850" s="84"/>
      <c r="D850" s="84"/>
      <c r="E850" s="84"/>
      <c r="F850" s="84"/>
    </row>
    <row r="851" ht="15.75" customHeight="1">
      <c r="A851" s="84"/>
      <c r="B851" s="84"/>
      <c r="C851" s="84"/>
      <c r="D851" s="84"/>
      <c r="E851" s="84"/>
      <c r="F851" s="84"/>
    </row>
    <row r="852" ht="15.75" customHeight="1">
      <c r="A852" s="84"/>
      <c r="B852" s="84"/>
      <c r="C852" s="84"/>
      <c r="D852" s="84"/>
      <c r="E852" s="84"/>
      <c r="F852" s="84"/>
    </row>
    <row r="853" ht="15.75" customHeight="1">
      <c r="A853" s="84"/>
      <c r="B853" s="84"/>
      <c r="C853" s="84"/>
      <c r="D853" s="84"/>
      <c r="E853" s="84"/>
      <c r="F853" s="84"/>
    </row>
    <row r="854" ht="15.75" customHeight="1">
      <c r="A854" s="84"/>
      <c r="B854" s="84"/>
      <c r="C854" s="84"/>
      <c r="D854" s="84"/>
      <c r="E854" s="84"/>
      <c r="F854" s="84"/>
    </row>
    <row r="855" ht="15.75" customHeight="1">
      <c r="A855" s="84"/>
      <c r="B855" s="84"/>
      <c r="C855" s="84"/>
      <c r="D855" s="84"/>
      <c r="E855" s="84"/>
      <c r="F855" s="84"/>
    </row>
    <row r="856" ht="15.75" customHeight="1">
      <c r="A856" s="84"/>
      <c r="B856" s="84"/>
      <c r="C856" s="84"/>
      <c r="D856" s="84"/>
      <c r="E856" s="84"/>
      <c r="F856" s="84"/>
    </row>
    <row r="857" ht="15.75" customHeight="1">
      <c r="A857" s="84"/>
      <c r="B857" s="84"/>
      <c r="C857" s="84"/>
      <c r="D857" s="84"/>
      <c r="E857" s="84"/>
      <c r="F857" s="84"/>
    </row>
    <row r="858" ht="15.75" customHeight="1">
      <c r="A858" s="84"/>
      <c r="B858" s="84"/>
      <c r="C858" s="84"/>
      <c r="D858" s="84"/>
      <c r="E858" s="84"/>
      <c r="F858" s="84"/>
    </row>
    <row r="859" ht="15.75" customHeight="1">
      <c r="A859" s="84"/>
      <c r="B859" s="84"/>
      <c r="C859" s="84"/>
      <c r="D859" s="84"/>
      <c r="E859" s="84"/>
      <c r="F859" s="84"/>
    </row>
    <row r="860" ht="15.75" customHeight="1">
      <c r="A860" s="84"/>
      <c r="B860" s="84"/>
      <c r="C860" s="84"/>
      <c r="D860" s="84"/>
      <c r="E860" s="84"/>
      <c r="F860" s="84"/>
    </row>
    <row r="861" ht="15.75" customHeight="1">
      <c r="A861" s="84"/>
      <c r="B861" s="84"/>
      <c r="C861" s="84"/>
      <c r="D861" s="84"/>
      <c r="E861" s="84"/>
      <c r="F861" s="84"/>
    </row>
    <row r="862" ht="15.75" customHeight="1">
      <c r="A862" s="84"/>
      <c r="B862" s="84"/>
      <c r="C862" s="84"/>
      <c r="D862" s="84"/>
      <c r="E862" s="84"/>
      <c r="F862" s="84"/>
    </row>
    <row r="863" ht="15.75" customHeight="1">
      <c r="A863" s="84"/>
      <c r="B863" s="84"/>
      <c r="C863" s="84"/>
      <c r="D863" s="84"/>
      <c r="E863" s="84"/>
      <c r="F863" s="84"/>
    </row>
    <row r="864" ht="15.75" customHeight="1">
      <c r="A864" s="84"/>
      <c r="B864" s="84"/>
      <c r="C864" s="84"/>
      <c r="D864" s="84"/>
      <c r="E864" s="84"/>
      <c r="F864" s="84"/>
    </row>
    <row r="865" ht="15.75" customHeight="1">
      <c r="A865" s="84"/>
      <c r="B865" s="84"/>
      <c r="C865" s="84"/>
      <c r="D865" s="84"/>
      <c r="E865" s="84"/>
      <c r="F865" s="84"/>
    </row>
    <row r="866" ht="15.75" customHeight="1">
      <c r="A866" s="84"/>
      <c r="B866" s="84"/>
      <c r="C866" s="84"/>
      <c r="D866" s="84"/>
      <c r="E866" s="84"/>
      <c r="F866" s="84"/>
    </row>
    <row r="867" ht="15.75" customHeight="1">
      <c r="A867" s="84"/>
      <c r="B867" s="84"/>
      <c r="C867" s="84"/>
      <c r="D867" s="84"/>
      <c r="E867" s="84"/>
      <c r="F867" s="84"/>
    </row>
    <row r="868" ht="15.75" customHeight="1">
      <c r="A868" s="84"/>
      <c r="B868" s="84"/>
      <c r="C868" s="84"/>
      <c r="D868" s="84"/>
      <c r="E868" s="84"/>
      <c r="F868" s="84"/>
    </row>
    <row r="869" ht="15.75" customHeight="1">
      <c r="A869" s="84"/>
      <c r="B869" s="84"/>
      <c r="C869" s="84"/>
      <c r="D869" s="84"/>
      <c r="E869" s="84"/>
      <c r="F869" s="84"/>
    </row>
    <row r="870" ht="15.75" customHeight="1">
      <c r="A870" s="84"/>
      <c r="B870" s="84"/>
      <c r="C870" s="84"/>
      <c r="D870" s="84"/>
      <c r="E870" s="84"/>
      <c r="F870" s="84"/>
    </row>
    <row r="871" ht="15.75" customHeight="1">
      <c r="A871" s="84"/>
      <c r="B871" s="84"/>
      <c r="C871" s="84"/>
      <c r="D871" s="84"/>
      <c r="E871" s="84"/>
      <c r="F871" s="84"/>
    </row>
    <row r="872" ht="15.75" customHeight="1">
      <c r="A872" s="84"/>
      <c r="B872" s="84"/>
      <c r="C872" s="84"/>
      <c r="D872" s="84"/>
      <c r="E872" s="84"/>
      <c r="F872" s="84"/>
    </row>
    <row r="873" ht="15.75" customHeight="1">
      <c r="A873" s="84"/>
      <c r="B873" s="84"/>
      <c r="C873" s="84"/>
      <c r="D873" s="84"/>
      <c r="E873" s="84"/>
      <c r="F873" s="84"/>
    </row>
    <row r="874" ht="15.75" customHeight="1">
      <c r="A874" s="84"/>
      <c r="B874" s="84"/>
      <c r="C874" s="84"/>
      <c r="D874" s="84"/>
      <c r="E874" s="84"/>
      <c r="F874" s="84"/>
    </row>
    <row r="875" ht="15.75" customHeight="1">
      <c r="A875" s="84"/>
      <c r="B875" s="84"/>
      <c r="C875" s="84"/>
      <c r="D875" s="84"/>
      <c r="E875" s="84"/>
      <c r="F875" s="84"/>
    </row>
    <row r="876" ht="15.75" customHeight="1">
      <c r="A876" s="84"/>
      <c r="B876" s="84"/>
      <c r="C876" s="84"/>
      <c r="D876" s="84"/>
      <c r="E876" s="84"/>
      <c r="F876" s="84"/>
    </row>
    <row r="877" ht="15.75" customHeight="1">
      <c r="A877" s="84"/>
      <c r="B877" s="84"/>
      <c r="C877" s="84"/>
      <c r="D877" s="84"/>
      <c r="E877" s="84"/>
      <c r="F877" s="84"/>
    </row>
    <row r="878" ht="15.75" customHeight="1">
      <c r="A878" s="84"/>
      <c r="B878" s="84"/>
      <c r="C878" s="84"/>
      <c r="D878" s="84"/>
      <c r="E878" s="84"/>
      <c r="F878" s="84"/>
    </row>
    <row r="879" ht="15.75" customHeight="1">
      <c r="A879" s="84"/>
      <c r="B879" s="84"/>
      <c r="C879" s="84"/>
      <c r="D879" s="84"/>
      <c r="E879" s="84"/>
      <c r="F879" s="84"/>
    </row>
    <row r="880" ht="15.75" customHeight="1">
      <c r="A880" s="84"/>
      <c r="B880" s="84"/>
      <c r="C880" s="84"/>
      <c r="D880" s="84"/>
      <c r="E880" s="84"/>
      <c r="F880" s="84"/>
    </row>
    <row r="881" ht="15.75" customHeight="1">
      <c r="A881" s="84"/>
      <c r="B881" s="84"/>
      <c r="C881" s="84"/>
      <c r="D881" s="84"/>
      <c r="E881" s="84"/>
      <c r="F881" s="84"/>
    </row>
    <row r="882" ht="15.75" customHeight="1">
      <c r="A882" s="84"/>
      <c r="B882" s="84"/>
      <c r="C882" s="84"/>
      <c r="D882" s="84"/>
      <c r="E882" s="84"/>
      <c r="F882" s="84"/>
    </row>
    <row r="883" ht="15.75" customHeight="1">
      <c r="A883" s="84"/>
      <c r="B883" s="84"/>
      <c r="C883" s="84"/>
      <c r="D883" s="84"/>
      <c r="E883" s="84"/>
      <c r="F883" s="84"/>
    </row>
    <row r="884" ht="15.75" customHeight="1">
      <c r="A884" s="84"/>
      <c r="B884" s="84"/>
      <c r="C884" s="84"/>
      <c r="D884" s="84"/>
      <c r="E884" s="84"/>
      <c r="F884" s="84"/>
    </row>
    <row r="885" ht="15.75" customHeight="1">
      <c r="A885" s="84"/>
      <c r="B885" s="84"/>
      <c r="C885" s="84"/>
      <c r="D885" s="84"/>
      <c r="E885" s="84"/>
      <c r="F885" s="84"/>
    </row>
    <row r="886" ht="15.75" customHeight="1">
      <c r="A886" s="84"/>
      <c r="B886" s="84"/>
      <c r="C886" s="84"/>
      <c r="D886" s="84"/>
      <c r="E886" s="84"/>
      <c r="F886" s="84"/>
    </row>
    <row r="887" ht="15.75" customHeight="1">
      <c r="A887" s="84"/>
      <c r="B887" s="84"/>
      <c r="C887" s="84"/>
      <c r="D887" s="84"/>
      <c r="E887" s="84"/>
      <c r="F887" s="84"/>
    </row>
    <row r="888" ht="15.75" customHeight="1">
      <c r="A888" s="84"/>
      <c r="B888" s="84"/>
      <c r="C888" s="84"/>
      <c r="D888" s="84"/>
      <c r="E888" s="84"/>
      <c r="F888" s="84"/>
    </row>
    <row r="889" ht="15.75" customHeight="1">
      <c r="A889" s="84"/>
      <c r="B889" s="84"/>
      <c r="C889" s="84"/>
      <c r="D889" s="84"/>
      <c r="E889" s="84"/>
      <c r="F889" s="84"/>
    </row>
    <row r="890" ht="15.75" customHeight="1">
      <c r="A890" s="84"/>
      <c r="B890" s="84"/>
      <c r="C890" s="84"/>
      <c r="D890" s="84"/>
      <c r="E890" s="84"/>
      <c r="F890" s="84"/>
    </row>
    <row r="891" ht="15.75" customHeight="1">
      <c r="A891" s="84"/>
      <c r="B891" s="84"/>
      <c r="C891" s="84"/>
      <c r="D891" s="84"/>
      <c r="E891" s="84"/>
      <c r="F891" s="84"/>
    </row>
    <row r="892" ht="15.75" customHeight="1">
      <c r="A892" s="84"/>
      <c r="B892" s="84"/>
      <c r="C892" s="84"/>
      <c r="D892" s="84"/>
      <c r="E892" s="84"/>
      <c r="F892" s="84"/>
    </row>
    <row r="893" ht="15.75" customHeight="1">
      <c r="A893" s="84"/>
      <c r="B893" s="84"/>
      <c r="C893" s="84"/>
      <c r="D893" s="84"/>
      <c r="E893" s="84"/>
      <c r="F893" s="84"/>
    </row>
    <row r="894" ht="15.75" customHeight="1">
      <c r="A894" s="84"/>
      <c r="B894" s="84"/>
      <c r="C894" s="84"/>
      <c r="D894" s="84"/>
      <c r="E894" s="84"/>
      <c r="F894" s="84"/>
    </row>
    <row r="895" ht="15.75" customHeight="1">
      <c r="A895" s="84"/>
      <c r="B895" s="84"/>
      <c r="C895" s="84"/>
      <c r="D895" s="84"/>
      <c r="E895" s="84"/>
      <c r="F895" s="84"/>
    </row>
    <row r="896" ht="15.75" customHeight="1">
      <c r="A896" s="84"/>
      <c r="B896" s="84"/>
      <c r="C896" s="84"/>
      <c r="D896" s="84"/>
      <c r="E896" s="84"/>
      <c r="F896" s="84"/>
    </row>
    <row r="897" ht="15.75" customHeight="1">
      <c r="A897" s="84"/>
      <c r="B897" s="84"/>
      <c r="C897" s="84"/>
      <c r="D897" s="84"/>
      <c r="E897" s="84"/>
      <c r="F897" s="84"/>
    </row>
    <row r="898" ht="15.75" customHeight="1">
      <c r="A898" s="84"/>
      <c r="B898" s="84"/>
      <c r="C898" s="84"/>
      <c r="D898" s="84"/>
      <c r="E898" s="84"/>
      <c r="F898" s="84"/>
    </row>
    <row r="899" ht="15.75" customHeight="1">
      <c r="A899" s="84"/>
      <c r="B899" s="84"/>
      <c r="C899" s="84"/>
      <c r="D899" s="84"/>
      <c r="E899" s="84"/>
      <c r="F899" s="84"/>
    </row>
    <row r="900" ht="15.75" customHeight="1">
      <c r="A900" s="84"/>
      <c r="B900" s="84"/>
      <c r="C900" s="84"/>
      <c r="D900" s="84"/>
      <c r="E900" s="84"/>
      <c r="F900" s="84"/>
    </row>
    <row r="901" ht="15.75" customHeight="1">
      <c r="A901" s="84"/>
      <c r="B901" s="84"/>
      <c r="C901" s="84"/>
      <c r="D901" s="84"/>
      <c r="E901" s="84"/>
      <c r="F901" s="84"/>
    </row>
    <row r="902" ht="15.75" customHeight="1">
      <c r="A902" s="84"/>
      <c r="B902" s="84"/>
      <c r="C902" s="84"/>
      <c r="D902" s="84"/>
      <c r="E902" s="84"/>
      <c r="F902" s="84"/>
    </row>
    <row r="903" ht="15.75" customHeight="1">
      <c r="A903" s="84"/>
      <c r="B903" s="84"/>
      <c r="C903" s="84"/>
      <c r="D903" s="84"/>
      <c r="E903" s="84"/>
      <c r="F903" s="84"/>
    </row>
    <row r="904" ht="15.75" customHeight="1">
      <c r="A904" s="84"/>
      <c r="B904" s="84"/>
      <c r="C904" s="84"/>
      <c r="D904" s="84"/>
      <c r="E904" s="84"/>
      <c r="F904" s="84"/>
    </row>
    <row r="905" ht="15.75" customHeight="1">
      <c r="A905" s="84"/>
      <c r="B905" s="84"/>
      <c r="C905" s="84"/>
      <c r="D905" s="84"/>
      <c r="E905" s="84"/>
      <c r="F905" s="84"/>
    </row>
    <row r="906" ht="15.75" customHeight="1">
      <c r="A906" s="84"/>
      <c r="B906" s="84"/>
      <c r="C906" s="84"/>
      <c r="D906" s="84"/>
      <c r="E906" s="84"/>
      <c r="F906" s="84"/>
    </row>
    <row r="907" ht="15.75" customHeight="1">
      <c r="A907" s="84"/>
      <c r="B907" s="84"/>
      <c r="C907" s="84"/>
      <c r="D907" s="84"/>
      <c r="E907" s="84"/>
      <c r="F907" s="84"/>
    </row>
    <row r="908" ht="15.75" customHeight="1">
      <c r="A908" s="84"/>
      <c r="B908" s="84"/>
      <c r="C908" s="84"/>
      <c r="D908" s="84"/>
      <c r="E908" s="84"/>
      <c r="F908" s="84"/>
    </row>
    <row r="909" ht="15.75" customHeight="1">
      <c r="A909" s="84"/>
      <c r="B909" s="84"/>
      <c r="C909" s="84"/>
      <c r="D909" s="84"/>
      <c r="E909" s="84"/>
      <c r="F909" s="84"/>
    </row>
    <row r="910" ht="15.75" customHeight="1">
      <c r="A910" s="84"/>
      <c r="B910" s="84"/>
      <c r="C910" s="84"/>
      <c r="D910" s="84"/>
      <c r="E910" s="84"/>
      <c r="F910" s="84"/>
    </row>
    <row r="911" ht="15.75" customHeight="1">
      <c r="A911" s="84"/>
      <c r="B911" s="84"/>
      <c r="C911" s="84"/>
      <c r="D911" s="84"/>
      <c r="E911" s="84"/>
      <c r="F911" s="84"/>
    </row>
    <row r="912" ht="15.75" customHeight="1">
      <c r="A912" s="84"/>
      <c r="B912" s="84"/>
      <c r="C912" s="84"/>
      <c r="D912" s="84"/>
      <c r="E912" s="84"/>
      <c r="F912" s="84"/>
    </row>
    <row r="913" ht="15.75" customHeight="1">
      <c r="A913" s="84"/>
      <c r="B913" s="84"/>
      <c r="C913" s="84"/>
      <c r="D913" s="84"/>
      <c r="E913" s="84"/>
      <c r="F913" s="84"/>
    </row>
    <row r="914" ht="15.75" customHeight="1">
      <c r="A914" s="84"/>
      <c r="B914" s="84"/>
      <c r="C914" s="84"/>
      <c r="D914" s="84"/>
      <c r="E914" s="84"/>
      <c r="F914" s="84"/>
    </row>
    <row r="915" ht="15.75" customHeight="1">
      <c r="A915" s="84"/>
      <c r="B915" s="84"/>
      <c r="C915" s="84"/>
      <c r="D915" s="84"/>
      <c r="E915" s="84"/>
      <c r="F915" s="84"/>
    </row>
    <row r="916" ht="15.75" customHeight="1">
      <c r="A916" s="84"/>
      <c r="B916" s="84"/>
      <c r="C916" s="84"/>
      <c r="D916" s="84"/>
      <c r="E916" s="84"/>
      <c r="F916" s="84"/>
    </row>
    <row r="917" ht="15.75" customHeight="1">
      <c r="A917" s="84"/>
      <c r="B917" s="84"/>
      <c r="C917" s="84"/>
      <c r="D917" s="84"/>
      <c r="E917" s="84"/>
      <c r="F917" s="84"/>
    </row>
    <row r="918" ht="15.75" customHeight="1">
      <c r="A918" s="84"/>
      <c r="B918" s="84"/>
      <c r="C918" s="84"/>
      <c r="D918" s="84"/>
      <c r="E918" s="84"/>
      <c r="F918" s="84"/>
    </row>
    <row r="919" ht="15.75" customHeight="1">
      <c r="A919" s="84"/>
      <c r="B919" s="84"/>
      <c r="C919" s="84"/>
      <c r="D919" s="84"/>
      <c r="E919" s="84"/>
      <c r="F919" s="84"/>
    </row>
    <row r="920" ht="15.75" customHeight="1">
      <c r="A920" s="84"/>
      <c r="B920" s="84"/>
      <c r="C920" s="84"/>
      <c r="D920" s="84"/>
      <c r="E920" s="84"/>
      <c r="F920" s="84"/>
    </row>
    <row r="921" ht="15.75" customHeight="1">
      <c r="A921" s="84"/>
      <c r="B921" s="84"/>
      <c r="C921" s="84"/>
      <c r="D921" s="84"/>
      <c r="E921" s="84"/>
      <c r="F921" s="84"/>
    </row>
    <row r="922" ht="15.75" customHeight="1">
      <c r="A922" s="84"/>
      <c r="B922" s="84"/>
      <c r="C922" s="84"/>
      <c r="D922" s="84"/>
      <c r="E922" s="84"/>
      <c r="F922" s="84"/>
    </row>
    <row r="923" ht="15.75" customHeight="1">
      <c r="A923" s="84"/>
      <c r="B923" s="84"/>
      <c r="C923" s="84"/>
      <c r="D923" s="84"/>
      <c r="E923" s="84"/>
      <c r="F923" s="84"/>
    </row>
    <row r="924" ht="15.75" customHeight="1">
      <c r="A924" s="84"/>
      <c r="B924" s="84"/>
      <c r="C924" s="84"/>
      <c r="D924" s="84"/>
      <c r="E924" s="84"/>
      <c r="F924" s="84"/>
    </row>
    <row r="925" ht="15.75" customHeight="1">
      <c r="A925" s="84"/>
      <c r="B925" s="84"/>
      <c r="C925" s="84"/>
      <c r="D925" s="84"/>
      <c r="E925" s="84"/>
      <c r="F925" s="84"/>
    </row>
    <row r="926" ht="15.75" customHeight="1">
      <c r="A926" s="84"/>
      <c r="B926" s="84"/>
      <c r="C926" s="84"/>
      <c r="D926" s="84"/>
      <c r="E926" s="84"/>
      <c r="F926" s="84"/>
    </row>
    <row r="927" ht="15.75" customHeight="1">
      <c r="A927" s="84"/>
      <c r="B927" s="84"/>
      <c r="C927" s="84"/>
      <c r="D927" s="84"/>
      <c r="E927" s="84"/>
      <c r="F927" s="84"/>
    </row>
    <row r="928" ht="15.75" customHeight="1">
      <c r="A928" s="84"/>
      <c r="B928" s="84"/>
      <c r="C928" s="84"/>
      <c r="D928" s="84"/>
      <c r="E928" s="84"/>
      <c r="F928" s="84"/>
    </row>
    <row r="929" ht="15.75" customHeight="1">
      <c r="A929" s="84"/>
      <c r="B929" s="84"/>
      <c r="C929" s="84"/>
      <c r="D929" s="84"/>
      <c r="E929" s="84"/>
      <c r="F929" s="84"/>
    </row>
    <row r="930" ht="15.75" customHeight="1">
      <c r="A930" s="84"/>
      <c r="B930" s="84"/>
      <c r="C930" s="84"/>
      <c r="D930" s="84"/>
      <c r="E930" s="84"/>
      <c r="F930" s="84"/>
    </row>
    <row r="931" ht="15.75" customHeight="1">
      <c r="A931" s="84"/>
      <c r="B931" s="84"/>
      <c r="C931" s="84"/>
      <c r="D931" s="84"/>
      <c r="E931" s="84"/>
      <c r="F931" s="84"/>
    </row>
    <row r="932" ht="15.75" customHeight="1">
      <c r="A932" s="84"/>
      <c r="B932" s="84"/>
      <c r="C932" s="84"/>
      <c r="D932" s="84"/>
      <c r="E932" s="84"/>
      <c r="F932" s="84"/>
    </row>
    <row r="933" ht="15.75" customHeight="1">
      <c r="A933" s="84"/>
      <c r="B933" s="84"/>
      <c r="C933" s="84"/>
      <c r="D933" s="84"/>
      <c r="E933" s="84"/>
      <c r="F933" s="84"/>
    </row>
    <row r="934" ht="15.75" customHeight="1">
      <c r="A934" s="84"/>
      <c r="B934" s="84"/>
      <c r="C934" s="84"/>
      <c r="D934" s="84"/>
      <c r="E934" s="84"/>
      <c r="F934" s="84"/>
    </row>
    <row r="935" ht="15.75" customHeight="1">
      <c r="A935" s="84"/>
      <c r="B935" s="84"/>
      <c r="C935" s="84"/>
      <c r="D935" s="84"/>
      <c r="E935" s="84"/>
      <c r="F935" s="84"/>
    </row>
    <row r="936" ht="15.75" customHeight="1">
      <c r="A936" s="84"/>
      <c r="B936" s="84"/>
      <c r="C936" s="84"/>
      <c r="D936" s="84"/>
      <c r="E936" s="84"/>
      <c r="F936" s="84"/>
    </row>
    <row r="937" ht="15.75" customHeight="1">
      <c r="A937" s="84"/>
      <c r="B937" s="84"/>
      <c r="C937" s="84"/>
      <c r="D937" s="84"/>
      <c r="E937" s="84"/>
      <c r="F937" s="84"/>
    </row>
    <row r="938" ht="15.75" customHeight="1">
      <c r="A938" s="84"/>
      <c r="B938" s="84"/>
      <c r="C938" s="84"/>
      <c r="D938" s="84"/>
      <c r="E938" s="84"/>
      <c r="F938" s="84"/>
    </row>
    <row r="939" ht="15.75" customHeight="1">
      <c r="A939" s="84"/>
      <c r="B939" s="84"/>
      <c r="C939" s="84"/>
      <c r="D939" s="84"/>
      <c r="E939" s="84"/>
      <c r="F939" s="84"/>
    </row>
    <row r="940" ht="15.75" customHeight="1">
      <c r="A940" s="84"/>
      <c r="B940" s="84"/>
      <c r="C940" s="84"/>
      <c r="D940" s="84"/>
      <c r="E940" s="84"/>
      <c r="F940" s="84"/>
    </row>
    <row r="941" ht="15.75" customHeight="1">
      <c r="A941" s="84"/>
      <c r="B941" s="84"/>
      <c r="C941" s="84"/>
      <c r="D941" s="84"/>
      <c r="E941" s="84"/>
      <c r="F941" s="84"/>
    </row>
    <row r="942" ht="15.75" customHeight="1">
      <c r="A942" s="84"/>
      <c r="B942" s="84"/>
      <c r="C942" s="84"/>
      <c r="D942" s="84"/>
      <c r="E942" s="84"/>
      <c r="F942" s="84"/>
    </row>
    <row r="943" ht="15.75" customHeight="1">
      <c r="A943" s="84"/>
      <c r="B943" s="84"/>
      <c r="C943" s="84"/>
      <c r="D943" s="84"/>
      <c r="E943" s="84"/>
      <c r="F943" s="84"/>
    </row>
    <row r="944" ht="15.75" customHeight="1">
      <c r="A944" s="84"/>
      <c r="B944" s="84"/>
      <c r="C944" s="84"/>
      <c r="D944" s="84"/>
      <c r="E944" s="84"/>
      <c r="F944" s="84"/>
    </row>
    <row r="945" ht="15.75" customHeight="1">
      <c r="A945" s="84"/>
      <c r="B945" s="84"/>
      <c r="C945" s="84"/>
      <c r="D945" s="84"/>
      <c r="E945" s="84"/>
      <c r="F945" s="84"/>
    </row>
    <row r="946" ht="15.75" customHeight="1">
      <c r="A946" s="84"/>
      <c r="B946" s="84"/>
      <c r="C946" s="84"/>
      <c r="D946" s="84"/>
      <c r="E946" s="84"/>
      <c r="F946" s="84"/>
    </row>
    <row r="947" ht="15.75" customHeight="1">
      <c r="A947" s="84"/>
      <c r="B947" s="84"/>
      <c r="C947" s="84"/>
      <c r="D947" s="84"/>
      <c r="E947" s="84"/>
      <c r="F947" s="84"/>
    </row>
    <row r="948" ht="15.75" customHeight="1">
      <c r="A948" s="84"/>
      <c r="B948" s="84"/>
      <c r="C948" s="84"/>
      <c r="D948" s="84"/>
      <c r="E948" s="84"/>
      <c r="F948" s="84"/>
    </row>
    <row r="949" ht="15.75" customHeight="1">
      <c r="A949" s="84"/>
      <c r="B949" s="84"/>
      <c r="C949" s="84"/>
      <c r="D949" s="84"/>
      <c r="E949" s="84"/>
      <c r="F949" s="84"/>
    </row>
    <row r="950" ht="15.75" customHeight="1">
      <c r="A950" s="84"/>
      <c r="B950" s="84"/>
      <c r="C950" s="84"/>
      <c r="D950" s="84"/>
      <c r="E950" s="84"/>
      <c r="F950" s="84"/>
    </row>
    <row r="951" ht="15.75" customHeight="1">
      <c r="A951" s="84"/>
      <c r="B951" s="84"/>
      <c r="C951" s="84"/>
      <c r="D951" s="84"/>
      <c r="E951" s="84"/>
      <c r="F951" s="84"/>
    </row>
    <row r="952" ht="15.75" customHeight="1">
      <c r="A952" s="84"/>
      <c r="B952" s="84"/>
      <c r="C952" s="84"/>
      <c r="D952" s="84"/>
      <c r="E952" s="84"/>
      <c r="F952" s="84"/>
    </row>
    <row r="953" ht="15.75" customHeight="1">
      <c r="A953" s="84"/>
      <c r="B953" s="84"/>
      <c r="C953" s="84"/>
      <c r="D953" s="84"/>
      <c r="E953" s="84"/>
      <c r="F953" s="84"/>
    </row>
    <row r="954" ht="15.75" customHeight="1">
      <c r="A954" s="84"/>
      <c r="B954" s="84"/>
      <c r="C954" s="84"/>
      <c r="D954" s="84"/>
      <c r="E954" s="84"/>
      <c r="F954" s="84"/>
    </row>
    <row r="955" ht="15.75" customHeight="1">
      <c r="A955" s="84"/>
      <c r="B955" s="84"/>
      <c r="C955" s="84"/>
      <c r="D955" s="84"/>
      <c r="E955" s="84"/>
      <c r="F955" s="84"/>
    </row>
    <row r="956" ht="15.75" customHeight="1">
      <c r="A956" s="84"/>
      <c r="B956" s="84"/>
      <c r="C956" s="84"/>
      <c r="D956" s="84"/>
      <c r="E956" s="84"/>
      <c r="F956" s="84"/>
    </row>
    <row r="957" ht="15.75" customHeight="1">
      <c r="A957" s="84"/>
      <c r="B957" s="84"/>
      <c r="C957" s="84"/>
      <c r="D957" s="84"/>
      <c r="E957" s="84"/>
      <c r="F957" s="84"/>
    </row>
    <row r="958" ht="15.75" customHeight="1">
      <c r="A958" s="84"/>
      <c r="B958" s="84"/>
      <c r="C958" s="84"/>
      <c r="D958" s="84"/>
      <c r="E958" s="84"/>
      <c r="F958" s="84"/>
    </row>
    <row r="959" ht="15.75" customHeight="1">
      <c r="A959" s="84"/>
      <c r="B959" s="84"/>
      <c r="C959" s="84"/>
      <c r="D959" s="84"/>
      <c r="E959" s="84"/>
      <c r="F959" s="84"/>
    </row>
    <row r="960" ht="15.75" customHeight="1">
      <c r="A960" s="84"/>
      <c r="B960" s="84"/>
      <c r="C960" s="84"/>
      <c r="D960" s="84"/>
      <c r="E960" s="84"/>
      <c r="F960" s="84"/>
    </row>
    <row r="961" ht="15.75" customHeight="1">
      <c r="A961" s="84"/>
      <c r="B961" s="84"/>
      <c r="C961" s="84"/>
      <c r="D961" s="84"/>
      <c r="E961" s="84"/>
      <c r="F961" s="84"/>
    </row>
    <row r="962" ht="15.75" customHeight="1">
      <c r="A962" s="84"/>
      <c r="B962" s="84"/>
      <c r="C962" s="84"/>
      <c r="D962" s="84"/>
      <c r="E962" s="84"/>
      <c r="F962" s="84"/>
    </row>
    <row r="963" ht="15.75" customHeight="1">
      <c r="A963" s="84"/>
      <c r="B963" s="84"/>
      <c r="C963" s="84"/>
      <c r="D963" s="84"/>
      <c r="E963" s="84"/>
      <c r="F963" s="84"/>
    </row>
    <row r="964" ht="15.75" customHeight="1">
      <c r="A964" s="84"/>
      <c r="B964" s="84"/>
      <c r="C964" s="84"/>
      <c r="D964" s="84"/>
      <c r="E964" s="84"/>
      <c r="F964" s="84"/>
    </row>
    <row r="965" ht="15.75" customHeight="1">
      <c r="A965" s="84"/>
      <c r="B965" s="84"/>
      <c r="C965" s="84"/>
      <c r="D965" s="84"/>
      <c r="E965" s="84"/>
      <c r="F965" s="84"/>
    </row>
    <row r="966" ht="15.75" customHeight="1">
      <c r="A966" s="84"/>
      <c r="B966" s="84"/>
      <c r="C966" s="84"/>
      <c r="D966" s="84"/>
      <c r="E966" s="84"/>
      <c r="F966" s="84"/>
    </row>
    <row r="967" ht="15.75" customHeight="1">
      <c r="A967" s="84"/>
      <c r="B967" s="84"/>
      <c r="C967" s="84"/>
      <c r="D967" s="84"/>
      <c r="E967" s="84"/>
      <c r="F967" s="84"/>
    </row>
    <row r="968" ht="15.75" customHeight="1">
      <c r="A968" s="84"/>
      <c r="B968" s="84"/>
      <c r="C968" s="84"/>
      <c r="D968" s="84"/>
      <c r="E968" s="84"/>
      <c r="F968" s="84"/>
    </row>
    <row r="969" ht="15.75" customHeight="1">
      <c r="A969" s="84"/>
      <c r="B969" s="84"/>
      <c r="C969" s="84"/>
      <c r="D969" s="84"/>
      <c r="E969" s="84"/>
      <c r="F969" s="84"/>
    </row>
    <row r="970" ht="15.75" customHeight="1">
      <c r="A970" s="84"/>
      <c r="B970" s="84"/>
      <c r="C970" s="84"/>
      <c r="D970" s="84"/>
      <c r="E970" s="84"/>
      <c r="F970" s="84"/>
    </row>
    <row r="971" ht="15.75" customHeight="1">
      <c r="A971" s="84"/>
      <c r="B971" s="84"/>
      <c r="C971" s="84"/>
      <c r="D971" s="84"/>
      <c r="E971" s="84"/>
      <c r="F971" s="84"/>
    </row>
    <row r="972" ht="15.75" customHeight="1">
      <c r="A972" s="84"/>
      <c r="B972" s="84"/>
      <c r="C972" s="84"/>
      <c r="D972" s="84"/>
      <c r="E972" s="84"/>
      <c r="F972" s="84"/>
    </row>
    <row r="973" ht="15.75" customHeight="1">
      <c r="A973" s="84"/>
      <c r="B973" s="84"/>
      <c r="C973" s="84"/>
      <c r="D973" s="84"/>
      <c r="E973" s="84"/>
      <c r="F973" s="84"/>
    </row>
    <row r="974" ht="15.75" customHeight="1">
      <c r="A974" s="84"/>
      <c r="B974" s="84"/>
      <c r="C974" s="84"/>
      <c r="D974" s="84"/>
      <c r="E974" s="84"/>
      <c r="F974" s="84"/>
    </row>
    <row r="975" ht="15.75" customHeight="1">
      <c r="A975" s="84"/>
      <c r="B975" s="84"/>
      <c r="C975" s="84"/>
      <c r="D975" s="84"/>
      <c r="E975" s="84"/>
      <c r="F975" s="84"/>
    </row>
    <row r="976" ht="15.75" customHeight="1">
      <c r="A976" s="84"/>
      <c r="B976" s="84"/>
      <c r="C976" s="84"/>
      <c r="D976" s="84"/>
      <c r="E976" s="84"/>
      <c r="F976" s="84"/>
    </row>
    <row r="977" ht="15.75" customHeight="1">
      <c r="A977" s="84"/>
      <c r="B977" s="84"/>
      <c r="C977" s="84"/>
      <c r="D977" s="84"/>
      <c r="E977" s="84"/>
      <c r="F977" s="84"/>
    </row>
    <row r="978" ht="15.75" customHeight="1">
      <c r="A978" s="84"/>
      <c r="B978" s="84"/>
      <c r="C978" s="84"/>
      <c r="D978" s="84"/>
      <c r="E978" s="84"/>
      <c r="F978" s="84"/>
    </row>
    <row r="979" ht="15.75" customHeight="1">
      <c r="A979" s="84"/>
      <c r="B979" s="84"/>
      <c r="C979" s="84"/>
      <c r="D979" s="84"/>
      <c r="E979" s="84"/>
      <c r="F979" s="84"/>
    </row>
    <row r="980" ht="15.75" customHeight="1">
      <c r="A980" s="84"/>
      <c r="B980" s="84"/>
      <c r="C980" s="84"/>
      <c r="D980" s="84"/>
      <c r="E980" s="84"/>
      <c r="F980" s="84"/>
    </row>
    <row r="981" ht="15.75" customHeight="1">
      <c r="A981" s="84"/>
      <c r="B981" s="84"/>
      <c r="C981" s="84"/>
      <c r="D981" s="84"/>
      <c r="E981" s="84"/>
      <c r="F981" s="84"/>
    </row>
    <row r="982" ht="15.75" customHeight="1">
      <c r="A982" s="84"/>
      <c r="B982" s="84"/>
      <c r="C982" s="84"/>
      <c r="D982" s="84"/>
      <c r="E982" s="84"/>
      <c r="F982" s="84"/>
    </row>
    <row r="983" ht="15.75" customHeight="1">
      <c r="A983" s="84"/>
      <c r="B983" s="84"/>
      <c r="C983" s="84"/>
      <c r="D983" s="84"/>
      <c r="E983" s="84"/>
      <c r="F983" s="84"/>
    </row>
    <row r="984" ht="15.75" customHeight="1">
      <c r="A984" s="84"/>
      <c r="B984" s="84"/>
      <c r="C984" s="84"/>
      <c r="D984" s="84"/>
      <c r="E984" s="84"/>
      <c r="F984" s="84"/>
    </row>
    <row r="985" ht="15.75" customHeight="1">
      <c r="A985" s="84"/>
      <c r="B985" s="84"/>
      <c r="C985" s="84"/>
      <c r="D985" s="84"/>
      <c r="E985" s="84"/>
      <c r="F985" s="84"/>
    </row>
    <row r="986" ht="15.75" customHeight="1">
      <c r="A986" s="84"/>
      <c r="B986" s="84"/>
      <c r="C986" s="84"/>
      <c r="D986" s="84"/>
      <c r="E986" s="84"/>
      <c r="F986" s="84"/>
    </row>
    <row r="987" ht="15.75" customHeight="1">
      <c r="A987" s="84"/>
      <c r="B987" s="84"/>
      <c r="C987" s="84"/>
      <c r="D987" s="84"/>
      <c r="E987" s="84"/>
      <c r="F987" s="84"/>
    </row>
    <row r="988" ht="15.75" customHeight="1">
      <c r="A988" s="84"/>
      <c r="B988" s="84"/>
      <c r="C988" s="84"/>
      <c r="D988" s="84"/>
      <c r="E988" s="84"/>
      <c r="F988" s="84"/>
    </row>
    <row r="989" ht="15.75" customHeight="1">
      <c r="A989" s="84"/>
      <c r="B989" s="84"/>
      <c r="C989" s="84"/>
      <c r="D989" s="84"/>
      <c r="E989" s="84"/>
      <c r="F989" s="84"/>
    </row>
    <row r="990" ht="15.75" customHeight="1">
      <c r="A990" s="84"/>
      <c r="B990" s="84"/>
      <c r="C990" s="84"/>
      <c r="D990" s="84"/>
      <c r="E990" s="84"/>
      <c r="F990" s="84"/>
    </row>
    <row r="991" ht="15.75" customHeight="1">
      <c r="A991" s="84"/>
      <c r="B991" s="84"/>
      <c r="C991" s="84"/>
      <c r="D991" s="84"/>
      <c r="E991" s="84"/>
      <c r="F991" s="84"/>
    </row>
    <row r="992" ht="15.75" customHeight="1">
      <c r="A992" s="84"/>
      <c r="B992" s="84"/>
      <c r="C992" s="84"/>
      <c r="D992" s="84"/>
      <c r="E992" s="84"/>
      <c r="F992" s="84"/>
    </row>
    <row r="993" ht="15.75" customHeight="1">
      <c r="A993" s="84"/>
      <c r="B993" s="84"/>
      <c r="C993" s="84"/>
      <c r="D993" s="84"/>
      <c r="E993" s="84"/>
      <c r="F993" s="84"/>
    </row>
    <row r="994" ht="15.75" customHeight="1">
      <c r="A994" s="84"/>
      <c r="B994" s="84"/>
      <c r="C994" s="84"/>
      <c r="D994" s="84"/>
      <c r="E994" s="84"/>
      <c r="F994" s="84"/>
    </row>
    <row r="995" ht="15.75" customHeight="1">
      <c r="A995" s="84"/>
      <c r="B995" s="84"/>
      <c r="C995" s="84"/>
      <c r="D995" s="84"/>
      <c r="E995" s="84"/>
      <c r="F995" s="84"/>
    </row>
    <row r="996" ht="15.75" customHeight="1">
      <c r="A996" s="84"/>
      <c r="B996" s="84"/>
      <c r="C996" s="84"/>
      <c r="D996" s="84"/>
      <c r="E996" s="84"/>
      <c r="F996" s="84"/>
    </row>
    <row r="997" ht="15.75" customHeight="1">
      <c r="A997" s="84"/>
      <c r="B997" s="84"/>
      <c r="C997" s="84"/>
      <c r="D997" s="84"/>
      <c r="E997" s="84"/>
      <c r="F997" s="84"/>
    </row>
    <row r="998" ht="15.75" customHeight="1">
      <c r="A998" s="84"/>
      <c r="B998" s="84"/>
      <c r="C998" s="84"/>
      <c r="D998" s="84"/>
      <c r="E998" s="84"/>
      <c r="F998" s="84"/>
    </row>
    <row r="999" ht="15.75" customHeight="1">
      <c r="A999" s="84"/>
      <c r="B999" s="84"/>
      <c r="C999" s="84"/>
      <c r="D999" s="84"/>
      <c r="E999" s="84"/>
      <c r="F999" s="84"/>
    </row>
    <row r="1000" ht="15.75" customHeight="1">
      <c r="A1000" s="84"/>
      <c r="B1000" s="84"/>
      <c r="C1000" s="84"/>
      <c r="D1000" s="84"/>
      <c r="E1000" s="84"/>
      <c r="F1000" s="84"/>
    </row>
  </sheetData>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0.0"/>
    <col customWidth="1" min="2" max="2" width="14.0"/>
    <col customWidth="1" min="3" max="3" width="24.0"/>
    <col customWidth="1" min="4" max="4" width="62.0"/>
    <col customWidth="1" min="5" max="5" width="46.0"/>
    <col customWidth="1" min="6" max="6" width="44.0"/>
  </cols>
  <sheetData>
    <row r="1" ht="21.0" customHeight="1">
      <c r="A1" s="1" t="s">
        <v>2324</v>
      </c>
      <c r="B1" s="3"/>
      <c r="C1" s="3"/>
      <c r="D1" s="3"/>
      <c r="E1" s="3"/>
      <c r="F1" s="3"/>
      <c r="G1" s="3"/>
      <c r="H1" s="3"/>
      <c r="I1" s="3"/>
      <c r="J1" s="3"/>
      <c r="K1" s="3"/>
      <c r="L1" s="3"/>
      <c r="M1" s="3"/>
      <c r="N1" s="3"/>
      <c r="O1" s="3"/>
      <c r="P1" s="3"/>
      <c r="Q1" s="3"/>
      <c r="R1" s="3"/>
      <c r="S1" s="3"/>
      <c r="T1" s="3"/>
      <c r="U1" s="3"/>
      <c r="V1" s="3"/>
      <c r="W1" s="3"/>
      <c r="X1" s="3"/>
      <c r="Y1" s="3"/>
      <c r="Z1" s="3"/>
    </row>
    <row r="2" ht="15.0" customHeight="1">
      <c r="A2" s="6" t="s">
        <v>2325</v>
      </c>
      <c r="B2" s="3"/>
      <c r="C2" s="3"/>
      <c r="D2" s="3"/>
      <c r="E2" s="3"/>
      <c r="F2" s="3"/>
      <c r="G2" s="3"/>
      <c r="H2" s="3"/>
      <c r="I2" s="3"/>
      <c r="J2" s="3"/>
      <c r="K2" s="3"/>
      <c r="L2" s="3"/>
      <c r="M2" s="3"/>
      <c r="N2" s="3"/>
      <c r="O2" s="3"/>
      <c r="P2" s="3"/>
      <c r="Q2" s="3"/>
      <c r="R2" s="3"/>
      <c r="S2" s="3"/>
      <c r="T2" s="3"/>
      <c r="U2" s="3"/>
      <c r="V2" s="3"/>
      <c r="W2" s="3"/>
      <c r="X2" s="3"/>
      <c r="Y2" s="3"/>
      <c r="Z2" s="3"/>
    </row>
    <row r="3" ht="15.0" customHeight="1">
      <c r="A3" s="3"/>
      <c r="B3" s="3"/>
      <c r="C3" s="3"/>
      <c r="D3" s="3"/>
      <c r="E3" s="3"/>
      <c r="F3" s="3"/>
      <c r="G3" s="3"/>
      <c r="H3" s="3"/>
      <c r="I3" s="3"/>
      <c r="J3" s="3"/>
      <c r="K3" s="3"/>
      <c r="L3" s="3"/>
      <c r="M3" s="3"/>
      <c r="N3" s="3"/>
      <c r="O3" s="3"/>
      <c r="P3" s="3"/>
      <c r="Q3" s="3"/>
      <c r="R3" s="3"/>
      <c r="S3" s="3"/>
      <c r="T3" s="3"/>
      <c r="U3" s="3"/>
      <c r="V3" s="3"/>
      <c r="W3" s="3"/>
      <c r="X3" s="3"/>
      <c r="Y3" s="3"/>
      <c r="Z3" s="3"/>
    </row>
    <row r="4" ht="17.25" customHeight="1">
      <c r="A4" s="10" t="s">
        <v>21</v>
      </c>
      <c r="B4" s="10" t="s">
        <v>2326</v>
      </c>
      <c r="C4" s="10" t="s">
        <v>2327</v>
      </c>
      <c r="D4" s="10" t="s">
        <v>2328</v>
      </c>
      <c r="E4" s="10" t="s">
        <v>2329</v>
      </c>
      <c r="F4" s="10" t="s">
        <v>30</v>
      </c>
      <c r="G4" s="15"/>
      <c r="H4" s="15"/>
      <c r="I4" s="15"/>
      <c r="J4" s="15"/>
      <c r="K4" s="15"/>
      <c r="L4" s="15"/>
      <c r="M4" s="15"/>
      <c r="N4" s="15"/>
      <c r="O4" s="15"/>
      <c r="P4" s="15"/>
      <c r="Q4" s="15"/>
      <c r="R4" s="15"/>
      <c r="S4" s="15"/>
      <c r="T4" s="15"/>
      <c r="U4" s="15"/>
      <c r="V4" s="15"/>
      <c r="W4" s="15"/>
      <c r="X4" s="15"/>
      <c r="Y4" s="15"/>
      <c r="Z4" s="15"/>
    </row>
    <row r="5" ht="31.5" customHeight="1">
      <c r="A5" s="233" t="s">
        <v>12</v>
      </c>
      <c r="B5" s="233" t="s">
        <v>2330</v>
      </c>
      <c r="C5" s="32" t="s">
        <v>2331</v>
      </c>
      <c r="D5" s="32" t="s">
        <v>2332</v>
      </c>
      <c r="E5" s="28" t="s">
        <v>2333</v>
      </c>
      <c r="F5" s="32" t="s">
        <v>2334</v>
      </c>
      <c r="G5" s="15"/>
      <c r="H5" s="15"/>
      <c r="I5" s="15"/>
      <c r="J5" s="15"/>
      <c r="K5" s="15"/>
      <c r="L5" s="15"/>
      <c r="M5" s="15"/>
      <c r="N5" s="15"/>
      <c r="O5" s="15"/>
      <c r="P5" s="15"/>
      <c r="Q5" s="15"/>
      <c r="R5" s="15"/>
      <c r="S5" s="15"/>
      <c r="T5" s="15"/>
      <c r="U5" s="15"/>
      <c r="V5" s="15"/>
      <c r="W5" s="15"/>
      <c r="X5" s="15"/>
      <c r="Y5" s="15"/>
      <c r="Z5" s="15"/>
    </row>
    <row r="6" ht="31.5" customHeight="1">
      <c r="A6" s="48" t="s">
        <v>12</v>
      </c>
      <c r="B6" s="48" t="s">
        <v>2330</v>
      </c>
      <c r="C6" s="50" t="s">
        <v>2335</v>
      </c>
      <c r="D6" s="50" t="s">
        <v>2336</v>
      </c>
      <c r="E6" s="50" t="s">
        <v>2337</v>
      </c>
      <c r="F6" s="48" t="s">
        <v>2338</v>
      </c>
      <c r="G6" s="15"/>
      <c r="H6" s="15"/>
      <c r="I6" s="15"/>
      <c r="J6" s="15"/>
      <c r="K6" s="15"/>
      <c r="L6" s="15"/>
      <c r="M6" s="15"/>
      <c r="N6" s="15"/>
      <c r="O6" s="15"/>
      <c r="P6" s="15"/>
      <c r="Q6" s="15"/>
      <c r="R6" s="15"/>
      <c r="S6" s="15"/>
      <c r="T6" s="15"/>
      <c r="U6" s="15"/>
      <c r="V6" s="15"/>
      <c r="W6" s="15"/>
      <c r="X6" s="15"/>
      <c r="Y6" s="15"/>
      <c r="Z6" s="15"/>
    </row>
    <row r="7" ht="31.5" customHeight="1">
      <c r="A7" s="221" t="s">
        <v>12</v>
      </c>
      <c r="B7" s="221" t="s">
        <v>2330</v>
      </c>
      <c r="C7" s="202" t="s">
        <v>2339</v>
      </c>
      <c r="D7" s="203" t="s">
        <v>2340</v>
      </c>
      <c r="E7" s="203" t="s">
        <v>2341</v>
      </c>
      <c r="F7" s="202" t="s">
        <v>2342</v>
      </c>
      <c r="G7" s="15"/>
      <c r="H7" s="15"/>
      <c r="I7" s="15"/>
      <c r="J7" s="15"/>
      <c r="K7" s="15"/>
      <c r="L7" s="15"/>
      <c r="M7" s="15"/>
      <c r="N7" s="15"/>
      <c r="O7" s="15"/>
      <c r="P7" s="15"/>
      <c r="Q7" s="15"/>
      <c r="R7" s="15"/>
      <c r="S7" s="15"/>
      <c r="T7" s="15"/>
      <c r="U7" s="15"/>
      <c r="V7" s="15"/>
      <c r="W7" s="15"/>
      <c r="X7" s="15"/>
      <c r="Y7" s="15"/>
      <c r="Z7" s="15"/>
    </row>
    <row r="8" ht="31.5" customHeight="1">
      <c r="A8" s="46" t="s">
        <v>12</v>
      </c>
      <c r="B8" s="46" t="s">
        <v>2330</v>
      </c>
      <c r="C8" s="202" t="s">
        <v>2343</v>
      </c>
      <c r="D8" s="202" t="s">
        <v>2344</v>
      </c>
      <c r="E8" s="202" t="s">
        <v>2345</v>
      </c>
      <c r="F8" s="202" t="s">
        <v>2346</v>
      </c>
      <c r="G8" s="15"/>
      <c r="H8" s="15"/>
      <c r="I8" s="15"/>
      <c r="J8" s="15"/>
      <c r="K8" s="15"/>
      <c r="L8" s="15"/>
      <c r="M8" s="15"/>
      <c r="N8" s="15"/>
      <c r="O8" s="15"/>
      <c r="P8" s="15"/>
      <c r="Q8" s="15"/>
      <c r="R8" s="15"/>
      <c r="S8" s="15"/>
      <c r="T8" s="15"/>
      <c r="U8" s="15"/>
      <c r="V8" s="15"/>
      <c r="W8" s="15"/>
      <c r="X8" s="15"/>
      <c r="Y8" s="15"/>
      <c r="Z8" s="15"/>
    </row>
    <row r="9" ht="45.0" customHeight="1">
      <c r="A9" s="61" t="s">
        <v>12</v>
      </c>
      <c r="B9" s="61" t="s">
        <v>2330</v>
      </c>
      <c r="C9" s="62" t="s">
        <v>2347</v>
      </c>
      <c r="D9" s="61" t="s">
        <v>2348</v>
      </c>
      <c r="E9" s="62" t="s">
        <v>2349</v>
      </c>
      <c r="F9" s="61" t="s">
        <v>2350</v>
      </c>
      <c r="G9" s="15"/>
      <c r="H9" s="15"/>
      <c r="I9" s="15"/>
      <c r="J9" s="15"/>
      <c r="K9" s="15"/>
      <c r="L9" s="15"/>
      <c r="M9" s="15"/>
      <c r="N9" s="15"/>
      <c r="O9" s="15"/>
      <c r="P9" s="15"/>
      <c r="Q9" s="15"/>
      <c r="R9" s="15"/>
      <c r="S9" s="15"/>
      <c r="T9" s="15"/>
      <c r="U9" s="15"/>
      <c r="V9" s="15"/>
      <c r="W9" s="15"/>
      <c r="X9" s="15"/>
      <c r="Y9" s="15"/>
      <c r="Z9" s="15"/>
    </row>
    <row r="10" ht="31.5" customHeight="1">
      <c r="A10" s="233" t="s">
        <v>85</v>
      </c>
      <c r="B10" s="233" t="s">
        <v>2351</v>
      </c>
      <c r="C10" s="234" t="s">
        <v>2352</v>
      </c>
      <c r="D10" s="234" t="s">
        <v>2353</v>
      </c>
      <c r="E10" s="234" t="s">
        <v>2354</v>
      </c>
      <c r="F10" s="233" t="s">
        <v>2355</v>
      </c>
      <c r="G10" s="15"/>
      <c r="H10" s="15"/>
      <c r="I10" s="15"/>
      <c r="J10" s="15"/>
      <c r="K10" s="15"/>
      <c r="L10" s="15"/>
      <c r="M10" s="15"/>
      <c r="N10" s="15"/>
      <c r="O10" s="15"/>
      <c r="P10" s="15"/>
      <c r="Q10" s="15"/>
      <c r="R10" s="15"/>
      <c r="S10" s="15"/>
      <c r="T10" s="15"/>
      <c r="U10" s="15"/>
      <c r="V10" s="15"/>
      <c r="W10" s="15"/>
      <c r="X10" s="15"/>
      <c r="Y10" s="15"/>
      <c r="Z10" s="15"/>
    </row>
    <row r="11" ht="31.5" customHeight="1">
      <c r="A11" s="233" t="s">
        <v>12</v>
      </c>
      <c r="B11" s="233" t="s">
        <v>2330</v>
      </c>
      <c r="C11" s="234" t="s">
        <v>2356</v>
      </c>
      <c r="D11" s="234" t="s">
        <v>2357</v>
      </c>
      <c r="E11" s="234" t="s">
        <v>2358</v>
      </c>
      <c r="F11" s="233" t="s">
        <v>2359</v>
      </c>
      <c r="G11" s="15"/>
      <c r="H11" s="15"/>
      <c r="I11" s="15"/>
      <c r="J11" s="15"/>
      <c r="K11" s="15"/>
      <c r="L11" s="15"/>
      <c r="M11" s="15"/>
      <c r="N11" s="15"/>
      <c r="O11" s="15"/>
      <c r="P11" s="15"/>
      <c r="Q11" s="15"/>
      <c r="R11" s="15"/>
      <c r="S11" s="15"/>
      <c r="T11" s="15"/>
      <c r="U11" s="15"/>
      <c r="V11" s="15"/>
      <c r="W11" s="15"/>
      <c r="X11" s="15"/>
      <c r="Y11" s="15"/>
      <c r="Z11" s="15"/>
    </row>
    <row r="12" ht="31.5" customHeight="1">
      <c r="A12" s="221" t="s">
        <v>85</v>
      </c>
      <c r="B12" s="221" t="s">
        <v>2351</v>
      </c>
      <c r="C12" s="222" t="s">
        <v>2360</v>
      </c>
      <c r="D12" s="222" t="s">
        <v>2361</v>
      </c>
      <c r="E12" s="222" t="s">
        <v>2362</v>
      </c>
      <c r="F12" s="221" t="s">
        <v>2363</v>
      </c>
      <c r="G12" s="15"/>
      <c r="H12" s="15"/>
      <c r="I12" s="15"/>
      <c r="J12" s="15"/>
      <c r="K12" s="15"/>
      <c r="L12" s="15"/>
      <c r="M12" s="15"/>
      <c r="N12" s="15"/>
      <c r="O12" s="15"/>
      <c r="P12" s="15"/>
      <c r="Q12" s="15"/>
      <c r="R12" s="15"/>
      <c r="S12" s="15"/>
      <c r="T12" s="15"/>
      <c r="U12" s="15"/>
      <c r="V12" s="15"/>
      <c r="W12" s="15"/>
      <c r="X12" s="15"/>
      <c r="Y12" s="15"/>
      <c r="Z12" s="15"/>
    </row>
    <row r="13" ht="45.0" customHeight="1">
      <c r="A13" s="46" t="s">
        <v>85</v>
      </c>
      <c r="B13" s="46" t="s">
        <v>2351</v>
      </c>
      <c r="C13" s="203" t="s">
        <v>2364</v>
      </c>
      <c r="D13" s="203" t="s">
        <v>2365</v>
      </c>
      <c r="E13" s="203" t="s">
        <v>2366</v>
      </c>
      <c r="F13" s="202" t="s">
        <v>2367</v>
      </c>
      <c r="G13" s="15"/>
      <c r="H13" s="15"/>
      <c r="I13" s="15"/>
      <c r="J13" s="15"/>
      <c r="K13" s="15"/>
      <c r="L13" s="15"/>
      <c r="M13" s="15"/>
      <c r="N13" s="15"/>
      <c r="O13" s="15"/>
      <c r="P13" s="15"/>
      <c r="Q13" s="15"/>
      <c r="R13" s="15"/>
      <c r="S13" s="15"/>
      <c r="T13" s="15"/>
      <c r="U13" s="15"/>
      <c r="V13" s="15"/>
      <c r="W13" s="15"/>
      <c r="X13" s="15"/>
      <c r="Y13" s="15"/>
      <c r="Z13" s="15"/>
    </row>
    <row r="14" ht="31.5" customHeight="1">
      <c r="A14" s="39" t="s">
        <v>85</v>
      </c>
      <c r="B14" s="39" t="s">
        <v>2351</v>
      </c>
      <c r="C14" s="42" t="s">
        <v>2368</v>
      </c>
      <c r="D14" s="39" t="s">
        <v>2369</v>
      </c>
      <c r="E14" s="42" t="s">
        <v>2370</v>
      </c>
      <c r="F14" s="39" t="s">
        <v>2371</v>
      </c>
      <c r="G14" s="15"/>
      <c r="H14" s="15"/>
      <c r="I14" s="15"/>
      <c r="J14" s="15"/>
      <c r="K14" s="15"/>
      <c r="L14" s="15"/>
      <c r="M14" s="15"/>
      <c r="N14" s="15"/>
      <c r="O14" s="15"/>
      <c r="P14" s="15"/>
      <c r="Q14" s="15"/>
      <c r="R14" s="15"/>
      <c r="S14" s="15"/>
      <c r="T14" s="15"/>
      <c r="U14" s="15"/>
      <c r="V14" s="15"/>
      <c r="W14" s="15"/>
      <c r="X14" s="15"/>
      <c r="Y14" s="15"/>
      <c r="Z14" s="15"/>
    </row>
    <row r="15" ht="31.5" customHeight="1">
      <c r="A15" s="46" t="s">
        <v>85</v>
      </c>
      <c r="B15" s="46" t="s">
        <v>2351</v>
      </c>
      <c r="C15" s="44" t="s">
        <v>2372</v>
      </c>
      <c r="D15" s="46" t="s">
        <v>2373</v>
      </c>
      <c r="E15" s="46" t="s">
        <v>2374</v>
      </c>
      <c r="F15" s="46" t="s">
        <v>2375</v>
      </c>
      <c r="G15" s="15"/>
      <c r="H15" s="15"/>
      <c r="I15" s="15"/>
      <c r="J15" s="15"/>
      <c r="K15" s="15"/>
      <c r="L15" s="15"/>
      <c r="M15" s="15"/>
      <c r="N15" s="15"/>
      <c r="O15" s="15"/>
      <c r="P15" s="15"/>
      <c r="Q15" s="15"/>
      <c r="R15" s="15"/>
      <c r="S15" s="15"/>
      <c r="T15" s="15"/>
      <c r="U15" s="15"/>
      <c r="V15" s="15"/>
      <c r="W15" s="15"/>
      <c r="X15" s="15"/>
      <c r="Y15" s="15"/>
      <c r="Z15" s="15"/>
    </row>
    <row r="16" ht="17.25" customHeight="1">
      <c r="A16" s="235" t="s">
        <v>85</v>
      </c>
      <c r="B16" s="235" t="s">
        <v>2351</v>
      </c>
      <c r="C16" s="236" t="s">
        <v>2376</v>
      </c>
      <c r="D16" s="236" t="s">
        <v>2377</v>
      </c>
      <c r="E16" s="236" t="s">
        <v>2378</v>
      </c>
      <c r="F16" s="235" t="s">
        <v>2379</v>
      </c>
      <c r="G16" s="15"/>
      <c r="H16" s="15"/>
      <c r="I16" s="15"/>
      <c r="J16" s="15"/>
      <c r="K16" s="15"/>
      <c r="L16" s="15"/>
      <c r="M16" s="15"/>
      <c r="N16" s="15"/>
      <c r="O16" s="15"/>
      <c r="P16" s="15"/>
      <c r="Q16" s="15"/>
      <c r="R16" s="15"/>
      <c r="S16" s="15"/>
      <c r="T16" s="15"/>
      <c r="U16" s="15"/>
      <c r="V16" s="15"/>
      <c r="W16" s="15"/>
      <c r="X16" s="15"/>
      <c r="Y16" s="15"/>
      <c r="Z16" s="15"/>
    </row>
    <row r="17" ht="31.5" customHeight="1">
      <c r="A17" s="48" t="s">
        <v>85</v>
      </c>
      <c r="B17" s="48" t="s">
        <v>2351</v>
      </c>
      <c r="C17" s="50" t="s">
        <v>2380</v>
      </c>
      <c r="D17" s="50" t="s">
        <v>2381</v>
      </c>
      <c r="E17" s="50" t="s">
        <v>2382</v>
      </c>
      <c r="F17" s="48" t="s">
        <v>2383</v>
      </c>
      <c r="G17" s="15"/>
      <c r="H17" s="15"/>
      <c r="I17" s="15"/>
      <c r="J17" s="15"/>
      <c r="K17" s="15"/>
      <c r="L17" s="15"/>
      <c r="M17" s="15"/>
      <c r="N17" s="15"/>
      <c r="O17" s="15"/>
      <c r="P17" s="15"/>
      <c r="Q17" s="15"/>
      <c r="R17" s="15"/>
      <c r="S17" s="15"/>
      <c r="T17" s="15"/>
      <c r="U17" s="15"/>
      <c r="V17" s="15"/>
      <c r="W17" s="15"/>
      <c r="X17" s="15"/>
      <c r="Y17" s="15"/>
      <c r="Z17" s="15"/>
    </row>
    <row r="18" ht="31.5" customHeight="1">
      <c r="A18" s="61" t="s">
        <v>85</v>
      </c>
      <c r="B18" s="61" t="s">
        <v>2351</v>
      </c>
      <c r="C18" s="62" t="s">
        <v>2384</v>
      </c>
      <c r="D18" s="62" t="s">
        <v>2385</v>
      </c>
      <c r="E18" s="62" t="s">
        <v>2386</v>
      </c>
      <c r="F18" s="61" t="s">
        <v>2387</v>
      </c>
      <c r="G18" s="15"/>
      <c r="H18" s="15"/>
      <c r="I18" s="15"/>
      <c r="J18" s="15"/>
      <c r="K18" s="15"/>
      <c r="L18" s="15"/>
      <c r="M18" s="15"/>
      <c r="N18" s="15"/>
      <c r="O18" s="15"/>
      <c r="P18" s="15"/>
      <c r="Q18" s="15"/>
      <c r="R18" s="15"/>
      <c r="S18" s="15"/>
      <c r="T18" s="15"/>
      <c r="U18" s="15"/>
      <c r="V18" s="15"/>
      <c r="W18" s="15"/>
      <c r="X18" s="15"/>
      <c r="Y18" s="15"/>
      <c r="Z18" s="15"/>
    </row>
    <row r="19" ht="31.5" customHeight="1">
      <c r="A19" s="44" t="s">
        <v>91</v>
      </c>
      <c r="B19" s="46" t="s">
        <v>472</v>
      </c>
      <c r="C19" s="44" t="s">
        <v>2388</v>
      </c>
      <c r="D19" s="44" t="s">
        <v>2389</v>
      </c>
      <c r="E19" s="44" t="s">
        <v>2390</v>
      </c>
      <c r="F19" s="46" t="s">
        <v>2391</v>
      </c>
      <c r="G19" s="15"/>
      <c r="H19" s="15"/>
      <c r="I19" s="15"/>
      <c r="J19" s="15"/>
      <c r="K19" s="15"/>
      <c r="L19" s="15"/>
      <c r="M19" s="15"/>
      <c r="N19" s="15"/>
      <c r="O19" s="15"/>
      <c r="P19" s="15"/>
      <c r="Q19" s="15"/>
      <c r="R19" s="15"/>
      <c r="S19" s="15"/>
      <c r="T19" s="15"/>
      <c r="U19" s="15"/>
      <c r="V19" s="15"/>
      <c r="W19" s="15"/>
      <c r="X19" s="15"/>
      <c r="Y19" s="15"/>
      <c r="Z19" s="15"/>
    </row>
    <row r="20" ht="31.5" customHeight="1">
      <c r="A20" s="44" t="s">
        <v>91</v>
      </c>
      <c r="B20" s="46" t="s">
        <v>472</v>
      </c>
      <c r="C20" s="44" t="s">
        <v>2392</v>
      </c>
      <c r="D20" s="44" t="s">
        <v>2393</v>
      </c>
      <c r="E20" s="46" t="s">
        <v>472</v>
      </c>
      <c r="F20" s="202" t="s">
        <v>2394</v>
      </c>
      <c r="G20" s="15"/>
      <c r="H20" s="15"/>
      <c r="I20" s="15"/>
      <c r="J20" s="15"/>
      <c r="K20" s="15"/>
      <c r="L20" s="15"/>
      <c r="M20" s="15"/>
      <c r="N20" s="15"/>
      <c r="O20" s="15"/>
      <c r="P20" s="15"/>
      <c r="Q20" s="15"/>
      <c r="R20" s="15"/>
      <c r="S20" s="15"/>
      <c r="T20" s="15"/>
      <c r="U20" s="15"/>
      <c r="V20" s="15"/>
      <c r="W20" s="15"/>
      <c r="X20" s="15"/>
      <c r="Y20" s="15"/>
      <c r="Z20" s="15"/>
    </row>
    <row r="21" ht="17.25" customHeight="1">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row>
    <row r="22" ht="183.0" customHeight="1">
      <c r="A22" s="76" t="s">
        <v>2395</v>
      </c>
      <c r="B22" s="15"/>
      <c r="C22" s="15"/>
      <c r="D22" s="15"/>
      <c r="E22" s="15"/>
      <c r="F22" s="15"/>
      <c r="G22" s="15"/>
      <c r="H22" s="15"/>
      <c r="I22" s="15"/>
      <c r="J22" s="15"/>
      <c r="K22" s="15"/>
      <c r="L22" s="15"/>
      <c r="M22" s="15"/>
      <c r="N22" s="15"/>
      <c r="O22" s="15"/>
      <c r="P22" s="15"/>
      <c r="Q22" s="15"/>
      <c r="R22" s="15"/>
      <c r="S22" s="15"/>
      <c r="T22" s="15"/>
      <c r="U22" s="15"/>
      <c r="V22" s="15"/>
      <c r="W22" s="15"/>
      <c r="X22" s="15"/>
      <c r="Y22" s="15"/>
      <c r="Z22" s="15"/>
    </row>
    <row r="23" ht="15.75" customHeight="1">
      <c r="A23" s="84"/>
      <c r="B23" s="84"/>
      <c r="C23" s="84"/>
      <c r="D23" s="84"/>
      <c r="E23" s="84"/>
      <c r="F23" s="84"/>
      <c r="G23" s="84"/>
      <c r="H23" s="84"/>
      <c r="I23" s="84"/>
      <c r="J23" s="84"/>
      <c r="K23" s="84"/>
      <c r="L23" s="84"/>
      <c r="M23" s="84"/>
      <c r="N23" s="84"/>
      <c r="O23" s="84"/>
      <c r="P23" s="84"/>
      <c r="Q23" s="84"/>
      <c r="R23" s="84"/>
      <c r="S23" s="84"/>
      <c r="T23" s="84"/>
      <c r="U23" s="84"/>
      <c r="V23" s="84"/>
      <c r="W23" s="84"/>
      <c r="X23" s="84"/>
      <c r="Y23" s="84"/>
      <c r="Z23" s="84"/>
    </row>
    <row r="24" ht="15.75" customHeight="1">
      <c r="A24" s="84"/>
      <c r="B24" s="84"/>
      <c r="C24" s="84"/>
      <c r="D24" s="84"/>
      <c r="E24" s="84"/>
      <c r="F24" s="84"/>
      <c r="G24" s="84"/>
      <c r="H24" s="84"/>
      <c r="I24" s="84"/>
      <c r="J24" s="84"/>
      <c r="K24" s="84"/>
      <c r="L24" s="84"/>
      <c r="M24" s="84"/>
      <c r="N24" s="84"/>
      <c r="O24" s="84"/>
      <c r="P24" s="84"/>
      <c r="Q24" s="84"/>
      <c r="R24" s="84"/>
      <c r="S24" s="84"/>
      <c r="T24" s="84"/>
      <c r="U24" s="84"/>
      <c r="V24" s="84"/>
      <c r="W24" s="84"/>
      <c r="X24" s="84"/>
      <c r="Y24" s="84"/>
      <c r="Z24" s="84"/>
    </row>
    <row r="25" ht="15.75" customHeight="1">
      <c r="A25" s="84"/>
      <c r="B25" s="84"/>
      <c r="C25" s="84"/>
      <c r="D25" s="84"/>
      <c r="E25" s="84"/>
      <c r="F25" s="84"/>
      <c r="G25" s="84"/>
      <c r="H25" s="84"/>
      <c r="I25" s="84"/>
      <c r="J25" s="84"/>
      <c r="K25" s="84"/>
      <c r="L25" s="84"/>
      <c r="M25" s="84"/>
      <c r="N25" s="84"/>
      <c r="O25" s="84"/>
      <c r="P25" s="84"/>
      <c r="Q25" s="84"/>
      <c r="R25" s="84"/>
      <c r="S25" s="84"/>
      <c r="T25" s="84"/>
      <c r="U25" s="84"/>
      <c r="V25" s="84"/>
      <c r="W25" s="84"/>
      <c r="X25" s="84"/>
      <c r="Y25" s="84"/>
      <c r="Z25" s="84"/>
    </row>
    <row r="26" ht="15.75" customHeight="1">
      <c r="A26" s="84"/>
      <c r="B26" s="84"/>
      <c r="C26" s="84"/>
      <c r="D26" s="84"/>
      <c r="E26" s="84"/>
      <c r="F26" s="84"/>
      <c r="G26" s="84"/>
      <c r="H26" s="84"/>
      <c r="I26" s="84"/>
      <c r="J26" s="84"/>
      <c r="K26" s="84"/>
      <c r="L26" s="84"/>
      <c r="M26" s="84"/>
      <c r="N26" s="84"/>
      <c r="O26" s="84"/>
      <c r="P26" s="84"/>
      <c r="Q26" s="84"/>
      <c r="R26" s="84"/>
      <c r="S26" s="84"/>
      <c r="T26" s="84"/>
      <c r="U26" s="84"/>
      <c r="V26" s="84"/>
      <c r="W26" s="84"/>
      <c r="X26" s="84"/>
      <c r="Y26" s="84"/>
      <c r="Z26" s="84"/>
    </row>
    <row r="27" ht="15.75" customHeight="1">
      <c r="A27" s="84"/>
      <c r="B27" s="84"/>
      <c r="C27" s="84"/>
      <c r="D27" s="84"/>
      <c r="E27" s="84"/>
      <c r="F27" s="84"/>
      <c r="G27" s="84"/>
      <c r="H27" s="84"/>
      <c r="I27" s="84"/>
      <c r="J27" s="84"/>
      <c r="K27" s="84"/>
      <c r="L27" s="84"/>
      <c r="M27" s="84"/>
      <c r="N27" s="84"/>
      <c r="O27" s="84"/>
      <c r="P27" s="84"/>
      <c r="Q27" s="84"/>
      <c r="R27" s="84"/>
      <c r="S27" s="84"/>
      <c r="T27" s="84"/>
      <c r="U27" s="84"/>
      <c r="V27" s="84"/>
      <c r="W27" s="84"/>
      <c r="X27" s="84"/>
      <c r="Y27" s="84"/>
      <c r="Z27" s="84"/>
    </row>
    <row r="28" ht="15.75" customHeight="1">
      <c r="A28" s="84"/>
      <c r="B28" s="84"/>
      <c r="C28" s="84"/>
      <c r="D28" s="84"/>
      <c r="E28" s="84"/>
      <c r="F28" s="84"/>
      <c r="G28" s="84"/>
      <c r="H28" s="84"/>
      <c r="I28" s="84"/>
      <c r="J28" s="84"/>
      <c r="K28" s="84"/>
      <c r="L28" s="84"/>
      <c r="M28" s="84"/>
      <c r="N28" s="84"/>
      <c r="O28" s="84"/>
      <c r="P28" s="84"/>
      <c r="Q28" s="84"/>
      <c r="R28" s="84"/>
      <c r="S28" s="84"/>
      <c r="T28" s="84"/>
      <c r="U28" s="84"/>
      <c r="V28" s="84"/>
      <c r="W28" s="84"/>
      <c r="X28" s="84"/>
      <c r="Y28" s="84"/>
      <c r="Z28" s="84"/>
    </row>
    <row r="29" ht="15.75" customHeight="1">
      <c r="A29" s="84"/>
      <c r="B29" s="84"/>
      <c r="C29" s="84"/>
      <c r="D29" s="84"/>
      <c r="E29" s="84"/>
      <c r="F29" s="84"/>
      <c r="G29" s="84"/>
      <c r="H29" s="84"/>
      <c r="I29" s="84"/>
      <c r="J29" s="84"/>
      <c r="K29" s="84"/>
      <c r="L29" s="84"/>
      <c r="M29" s="84"/>
      <c r="N29" s="84"/>
      <c r="O29" s="84"/>
      <c r="P29" s="84"/>
      <c r="Q29" s="84"/>
      <c r="R29" s="84"/>
      <c r="S29" s="84"/>
      <c r="T29" s="84"/>
      <c r="U29" s="84"/>
      <c r="V29" s="84"/>
      <c r="W29" s="84"/>
      <c r="X29" s="84"/>
      <c r="Y29" s="84"/>
      <c r="Z29" s="84"/>
    </row>
    <row r="30" ht="15.75" customHeight="1">
      <c r="A30" s="84"/>
      <c r="B30" s="84"/>
      <c r="C30" s="84"/>
      <c r="D30" s="84"/>
      <c r="E30" s="84"/>
      <c r="F30" s="84"/>
      <c r="G30" s="84"/>
      <c r="H30" s="84"/>
      <c r="I30" s="84"/>
      <c r="J30" s="84"/>
      <c r="K30" s="84"/>
      <c r="L30" s="84"/>
      <c r="M30" s="84"/>
      <c r="N30" s="84"/>
      <c r="O30" s="84"/>
      <c r="P30" s="84"/>
      <c r="Q30" s="84"/>
      <c r="R30" s="84"/>
      <c r="S30" s="84"/>
      <c r="T30" s="84"/>
      <c r="U30" s="84"/>
      <c r="V30" s="84"/>
      <c r="W30" s="84"/>
      <c r="X30" s="84"/>
      <c r="Y30" s="84"/>
      <c r="Z30" s="84"/>
    </row>
    <row r="31" ht="15.75" customHeight="1">
      <c r="A31" s="84"/>
      <c r="B31" s="84"/>
      <c r="C31" s="84"/>
      <c r="D31" s="84"/>
      <c r="E31" s="84"/>
      <c r="F31" s="84"/>
      <c r="G31" s="84"/>
      <c r="H31" s="84"/>
      <c r="I31" s="84"/>
      <c r="J31" s="84"/>
      <c r="K31" s="84"/>
      <c r="L31" s="84"/>
      <c r="M31" s="84"/>
      <c r="N31" s="84"/>
      <c r="O31" s="84"/>
      <c r="P31" s="84"/>
      <c r="Q31" s="84"/>
      <c r="R31" s="84"/>
      <c r="S31" s="84"/>
      <c r="T31" s="84"/>
      <c r="U31" s="84"/>
      <c r="V31" s="84"/>
      <c r="W31" s="84"/>
      <c r="X31" s="84"/>
      <c r="Y31" s="84"/>
      <c r="Z31" s="84"/>
    </row>
    <row r="32" ht="15.75" customHeight="1">
      <c r="A32" s="84"/>
      <c r="B32" s="84"/>
      <c r="C32" s="84"/>
      <c r="D32" s="84"/>
      <c r="E32" s="84"/>
      <c r="F32" s="84"/>
      <c r="G32" s="84"/>
      <c r="H32" s="84"/>
      <c r="I32" s="84"/>
      <c r="J32" s="84"/>
      <c r="K32" s="84"/>
      <c r="L32" s="84"/>
      <c r="M32" s="84"/>
      <c r="N32" s="84"/>
      <c r="O32" s="84"/>
      <c r="P32" s="84"/>
      <c r="Q32" s="84"/>
      <c r="R32" s="84"/>
      <c r="S32" s="84"/>
      <c r="T32" s="84"/>
      <c r="U32" s="84"/>
      <c r="V32" s="84"/>
      <c r="W32" s="84"/>
      <c r="X32" s="84"/>
      <c r="Y32" s="84"/>
      <c r="Z32" s="84"/>
    </row>
    <row r="33" ht="15.75" customHeight="1">
      <c r="A33" s="84"/>
      <c r="B33" s="84"/>
      <c r="C33" s="84"/>
      <c r="D33" s="84"/>
      <c r="E33" s="84"/>
      <c r="F33" s="84"/>
      <c r="G33" s="84"/>
      <c r="H33" s="84"/>
      <c r="I33" s="84"/>
      <c r="J33" s="84"/>
      <c r="K33" s="84"/>
      <c r="L33" s="84"/>
      <c r="M33" s="84"/>
      <c r="N33" s="84"/>
      <c r="O33" s="84"/>
      <c r="P33" s="84"/>
      <c r="Q33" s="84"/>
      <c r="R33" s="84"/>
      <c r="S33" s="84"/>
      <c r="T33" s="84"/>
      <c r="U33" s="84"/>
      <c r="V33" s="84"/>
      <c r="W33" s="84"/>
      <c r="X33" s="84"/>
      <c r="Y33" s="84"/>
      <c r="Z33" s="84"/>
    </row>
    <row r="34" ht="15.75" customHeight="1">
      <c r="A34" s="84"/>
      <c r="B34" s="84"/>
      <c r="C34" s="84"/>
      <c r="D34" s="84"/>
      <c r="E34" s="84"/>
      <c r="F34" s="84"/>
      <c r="G34" s="84"/>
      <c r="H34" s="84"/>
      <c r="I34" s="84"/>
      <c r="J34" s="84"/>
      <c r="K34" s="84"/>
      <c r="L34" s="84"/>
      <c r="M34" s="84"/>
      <c r="N34" s="84"/>
      <c r="O34" s="84"/>
      <c r="P34" s="84"/>
      <c r="Q34" s="84"/>
      <c r="R34" s="84"/>
      <c r="S34" s="84"/>
      <c r="T34" s="84"/>
      <c r="U34" s="84"/>
      <c r="V34" s="84"/>
      <c r="W34" s="84"/>
      <c r="X34" s="84"/>
      <c r="Y34" s="84"/>
      <c r="Z34" s="84"/>
    </row>
    <row r="35" ht="15.75" customHeight="1">
      <c r="A35" s="84"/>
      <c r="B35" s="84"/>
      <c r="C35" s="84"/>
      <c r="D35" s="84"/>
      <c r="E35" s="84"/>
      <c r="F35" s="84"/>
      <c r="G35" s="84"/>
      <c r="H35" s="84"/>
      <c r="I35" s="84"/>
      <c r="J35" s="84"/>
      <c r="K35" s="84"/>
      <c r="L35" s="84"/>
      <c r="M35" s="84"/>
      <c r="N35" s="84"/>
      <c r="O35" s="84"/>
      <c r="P35" s="84"/>
      <c r="Q35" s="84"/>
      <c r="R35" s="84"/>
      <c r="S35" s="84"/>
      <c r="T35" s="84"/>
      <c r="U35" s="84"/>
      <c r="V35" s="84"/>
      <c r="W35" s="84"/>
      <c r="X35" s="84"/>
      <c r="Y35" s="84"/>
      <c r="Z35" s="84"/>
    </row>
    <row r="36" ht="15.75" customHeight="1">
      <c r="A36" s="84"/>
      <c r="B36" s="84"/>
      <c r="C36" s="84"/>
      <c r="D36" s="84"/>
      <c r="E36" s="84"/>
      <c r="F36" s="84"/>
      <c r="G36" s="84"/>
      <c r="H36" s="84"/>
      <c r="I36" s="84"/>
      <c r="J36" s="84"/>
      <c r="K36" s="84"/>
      <c r="L36" s="84"/>
      <c r="M36" s="84"/>
      <c r="N36" s="84"/>
      <c r="O36" s="84"/>
      <c r="P36" s="84"/>
      <c r="Q36" s="84"/>
      <c r="R36" s="84"/>
      <c r="S36" s="84"/>
      <c r="T36" s="84"/>
      <c r="U36" s="84"/>
      <c r="V36" s="84"/>
      <c r="W36" s="84"/>
      <c r="X36" s="84"/>
      <c r="Y36" s="84"/>
      <c r="Z36" s="84"/>
    </row>
    <row r="37" ht="15.75" customHeight="1">
      <c r="A37" s="84"/>
      <c r="B37" s="84"/>
      <c r="C37" s="84"/>
      <c r="D37" s="84"/>
      <c r="E37" s="84"/>
      <c r="F37" s="84"/>
      <c r="G37" s="84"/>
      <c r="H37" s="84"/>
      <c r="I37" s="84"/>
      <c r="J37" s="84"/>
      <c r="K37" s="84"/>
      <c r="L37" s="84"/>
      <c r="M37" s="84"/>
      <c r="N37" s="84"/>
      <c r="O37" s="84"/>
      <c r="P37" s="84"/>
      <c r="Q37" s="84"/>
      <c r="R37" s="84"/>
      <c r="S37" s="84"/>
      <c r="T37" s="84"/>
      <c r="U37" s="84"/>
      <c r="V37" s="84"/>
      <c r="W37" s="84"/>
      <c r="X37" s="84"/>
      <c r="Y37" s="84"/>
      <c r="Z37" s="84"/>
    </row>
    <row r="38" ht="15.75" customHeight="1">
      <c r="A38" s="84"/>
      <c r="B38" s="84"/>
      <c r="C38" s="84"/>
      <c r="D38" s="84"/>
      <c r="E38" s="84"/>
      <c r="F38" s="84"/>
      <c r="G38" s="84"/>
      <c r="H38" s="84"/>
      <c r="I38" s="84"/>
      <c r="J38" s="84"/>
      <c r="K38" s="84"/>
      <c r="L38" s="84"/>
      <c r="M38" s="84"/>
      <c r="N38" s="84"/>
      <c r="O38" s="84"/>
      <c r="P38" s="84"/>
      <c r="Q38" s="84"/>
      <c r="R38" s="84"/>
      <c r="S38" s="84"/>
      <c r="T38" s="84"/>
      <c r="U38" s="84"/>
      <c r="V38" s="84"/>
      <c r="W38" s="84"/>
      <c r="X38" s="84"/>
      <c r="Y38" s="84"/>
      <c r="Z38" s="84"/>
    </row>
    <row r="39" ht="15.75" customHeight="1">
      <c r="A39" s="84"/>
      <c r="B39" s="84"/>
      <c r="C39" s="84"/>
      <c r="D39" s="84"/>
      <c r="E39" s="84"/>
      <c r="F39" s="84"/>
      <c r="G39" s="84"/>
      <c r="H39" s="84"/>
      <c r="I39" s="84"/>
      <c r="J39" s="84"/>
      <c r="K39" s="84"/>
      <c r="L39" s="84"/>
      <c r="M39" s="84"/>
      <c r="N39" s="84"/>
      <c r="O39" s="84"/>
      <c r="P39" s="84"/>
      <c r="Q39" s="84"/>
      <c r="R39" s="84"/>
      <c r="S39" s="84"/>
      <c r="T39" s="84"/>
      <c r="U39" s="84"/>
      <c r="V39" s="84"/>
      <c r="W39" s="84"/>
      <c r="X39" s="84"/>
      <c r="Y39" s="84"/>
      <c r="Z39" s="84"/>
    </row>
    <row r="40" ht="15.75" customHeight="1">
      <c r="A40" s="84"/>
      <c r="B40" s="84"/>
      <c r="C40" s="84"/>
      <c r="D40" s="84"/>
      <c r="E40" s="84"/>
      <c r="F40" s="84"/>
      <c r="G40" s="84"/>
      <c r="H40" s="84"/>
      <c r="I40" s="84"/>
      <c r="J40" s="84"/>
      <c r="K40" s="84"/>
      <c r="L40" s="84"/>
      <c r="M40" s="84"/>
      <c r="N40" s="84"/>
      <c r="O40" s="84"/>
      <c r="P40" s="84"/>
      <c r="Q40" s="84"/>
      <c r="R40" s="84"/>
      <c r="S40" s="84"/>
      <c r="T40" s="84"/>
      <c r="U40" s="84"/>
      <c r="V40" s="84"/>
      <c r="W40" s="84"/>
      <c r="X40" s="84"/>
      <c r="Y40" s="84"/>
      <c r="Z40" s="84"/>
    </row>
    <row r="41" ht="15.75" customHeight="1">
      <c r="A41" s="84"/>
      <c r="B41" s="84"/>
      <c r="C41" s="84"/>
      <c r="D41" s="84"/>
      <c r="E41" s="84"/>
      <c r="F41" s="84"/>
      <c r="G41" s="84"/>
      <c r="H41" s="84"/>
      <c r="I41" s="84"/>
      <c r="J41" s="84"/>
      <c r="K41" s="84"/>
      <c r="L41" s="84"/>
      <c r="M41" s="84"/>
      <c r="N41" s="84"/>
      <c r="O41" s="84"/>
      <c r="P41" s="84"/>
      <c r="Q41" s="84"/>
      <c r="R41" s="84"/>
      <c r="S41" s="84"/>
      <c r="T41" s="84"/>
      <c r="U41" s="84"/>
      <c r="V41" s="84"/>
      <c r="W41" s="84"/>
      <c r="X41" s="84"/>
      <c r="Y41" s="84"/>
      <c r="Z41" s="84"/>
    </row>
    <row r="42" ht="15.75" customHeight="1">
      <c r="A42" s="84"/>
      <c r="B42" s="84"/>
      <c r="C42" s="84"/>
      <c r="D42" s="84"/>
      <c r="E42" s="84"/>
      <c r="F42" s="84"/>
      <c r="G42" s="84"/>
      <c r="H42" s="84"/>
      <c r="I42" s="84"/>
      <c r="J42" s="84"/>
      <c r="K42" s="84"/>
      <c r="L42" s="84"/>
      <c r="M42" s="84"/>
      <c r="N42" s="84"/>
      <c r="O42" s="84"/>
      <c r="P42" s="84"/>
      <c r="Q42" s="84"/>
      <c r="R42" s="84"/>
      <c r="S42" s="84"/>
      <c r="T42" s="84"/>
      <c r="U42" s="84"/>
      <c r="V42" s="84"/>
      <c r="W42" s="84"/>
      <c r="X42" s="84"/>
      <c r="Y42" s="84"/>
      <c r="Z42" s="84"/>
    </row>
    <row r="43" ht="15.75" customHeight="1">
      <c r="A43" s="84"/>
      <c r="B43" s="84"/>
      <c r="C43" s="84"/>
      <c r="D43" s="84"/>
      <c r="E43" s="84"/>
      <c r="F43" s="84"/>
      <c r="G43" s="84"/>
      <c r="H43" s="84"/>
      <c r="I43" s="84"/>
      <c r="J43" s="84"/>
      <c r="K43" s="84"/>
      <c r="L43" s="84"/>
      <c r="M43" s="84"/>
      <c r="N43" s="84"/>
      <c r="O43" s="84"/>
      <c r="P43" s="84"/>
      <c r="Q43" s="84"/>
      <c r="R43" s="84"/>
      <c r="S43" s="84"/>
      <c r="T43" s="84"/>
      <c r="U43" s="84"/>
      <c r="V43" s="84"/>
      <c r="W43" s="84"/>
      <c r="X43" s="84"/>
      <c r="Y43" s="84"/>
      <c r="Z43" s="84"/>
    </row>
    <row r="44" ht="15.75" customHeight="1">
      <c r="A44" s="84"/>
      <c r="B44" s="84"/>
      <c r="C44" s="84"/>
      <c r="D44" s="84"/>
      <c r="E44" s="84"/>
      <c r="F44" s="84"/>
      <c r="G44" s="84"/>
      <c r="H44" s="84"/>
      <c r="I44" s="84"/>
      <c r="J44" s="84"/>
      <c r="K44" s="84"/>
      <c r="L44" s="84"/>
      <c r="M44" s="84"/>
      <c r="N44" s="84"/>
      <c r="O44" s="84"/>
      <c r="P44" s="84"/>
      <c r="Q44" s="84"/>
      <c r="R44" s="84"/>
      <c r="S44" s="84"/>
      <c r="T44" s="84"/>
      <c r="U44" s="84"/>
      <c r="V44" s="84"/>
      <c r="W44" s="84"/>
      <c r="X44" s="84"/>
      <c r="Y44" s="84"/>
      <c r="Z44" s="84"/>
    </row>
    <row r="45" ht="15.75" customHeight="1">
      <c r="A45" s="84"/>
      <c r="B45" s="84"/>
      <c r="C45" s="84"/>
      <c r="D45" s="84"/>
      <c r="E45" s="84"/>
      <c r="F45" s="84"/>
      <c r="G45" s="84"/>
      <c r="H45" s="84"/>
      <c r="I45" s="84"/>
      <c r="J45" s="84"/>
      <c r="K45" s="84"/>
      <c r="L45" s="84"/>
      <c r="M45" s="84"/>
      <c r="N45" s="84"/>
      <c r="O45" s="84"/>
      <c r="P45" s="84"/>
      <c r="Q45" s="84"/>
      <c r="R45" s="84"/>
      <c r="S45" s="84"/>
      <c r="T45" s="84"/>
      <c r="U45" s="84"/>
      <c r="V45" s="84"/>
      <c r="W45" s="84"/>
      <c r="X45" s="84"/>
      <c r="Y45" s="84"/>
      <c r="Z45" s="84"/>
    </row>
    <row r="46" ht="15.75" customHeight="1">
      <c r="A46" s="84"/>
      <c r="B46" s="84"/>
      <c r="C46" s="84"/>
      <c r="D46" s="84"/>
      <c r="E46" s="84"/>
      <c r="F46" s="84"/>
      <c r="G46" s="84"/>
      <c r="H46" s="84"/>
      <c r="I46" s="84"/>
      <c r="J46" s="84"/>
      <c r="K46" s="84"/>
      <c r="L46" s="84"/>
      <c r="M46" s="84"/>
      <c r="N46" s="84"/>
      <c r="O46" s="84"/>
      <c r="P46" s="84"/>
      <c r="Q46" s="84"/>
      <c r="R46" s="84"/>
      <c r="S46" s="84"/>
      <c r="T46" s="84"/>
      <c r="U46" s="84"/>
      <c r="V46" s="84"/>
      <c r="W46" s="84"/>
      <c r="X46" s="84"/>
      <c r="Y46" s="84"/>
      <c r="Z46" s="84"/>
    </row>
    <row r="47" ht="15.75" customHeight="1">
      <c r="A47" s="84"/>
      <c r="B47" s="84"/>
      <c r="C47" s="84"/>
      <c r="D47" s="84"/>
      <c r="E47" s="84"/>
      <c r="F47" s="84"/>
      <c r="G47" s="84"/>
      <c r="H47" s="84"/>
      <c r="I47" s="84"/>
      <c r="J47" s="84"/>
      <c r="K47" s="84"/>
      <c r="L47" s="84"/>
      <c r="M47" s="84"/>
      <c r="N47" s="84"/>
      <c r="O47" s="84"/>
      <c r="P47" s="84"/>
      <c r="Q47" s="84"/>
      <c r="R47" s="84"/>
      <c r="S47" s="84"/>
      <c r="T47" s="84"/>
      <c r="U47" s="84"/>
      <c r="V47" s="84"/>
      <c r="W47" s="84"/>
      <c r="X47" s="84"/>
      <c r="Y47" s="84"/>
      <c r="Z47" s="84"/>
    </row>
    <row r="48" ht="15.75" customHeight="1">
      <c r="A48" s="84"/>
      <c r="B48" s="84"/>
      <c r="C48" s="84"/>
      <c r="D48" s="84"/>
      <c r="E48" s="84"/>
      <c r="F48" s="84"/>
      <c r="G48" s="84"/>
      <c r="H48" s="84"/>
      <c r="I48" s="84"/>
      <c r="J48" s="84"/>
      <c r="K48" s="84"/>
      <c r="L48" s="84"/>
      <c r="M48" s="84"/>
      <c r="N48" s="84"/>
      <c r="O48" s="84"/>
      <c r="P48" s="84"/>
      <c r="Q48" s="84"/>
      <c r="R48" s="84"/>
      <c r="S48" s="84"/>
      <c r="T48" s="84"/>
      <c r="U48" s="84"/>
      <c r="V48" s="84"/>
      <c r="W48" s="84"/>
      <c r="X48" s="84"/>
      <c r="Y48" s="84"/>
      <c r="Z48" s="84"/>
    </row>
    <row r="49" ht="15.75" customHeight="1">
      <c r="A49" s="84"/>
      <c r="B49" s="84"/>
      <c r="C49" s="84"/>
      <c r="D49" s="84"/>
      <c r="E49" s="84"/>
      <c r="F49" s="84"/>
      <c r="G49" s="84"/>
      <c r="H49" s="84"/>
      <c r="I49" s="84"/>
      <c r="J49" s="84"/>
      <c r="K49" s="84"/>
      <c r="L49" s="84"/>
      <c r="M49" s="84"/>
      <c r="N49" s="84"/>
      <c r="O49" s="84"/>
      <c r="P49" s="84"/>
      <c r="Q49" s="84"/>
      <c r="R49" s="84"/>
      <c r="S49" s="84"/>
      <c r="T49" s="84"/>
      <c r="U49" s="84"/>
      <c r="V49" s="84"/>
      <c r="W49" s="84"/>
      <c r="X49" s="84"/>
      <c r="Y49" s="84"/>
      <c r="Z49" s="84"/>
    </row>
    <row r="50" ht="15.75" customHeight="1">
      <c r="A50" s="84"/>
      <c r="B50" s="84"/>
      <c r="C50" s="84"/>
      <c r="D50" s="84"/>
      <c r="E50" s="84"/>
      <c r="F50" s="84"/>
      <c r="G50" s="84"/>
      <c r="H50" s="84"/>
      <c r="I50" s="84"/>
      <c r="J50" s="84"/>
      <c r="K50" s="84"/>
      <c r="L50" s="84"/>
      <c r="M50" s="84"/>
      <c r="N50" s="84"/>
      <c r="O50" s="84"/>
      <c r="P50" s="84"/>
      <c r="Q50" s="84"/>
      <c r="R50" s="84"/>
      <c r="S50" s="84"/>
      <c r="T50" s="84"/>
      <c r="U50" s="84"/>
      <c r="V50" s="84"/>
      <c r="W50" s="84"/>
      <c r="X50" s="84"/>
      <c r="Y50" s="84"/>
      <c r="Z50" s="84"/>
    </row>
    <row r="51" ht="15.75" customHeight="1">
      <c r="A51" s="84"/>
      <c r="B51" s="84"/>
      <c r="C51" s="84"/>
      <c r="D51" s="84"/>
      <c r="E51" s="84"/>
      <c r="F51" s="84"/>
      <c r="G51" s="84"/>
      <c r="H51" s="84"/>
      <c r="I51" s="84"/>
      <c r="J51" s="84"/>
      <c r="K51" s="84"/>
      <c r="L51" s="84"/>
      <c r="M51" s="84"/>
      <c r="N51" s="84"/>
      <c r="O51" s="84"/>
      <c r="P51" s="84"/>
      <c r="Q51" s="84"/>
      <c r="R51" s="84"/>
      <c r="S51" s="84"/>
      <c r="T51" s="84"/>
      <c r="U51" s="84"/>
      <c r="V51" s="84"/>
      <c r="W51" s="84"/>
      <c r="X51" s="84"/>
      <c r="Y51" s="84"/>
      <c r="Z51" s="84"/>
    </row>
    <row r="52" ht="15.75" customHeight="1">
      <c r="A52" s="84"/>
      <c r="B52" s="84"/>
      <c r="C52" s="84"/>
      <c r="D52" s="84"/>
      <c r="E52" s="84"/>
      <c r="F52" s="84"/>
      <c r="G52" s="84"/>
      <c r="H52" s="84"/>
      <c r="I52" s="84"/>
      <c r="J52" s="84"/>
      <c r="K52" s="84"/>
      <c r="L52" s="84"/>
      <c r="M52" s="84"/>
      <c r="N52" s="84"/>
      <c r="O52" s="84"/>
      <c r="P52" s="84"/>
      <c r="Q52" s="84"/>
      <c r="R52" s="84"/>
      <c r="S52" s="84"/>
      <c r="T52" s="84"/>
      <c r="U52" s="84"/>
      <c r="V52" s="84"/>
      <c r="W52" s="84"/>
      <c r="X52" s="84"/>
      <c r="Y52" s="84"/>
      <c r="Z52" s="84"/>
    </row>
    <row r="53" ht="15.75" customHeight="1">
      <c r="A53" s="84"/>
      <c r="B53" s="84"/>
      <c r="C53" s="84"/>
      <c r="D53" s="84"/>
      <c r="E53" s="84"/>
      <c r="F53" s="84"/>
      <c r="G53" s="84"/>
      <c r="H53" s="84"/>
      <c r="I53" s="84"/>
      <c r="J53" s="84"/>
      <c r="K53" s="84"/>
      <c r="L53" s="84"/>
      <c r="M53" s="84"/>
      <c r="N53" s="84"/>
      <c r="O53" s="84"/>
      <c r="P53" s="84"/>
      <c r="Q53" s="84"/>
      <c r="R53" s="84"/>
      <c r="S53" s="84"/>
      <c r="T53" s="84"/>
      <c r="U53" s="84"/>
      <c r="V53" s="84"/>
      <c r="W53" s="84"/>
      <c r="X53" s="84"/>
      <c r="Y53" s="84"/>
      <c r="Z53" s="84"/>
    </row>
    <row r="54" ht="15.75" customHeight="1">
      <c r="A54" s="84"/>
      <c r="B54" s="84"/>
      <c r="C54" s="84"/>
      <c r="D54" s="84"/>
      <c r="E54" s="84"/>
      <c r="F54" s="84"/>
      <c r="G54" s="84"/>
      <c r="H54" s="84"/>
      <c r="I54" s="84"/>
      <c r="J54" s="84"/>
      <c r="K54" s="84"/>
      <c r="L54" s="84"/>
      <c r="M54" s="84"/>
      <c r="N54" s="84"/>
      <c r="O54" s="84"/>
      <c r="P54" s="84"/>
      <c r="Q54" s="84"/>
      <c r="R54" s="84"/>
      <c r="S54" s="84"/>
      <c r="T54" s="84"/>
      <c r="U54" s="84"/>
      <c r="V54" s="84"/>
      <c r="W54" s="84"/>
      <c r="X54" s="84"/>
      <c r="Y54" s="84"/>
      <c r="Z54" s="84"/>
    </row>
    <row r="55" ht="15.75" customHeight="1">
      <c r="A55" s="84"/>
      <c r="B55" s="84"/>
      <c r="C55" s="84"/>
      <c r="D55" s="84"/>
      <c r="E55" s="84"/>
      <c r="F55" s="84"/>
      <c r="G55" s="84"/>
      <c r="H55" s="84"/>
      <c r="I55" s="84"/>
      <c r="J55" s="84"/>
      <c r="K55" s="84"/>
      <c r="L55" s="84"/>
      <c r="M55" s="84"/>
      <c r="N55" s="84"/>
      <c r="O55" s="84"/>
      <c r="P55" s="84"/>
      <c r="Q55" s="84"/>
      <c r="R55" s="84"/>
      <c r="S55" s="84"/>
      <c r="T55" s="84"/>
      <c r="U55" s="84"/>
      <c r="V55" s="84"/>
      <c r="W55" s="84"/>
      <c r="X55" s="84"/>
      <c r="Y55" s="84"/>
      <c r="Z55" s="84"/>
    </row>
    <row r="56" ht="15.75" customHeight="1">
      <c r="A56" s="84"/>
      <c r="B56" s="84"/>
      <c r="C56" s="84"/>
      <c r="D56" s="84"/>
      <c r="E56" s="84"/>
      <c r="F56" s="84"/>
      <c r="G56" s="84"/>
      <c r="H56" s="84"/>
      <c r="I56" s="84"/>
      <c r="J56" s="84"/>
      <c r="K56" s="84"/>
      <c r="L56" s="84"/>
      <c r="M56" s="84"/>
      <c r="N56" s="84"/>
      <c r="O56" s="84"/>
      <c r="P56" s="84"/>
      <c r="Q56" s="84"/>
      <c r="R56" s="84"/>
      <c r="S56" s="84"/>
      <c r="T56" s="84"/>
      <c r="U56" s="84"/>
      <c r="V56" s="84"/>
      <c r="W56" s="84"/>
      <c r="X56" s="84"/>
      <c r="Y56" s="84"/>
      <c r="Z56" s="84"/>
    </row>
    <row r="57" ht="15.75" customHeight="1">
      <c r="A57" s="84"/>
      <c r="B57" s="84"/>
      <c r="C57" s="84"/>
      <c r="D57" s="84"/>
      <c r="E57" s="84"/>
      <c r="F57" s="84"/>
      <c r="G57" s="84"/>
      <c r="H57" s="84"/>
      <c r="I57" s="84"/>
      <c r="J57" s="84"/>
      <c r="K57" s="84"/>
      <c r="L57" s="84"/>
      <c r="M57" s="84"/>
      <c r="N57" s="84"/>
      <c r="O57" s="84"/>
      <c r="P57" s="84"/>
      <c r="Q57" s="84"/>
      <c r="R57" s="84"/>
      <c r="S57" s="84"/>
      <c r="T57" s="84"/>
      <c r="U57" s="84"/>
      <c r="V57" s="84"/>
      <c r="W57" s="84"/>
      <c r="X57" s="84"/>
      <c r="Y57" s="84"/>
      <c r="Z57" s="84"/>
    </row>
    <row r="58" ht="15.75" customHeight="1">
      <c r="A58" s="84"/>
      <c r="B58" s="84"/>
      <c r="C58" s="84"/>
      <c r="D58" s="84"/>
      <c r="E58" s="84"/>
      <c r="F58" s="84"/>
      <c r="G58" s="84"/>
      <c r="H58" s="84"/>
      <c r="I58" s="84"/>
      <c r="J58" s="84"/>
      <c r="K58" s="84"/>
      <c r="L58" s="84"/>
      <c r="M58" s="84"/>
      <c r="N58" s="84"/>
      <c r="O58" s="84"/>
      <c r="P58" s="84"/>
      <c r="Q58" s="84"/>
      <c r="R58" s="84"/>
      <c r="S58" s="84"/>
      <c r="T58" s="84"/>
      <c r="U58" s="84"/>
      <c r="V58" s="84"/>
      <c r="W58" s="84"/>
      <c r="X58" s="84"/>
      <c r="Y58" s="84"/>
      <c r="Z58" s="84"/>
    </row>
    <row r="59" ht="15.75" customHeight="1">
      <c r="A59" s="84"/>
      <c r="B59" s="84"/>
      <c r="C59" s="84"/>
      <c r="D59" s="84"/>
      <c r="E59" s="84"/>
      <c r="F59" s="84"/>
      <c r="G59" s="84"/>
      <c r="H59" s="84"/>
      <c r="I59" s="84"/>
      <c r="J59" s="84"/>
      <c r="K59" s="84"/>
      <c r="L59" s="84"/>
      <c r="M59" s="84"/>
      <c r="N59" s="84"/>
      <c r="O59" s="84"/>
      <c r="P59" s="84"/>
      <c r="Q59" s="84"/>
      <c r="R59" s="84"/>
      <c r="S59" s="84"/>
      <c r="T59" s="84"/>
      <c r="U59" s="84"/>
      <c r="V59" s="84"/>
      <c r="W59" s="84"/>
      <c r="X59" s="84"/>
      <c r="Y59" s="84"/>
      <c r="Z59" s="84"/>
    </row>
    <row r="60" ht="15.75" customHeight="1">
      <c r="A60" s="84"/>
      <c r="B60" s="84"/>
      <c r="C60" s="84"/>
      <c r="D60" s="84"/>
      <c r="E60" s="84"/>
      <c r="F60" s="84"/>
      <c r="G60" s="84"/>
      <c r="H60" s="84"/>
      <c r="I60" s="84"/>
      <c r="J60" s="84"/>
      <c r="K60" s="84"/>
      <c r="L60" s="84"/>
      <c r="M60" s="84"/>
      <c r="N60" s="84"/>
      <c r="O60" s="84"/>
      <c r="P60" s="84"/>
      <c r="Q60" s="84"/>
      <c r="R60" s="84"/>
      <c r="S60" s="84"/>
      <c r="T60" s="84"/>
      <c r="U60" s="84"/>
      <c r="V60" s="84"/>
      <c r="W60" s="84"/>
      <c r="X60" s="84"/>
      <c r="Y60" s="84"/>
      <c r="Z60" s="84"/>
    </row>
    <row r="61" ht="15.75" customHeight="1">
      <c r="A61" s="84"/>
      <c r="B61" s="84"/>
      <c r="C61" s="84"/>
      <c r="D61" s="84"/>
      <c r="E61" s="84"/>
      <c r="F61" s="84"/>
      <c r="G61" s="84"/>
      <c r="H61" s="84"/>
      <c r="I61" s="84"/>
      <c r="J61" s="84"/>
      <c r="K61" s="84"/>
      <c r="L61" s="84"/>
      <c r="M61" s="84"/>
      <c r="N61" s="84"/>
      <c r="O61" s="84"/>
      <c r="P61" s="84"/>
      <c r="Q61" s="84"/>
      <c r="R61" s="84"/>
      <c r="S61" s="84"/>
      <c r="T61" s="84"/>
      <c r="U61" s="84"/>
      <c r="V61" s="84"/>
      <c r="W61" s="84"/>
      <c r="X61" s="84"/>
      <c r="Y61" s="84"/>
      <c r="Z61" s="84"/>
    </row>
    <row r="62" ht="15.75" customHeight="1">
      <c r="A62" s="84"/>
      <c r="B62" s="84"/>
      <c r="C62" s="84"/>
      <c r="D62" s="84"/>
      <c r="E62" s="84"/>
      <c r="F62" s="84"/>
      <c r="G62" s="84"/>
      <c r="H62" s="84"/>
      <c r="I62" s="84"/>
      <c r="J62" s="84"/>
      <c r="K62" s="84"/>
      <c r="L62" s="84"/>
      <c r="M62" s="84"/>
      <c r="N62" s="84"/>
      <c r="O62" s="84"/>
      <c r="P62" s="84"/>
      <c r="Q62" s="84"/>
      <c r="R62" s="84"/>
      <c r="S62" s="84"/>
      <c r="T62" s="84"/>
      <c r="U62" s="84"/>
      <c r="V62" s="84"/>
      <c r="W62" s="84"/>
      <c r="X62" s="84"/>
      <c r="Y62" s="84"/>
      <c r="Z62" s="84"/>
    </row>
    <row r="63" ht="15.75" customHeight="1">
      <c r="A63" s="84"/>
      <c r="B63" s="84"/>
      <c r="C63" s="84"/>
      <c r="D63" s="84"/>
      <c r="E63" s="84"/>
      <c r="F63" s="84"/>
      <c r="G63" s="84"/>
      <c r="H63" s="84"/>
      <c r="I63" s="84"/>
      <c r="J63" s="84"/>
      <c r="K63" s="84"/>
      <c r="L63" s="84"/>
      <c r="M63" s="84"/>
      <c r="N63" s="84"/>
      <c r="O63" s="84"/>
      <c r="P63" s="84"/>
      <c r="Q63" s="84"/>
      <c r="R63" s="84"/>
      <c r="S63" s="84"/>
      <c r="T63" s="84"/>
      <c r="U63" s="84"/>
      <c r="V63" s="84"/>
      <c r="W63" s="84"/>
      <c r="X63" s="84"/>
      <c r="Y63" s="84"/>
      <c r="Z63" s="84"/>
    </row>
    <row r="64" ht="15.75" customHeight="1">
      <c r="A64" s="84"/>
      <c r="B64" s="84"/>
      <c r="C64" s="84"/>
      <c r="D64" s="84"/>
      <c r="E64" s="84"/>
      <c r="F64" s="84"/>
      <c r="G64" s="84"/>
      <c r="H64" s="84"/>
      <c r="I64" s="84"/>
      <c r="J64" s="84"/>
      <c r="K64" s="84"/>
      <c r="L64" s="84"/>
      <c r="M64" s="84"/>
      <c r="N64" s="84"/>
      <c r="O64" s="84"/>
      <c r="P64" s="84"/>
      <c r="Q64" s="84"/>
      <c r="R64" s="84"/>
      <c r="S64" s="84"/>
      <c r="T64" s="84"/>
      <c r="U64" s="84"/>
      <c r="V64" s="84"/>
      <c r="W64" s="84"/>
      <c r="X64" s="84"/>
      <c r="Y64" s="84"/>
      <c r="Z64" s="84"/>
    </row>
    <row r="65" ht="15.75" customHeight="1">
      <c r="A65" s="84"/>
      <c r="B65" s="84"/>
      <c r="C65" s="84"/>
      <c r="D65" s="84"/>
      <c r="E65" s="84"/>
      <c r="F65" s="84"/>
      <c r="G65" s="84"/>
      <c r="H65" s="84"/>
      <c r="I65" s="84"/>
      <c r="J65" s="84"/>
      <c r="K65" s="84"/>
      <c r="L65" s="84"/>
      <c r="M65" s="84"/>
      <c r="N65" s="84"/>
      <c r="O65" s="84"/>
      <c r="P65" s="84"/>
      <c r="Q65" s="84"/>
      <c r="R65" s="84"/>
      <c r="S65" s="84"/>
      <c r="T65" s="84"/>
      <c r="U65" s="84"/>
      <c r="V65" s="84"/>
      <c r="W65" s="84"/>
      <c r="X65" s="84"/>
      <c r="Y65" s="84"/>
      <c r="Z65" s="84"/>
    </row>
    <row r="66" ht="15.75" customHeight="1">
      <c r="A66" s="84"/>
      <c r="B66" s="84"/>
      <c r="C66" s="84"/>
      <c r="D66" s="84"/>
      <c r="E66" s="84"/>
      <c r="F66" s="84"/>
      <c r="G66" s="84"/>
      <c r="H66" s="84"/>
      <c r="I66" s="84"/>
      <c r="J66" s="84"/>
      <c r="K66" s="84"/>
      <c r="L66" s="84"/>
      <c r="M66" s="84"/>
      <c r="N66" s="84"/>
      <c r="O66" s="84"/>
      <c r="P66" s="84"/>
      <c r="Q66" s="84"/>
      <c r="R66" s="84"/>
      <c r="S66" s="84"/>
      <c r="T66" s="84"/>
      <c r="U66" s="84"/>
      <c r="V66" s="84"/>
      <c r="W66" s="84"/>
      <c r="X66" s="84"/>
      <c r="Y66" s="84"/>
      <c r="Z66" s="84"/>
    </row>
    <row r="67" ht="15.75" customHeight="1">
      <c r="A67" s="84"/>
      <c r="B67" s="84"/>
      <c r="C67" s="84"/>
      <c r="D67" s="84"/>
      <c r="E67" s="84"/>
      <c r="F67" s="84"/>
      <c r="G67" s="84"/>
      <c r="H67" s="84"/>
      <c r="I67" s="84"/>
      <c r="J67" s="84"/>
      <c r="K67" s="84"/>
      <c r="L67" s="84"/>
      <c r="M67" s="84"/>
      <c r="N67" s="84"/>
      <c r="O67" s="84"/>
      <c r="P67" s="84"/>
      <c r="Q67" s="84"/>
      <c r="R67" s="84"/>
      <c r="S67" s="84"/>
      <c r="T67" s="84"/>
      <c r="U67" s="84"/>
      <c r="V67" s="84"/>
      <c r="W67" s="84"/>
      <c r="X67" s="84"/>
      <c r="Y67" s="84"/>
      <c r="Z67" s="84"/>
    </row>
    <row r="68" ht="15.75" customHeight="1">
      <c r="A68" s="84"/>
      <c r="B68" s="84"/>
      <c r="C68" s="84"/>
      <c r="D68" s="84"/>
      <c r="E68" s="84"/>
      <c r="F68" s="84"/>
      <c r="G68" s="84"/>
      <c r="H68" s="84"/>
      <c r="I68" s="84"/>
      <c r="J68" s="84"/>
      <c r="K68" s="84"/>
      <c r="L68" s="84"/>
      <c r="M68" s="84"/>
      <c r="N68" s="84"/>
      <c r="O68" s="84"/>
      <c r="P68" s="84"/>
      <c r="Q68" s="84"/>
      <c r="R68" s="84"/>
      <c r="S68" s="84"/>
      <c r="T68" s="84"/>
      <c r="U68" s="84"/>
      <c r="V68" s="84"/>
      <c r="W68" s="84"/>
      <c r="X68" s="84"/>
      <c r="Y68" s="84"/>
      <c r="Z68" s="84"/>
    </row>
    <row r="69" ht="15.75" customHeight="1">
      <c r="A69" s="84"/>
      <c r="B69" s="84"/>
      <c r="C69" s="84"/>
      <c r="D69" s="84"/>
      <c r="E69" s="84"/>
      <c r="F69" s="84"/>
      <c r="G69" s="84"/>
      <c r="H69" s="84"/>
      <c r="I69" s="84"/>
      <c r="J69" s="84"/>
      <c r="K69" s="84"/>
      <c r="L69" s="84"/>
      <c r="M69" s="84"/>
      <c r="N69" s="84"/>
      <c r="O69" s="84"/>
      <c r="P69" s="84"/>
      <c r="Q69" s="84"/>
      <c r="R69" s="84"/>
      <c r="S69" s="84"/>
      <c r="T69" s="84"/>
      <c r="U69" s="84"/>
      <c r="V69" s="84"/>
      <c r="W69" s="84"/>
      <c r="X69" s="84"/>
      <c r="Y69" s="84"/>
      <c r="Z69" s="84"/>
    </row>
    <row r="70" ht="15.75" customHeight="1">
      <c r="A70" s="84"/>
      <c r="B70" s="84"/>
      <c r="C70" s="84"/>
      <c r="D70" s="84"/>
      <c r="E70" s="84"/>
      <c r="F70" s="84"/>
      <c r="G70" s="84"/>
      <c r="H70" s="84"/>
      <c r="I70" s="84"/>
      <c r="J70" s="84"/>
      <c r="K70" s="84"/>
      <c r="L70" s="84"/>
      <c r="M70" s="84"/>
      <c r="N70" s="84"/>
      <c r="O70" s="84"/>
      <c r="P70" s="84"/>
      <c r="Q70" s="84"/>
      <c r="R70" s="84"/>
      <c r="S70" s="84"/>
      <c r="T70" s="84"/>
      <c r="U70" s="84"/>
      <c r="V70" s="84"/>
      <c r="W70" s="84"/>
      <c r="X70" s="84"/>
      <c r="Y70" s="84"/>
      <c r="Z70" s="84"/>
    </row>
    <row r="71" ht="15.75" customHeight="1">
      <c r="A71" s="84"/>
      <c r="B71" s="84"/>
      <c r="C71" s="84"/>
      <c r="D71" s="84"/>
      <c r="E71" s="84"/>
      <c r="F71" s="84"/>
      <c r="G71" s="84"/>
      <c r="H71" s="84"/>
      <c r="I71" s="84"/>
      <c r="J71" s="84"/>
      <c r="K71" s="84"/>
      <c r="L71" s="84"/>
      <c r="M71" s="84"/>
      <c r="N71" s="84"/>
      <c r="O71" s="84"/>
      <c r="P71" s="84"/>
      <c r="Q71" s="84"/>
      <c r="R71" s="84"/>
      <c r="S71" s="84"/>
      <c r="T71" s="84"/>
      <c r="U71" s="84"/>
      <c r="V71" s="84"/>
      <c r="W71" s="84"/>
      <c r="X71" s="84"/>
      <c r="Y71" s="84"/>
      <c r="Z71" s="84"/>
    </row>
    <row r="72" ht="15.75" customHeight="1">
      <c r="A72" s="84"/>
      <c r="B72" s="84"/>
      <c r="C72" s="84"/>
      <c r="D72" s="84"/>
      <c r="E72" s="84"/>
      <c r="F72" s="84"/>
      <c r="G72" s="84"/>
      <c r="H72" s="84"/>
      <c r="I72" s="84"/>
      <c r="J72" s="84"/>
      <c r="K72" s="84"/>
      <c r="L72" s="84"/>
      <c r="M72" s="84"/>
      <c r="N72" s="84"/>
      <c r="O72" s="84"/>
      <c r="P72" s="84"/>
      <c r="Q72" s="84"/>
      <c r="R72" s="84"/>
      <c r="S72" s="84"/>
      <c r="T72" s="84"/>
      <c r="U72" s="84"/>
      <c r="V72" s="84"/>
      <c r="W72" s="84"/>
      <c r="X72" s="84"/>
      <c r="Y72" s="84"/>
      <c r="Z72" s="84"/>
    </row>
    <row r="73" ht="15.75" customHeight="1">
      <c r="A73" s="84"/>
      <c r="B73" s="84"/>
      <c r="C73" s="84"/>
      <c r="D73" s="84"/>
      <c r="E73" s="84"/>
      <c r="F73" s="84"/>
      <c r="G73" s="84"/>
      <c r="H73" s="84"/>
      <c r="I73" s="84"/>
      <c r="J73" s="84"/>
      <c r="K73" s="84"/>
      <c r="L73" s="84"/>
      <c r="M73" s="84"/>
      <c r="N73" s="84"/>
      <c r="O73" s="84"/>
      <c r="P73" s="84"/>
      <c r="Q73" s="84"/>
      <c r="R73" s="84"/>
      <c r="S73" s="84"/>
      <c r="T73" s="84"/>
      <c r="U73" s="84"/>
      <c r="V73" s="84"/>
      <c r="W73" s="84"/>
      <c r="X73" s="84"/>
      <c r="Y73" s="84"/>
      <c r="Z73" s="84"/>
    </row>
    <row r="74" ht="15.75" customHeight="1">
      <c r="A74" s="84"/>
      <c r="B74" s="84"/>
      <c r="C74" s="84"/>
      <c r="D74" s="84"/>
      <c r="E74" s="84"/>
      <c r="F74" s="84"/>
      <c r="G74" s="84"/>
      <c r="H74" s="84"/>
      <c r="I74" s="84"/>
      <c r="J74" s="84"/>
      <c r="K74" s="84"/>
      <c r="L74" s="84"/>
      <c r="M74" s="84"/>
      <c r="N74" s="84"/>
      <c r="O74" s="84"/>
      <c r="P74" s="84"/>
      <c r="Q74" s="84"/>
      <c r="R74" s="84"/>
      <c r="S74" s="84"/>
      <c r="T74" s="84"/>
      <c r="U74" s="84"/>
      <c r="V74" s="84"/>
      <c r="W74" s="84"/>
      <c r="X74" s="84"/>
      <c r="Y74" s="84"/>
      <c r="Z74" s="84"/>
    </row>
    <row r="75" ht="15.75" customHeight="1">
      <c r="A75" s="84"/>
      <c r="B75" s="84"/>
      <c r="C75" s="84"/>
      <c r="D75" s="84"/>
      <c r="E75" s="84"/>
      <c r="F75" s="84"/>
      <c r="G75" s="84"/>
      <c r="H75" s="84"/>
      <c r="I75" s="84"/>
      <c r="J75" s="84"/>
      <c r="K75" s="84"/>
      <c r="L75" s="84"/>
      <c r="M75" s="84"/>
      <c r="N75" s="84"/>
      <c r="O75" s="84"/>
      <c r="P75" s="84"/>
      <c r="Q75" s="84"/>
      <c r="R75" s="84"/>
      <c r="S75" s="84"/>
      <c r="T75" s="84"/>
      <c r="U75" s="84"/>
      <c r="V75" s="84"/>
      <c r="W75" s="84"/>
      <c r="X75" s="84"/>
      <c r="Y75" s="84"/>
      <c r="Z75" s="84"/>
    </row>
    <row r="76" ht="15.75" customHeight="1">
      <c r="A76" s="84"/>
      <c r="B76" s="84"/>
      <c r="C76" s="84"/>
      <c r="D76" s="84"/>
      <c r="E76" s="84"/>
      <c r="F76" s="84"/>
      <c r="G76" s="84"/>
      <c r="H76" s="84"/>
      <c r="I76" s="84"/>
      <c r="J76" s="84"/>
      <c r="K76" s="84"/>
      <c r="L76" s="84"/>
      <c r="M76" s="84"/>
      <c r="N76" s="84"/>
      <c r="O76" s="84"/>
      <c r="P76" s="84"/>
      <c r="Q76" s="84"/>
      <c r="R76" s="84"/>
      <c r="S76" s="84"/>
      <c r="T76" s="84"/>
      <c r="U76" s="84"/>
      <c r="V76" s="84"/>
      <c r="W76" s="84"/>
      <c r="X76" s="84"/>
      <c r="Y76" s="84"/>
      <c r="Z76" s="84"/>
    </row>
    <row r="77" ht="15.75" customHeight="1">
      <c r="A77" s="84"/>
      <c r="B77" s="84"/>
      <c r="C77" s="84"/>
      <c r="D77" s="84"/>
      <c r="E77" s="84"/>
      <c r="F77" s="84"/>
      <c r="G77" s="84"/>
      <c r="H77" s="84"/>
      <c r="I77" s="84"/>
      <c r="J77" s="84"/>
      <c r="K77" s="84"/>
      <c r="L77" s="84"/>
      <c r="M77" s="84"/>
      <c r="N77" s="84"/>
      <c r="O77" s="84"/>
      <c r="P77" s="84"/>
      <c r="Q77" s="84"/>
      <c r="R77" s="84"/>
      <c r="S77" s="84"/>
      <c r="T77" s="84"/>
      <c r="U77" s="84"/>
      <c r="V77" s="84"/>
      <c r="W77" s="84"/>
      <c r="X77" s="84"/>
      <c r="Y77" s="84"/>
      <c r="Z77" s="84"/>
    </row>
    <row r="78" ht="15.75" customHeight="1">
      <c r="A78" s="84"/>
      <c r="B78" s="84"/>
      <c r="C78" s="84"/>
      <c r="D78" s="84"/>
      <c r="E78" s="84"/>
      <c r="F78" s="84"/>
      <c r="G78" s="84"/>
      <c r="H78" s="84"/>
      <c r="I78" s="84"/>
      <c r="J78" s="84"/>
      <c r="K78" s="84"/>
      <c r="L78" s="84"/>
      <c r="M78" s="84"/>
      <c r="N78" s="84"/>
      <c r="O78" s="84"/>
      <c r="P78" s="84"/>
      <c r="Q78" s="84"/>
      <c r="R78" s="84"/>
      <c r="S78" s="84"/>
      <c r="T78" s="84"/>
      <c r="U78" s="84"/>
      <c r="V78" s="84"/>
      <c r="W78" s="84"/>
      <c r="X78" s="84"/>
      <c r="Y78" s="84"/>
      <c r="Z78" s="84"/>
    </row>
    <row r="79" ht="15.75" customHeight="1">
      <c r="A79" s="84"/>
      <c r="B79" s="84"/>
      <c r="C79" s="84"/>
      <c r="D79" s="84"/>
      <c r="E79" s="84"/>
      <c r="F79" s="84"/>
      <c r="G79" s="84"/>
      <c r="H79" s="84"/>
      <c r="I79" s="84"/>
      <c r="J79" s="84"/>
      <c r="K79" s="84"/>
      <c r="L79" s="84"/>
      <c r="M79" s="84"/>
      <c r="N79" s="84"/>
      <c r="O79" s="84"/>
      <c r="P79" s="84"/>
      <c r="Q79" s="84"/>
      <c r="R79" s="84"/>
      <c r="S79" s="84"/>
      <c r="T79" s="84"/>
      <c r="U79" s="84"/>
      <c r="V79" s="84"/>
      <c r="W79" s="84"/>
      <c r="X79" s="84"/>
      <c r="Y79" s="84"/>
      <c r="Z79" s="84"/>
    </row>
    <row r="80" ht="15.75" customHeight="1">
      <c r="A80" s="84"/>
      <c r="B80" s="84"/>
      <c r="C80" s="84"/>
      <c r="D80" s="84"/>
      <c r="E80" s="84"/>
      <c r="F80" s="84"/>
      <c r="G80" s="84"/>
      <c r="H80" s="84"/>
      <c r="I80" s="84"/>
      <c r="J80" s="84"/>
      <c r="K80" s="84"/>
      <c r="L80" s="84"/>
      <c r="M80" s="84"/>
      <c r="N80" s="84"/>
      <c r="O80" s="84"/>
      <c r="P80" s="84"/>
      <c r="Q80" s="84"/>
      <c r="R80" s="84"/>
      <c r="S80" s="84"/>
      <c r="T80" s="84"/>
      <c r="U80" s="84"/>
      <c r="V80" s="84"/>
      <c r="W80" s="84"/>
      <c r="X80" s="84"/>
      <c r="Y80" s="84"/>
      <c r="Z80" s="84"/>
    </row>
    <row r="81" ht="15.75" customHeight="1">
      <c r="A81" s="84"/>
      <c r="B81" s="84"/>
      <c r="C81" s="84"/>
      <c r="D81" s="84"/>
      <c r="E81" s="84"/>
      <c r="F81" s="84"/>
      <c r="G81" s="84"/>
      <c r="H81" s="84"/>
      <c r="I81" s="84"/>
      <c r="J81" s="84"/>
      <c r="K81" s="84"/>
      <c r="L81" s="84"/>
      <c r="M81" s="84"/>
      <c r="N81" s="84"/>
      <c r="O81" s="84"/>
      <c r="P81" s="84"/>
      <c r="Q81" s="84"/>
      <c r="R81" s="84"/>
      <c r="S81" s="84"/>
      <c r="T81" s="84"/>
      <c r="U81" s="84"/>
      <c r="V81" s="84"/>
      <c r="W81" s="84"/>
      <c r="X81" s="84"/>
      <c r="Y81" s="84"/>
      <c r="Z81" s="84"/>
    </row>
    <row r="82" ht="15.75" customHeight="1">
      <c r="A82" s="84"/>
      <c r="B82" s="84"/>
      <c r="C82" s="84"/>
      <c r="D82" s="84"/>
      <c r="E82" s="84"/>
      <c r="F82" s="84"/>
      <c r="G82" s="84"/>
      <c r="H82" s="84"/>
      <c r="I82" s="84"/>
      <c r="J82" s="84"/>
      <c r="K82" s="84"/>
      <c r="L82" s="84"/>
      <c r="M82" s="84"/>
      <c r="N82" s="84"/>
      <c r="O82" s="84"/>
      <c r="P82" s="84"/>
      <c r="Q82" s="84"/>
      <c r="R82" s="84"/>
      <c r="S82" s="84"/>
      <c r="T82" s="84"/>
      <c r="U82" s="84"/>
      <c r="V82" s="84"/>
      <c r="W82" s="84"/>
      <c r="X82" s="84"/>
      <c r="Y82" s="84"/>
      <c r="Z82" s="84"/>
    </row>
    <row r="83" ht="15.75" customHeight="1">
      <c r="A83" s="84"/>
      <c r="B83" s="84"/>
      <c r="C83" s="84"/>
      <c r="D83" s="84"/>
      <c r="E83" s="84"/>
      <c r="F83" s="84"/>
      <c r="G83" s="84"/>
      <c r="H83" s="84"/>
      <c r="I83" s="84"/>
      <c r="J83" s="84"/>
      <c r="K83" s="84"/>
      <c r="L83" s="84"/>
      <c r="M83" s="84"/>
      <c r="N83" s="84"/>
      <c r="O83" s="84"/>
      <c r="P83" s="84"/>
      <c r="Q83" s="84"/>
      <c r="R83" s="84"/>
      <c r="S83" s="84"/>
      <c r="T83" s="84"/>
      <c r="U83" s="84"/>
      <c r="V83" s="84"/>
      <c r="W83" s="84"/>
      <c r="X83" s="84"/>
      <c r="Y83" s="84"/>
      <c r="Z83" s="84"/>
    </row>
    <row r="84" ht="15.75" customHeight="1">
      <c r="A84" s="84"/>
      <c r="B84" s="84"/>
      <c r="C84" s="84"/>
      <c r="D84" s="84"/>
      <c r="E84" s="84"/>
      <c r="F84" s="84"/>
      <c r="G84" s="84"/>
      <c r="H84" s="84"/>
      <c r="I84" s="84"/>
      <c r="J84" s="84"/>
      <c r="K84" s="84"/>
      <c r="L84" s="84"/>
      <c r="M84" s="84"/>
      <c r="N84" s="84"/>
      <c r="O84" s="84"/>
      <c r="P84" s="84"/>
      <c r="Q84" s="84"/>
      <c r="R84" s="84"/>
      <c r="S84" s="84"/>
      <c r="T84" s="84"/>
      <c r="U84" s="84"/>
      <c r="V84" s="84"/>
      <c r="W84" s="84"/>
      <c r="X84" s="84"/>
      <c r="Y84" s="84"/>
      <c r="Z84" s="84"/>
    </row>
    <row r="85" ht="15.75" customHeight="1">
      <c r="A85" s="84"/>
      <c r="B85" s="84"/>
      <c r="C85" s="84"/>
      <c r="D85" s="84"/>
      <c r="E85" s="84"/>
      <c r="F85" s="84"/>
      <c r="G85" s="84"/>
      <c r="H85" s="84"/>
      <c r="I85" s="84"/>
      <c r="J85" s="84"/>
      <c r="K85" s="84"/>
      <c r="L85" s="84"/>
      <c r="M85" s="84"/>
      <c r="N85" s="84"/>
      <c r="O85" s="84"/>
      <c r="P85" s="84"/>
      <c r="Q85" s="84"/>
      <c r="R85" s="84"/>
      <c r="S85" s="84"/>
      <c r="T85" s="84"/>
      <c r="U85" s="84"/>
      <c r="V85" s="84"/>
      <c r="W85" s="84"/>
      <c r="X85" s="84"/>
      <c r="Y85" s="84"/>
      <c r="Z85" s="84"/>
    </row>
    <row r="86" ht="15.75" customHeight="1">
      <c r="A86" s="84"/>
      <c r="B86" s="84"/>
      <c r="C86" s="84"/>
      <c r="D86" s="84"/>
      <c r="E86" s="84"/>
      <c r="F86" s="84"/>
      <c r="G86" s="84"/>
      <c r="H86" s="84"/>
      <c r="I86" s="84"/>
      <c r="J86" s="84"/>
      <c r="K86" s="84"/>
      <c r="L86" s="84"/>
      <c r="M86" s="84"/>
      <c r="N86" s="84"/>
      <c r="O86" s="84"/>
      <c r="P86" s="84"/>
      <c r="Q86" s="84"/>
      <c r="R86" s="84"/>
      <c r="S86" s="84"/>
      <c r="T86" s="84"/>
      <c r="U86" s="84"/>
      <c r="V86" s="84"/>
      <c r="W86" s="84"/>
      <c r="X86" s="84"/>
      <c r="Y86" s="84"/>
      <c r="Z86" s="84"/>
    </row>
    <row r="87" ht="15.75" customHeight="1">
      <c r="A87" s="84"/>
      <c r="B87" s="84"/>
      <c r="C87" s="84"/>
      <c r="D87" s="84"/>
      <c r="E87" s="84"/>
      <c r="F87" s="84"/>
      <c r="G87" s="84"/>
      <c r="H87" s="84"/>
      <c r="I87" s="84"/>
      <c r="J87" s="84"/>
      <c r="K87" s="84"/>
      <c r="L87" s="84"/>
      <c r="M87" s="84"/>
      <c r="N87" s="84"/>
      <c r="O87" s="84"/>
      <c r="P87" s="84"/>
      <c r="Q87" s="84"/>
      <c r="R87" s="84"/>
      <c r="S87" s="84"/>
      <c r="T87" s="84"/>
      <c r="U87" s="84"/>
      <c r="V87" s="84"/>
      <c r="W87" s="84"/>
      <c r="X87" s="84"/>
      <c r="Y87" s="84"/>
      <c r="Z87" s="84"/>
    </row>
    <row r="88" ht="15.75" customHeight="1">
      <c r="A88" s="84"/>
      <c r="B88" s="84"/>
      <c r="C88" s="84"/>
      <c r="D88" s="84"/>
      <c r="E88" s="84"/>
      <c r="F88" s="84"/>
      <c r="G88" s="84"/>
      <c r="H88" s="84"/>
      <c r="I88" s="84"/>
      <c r="J88" s="84"/>
      <c r="K88" s="84"/>
      <c r="L88" s="84"/>
      <c r="M88" s="84"/>
      <c r="N88" s="84"/>
      <c r="O88" s="84"/>
      <c r="P88" s="84"/>
      <c r="Q88" s="84"/>
      <c r="R88" s="84"/>
      <c r="S88" s="84"/>
      <c r="T88" s="84"/>
      <c r="U88" s="84"/>
      <c r="V88" s="84"/>
      <c r="W88" s="84"/>
      <c r="X88" s="84"/>
      <c r="Y88" s="84"/>
      <c r="Z88" s="84"/>
    </row>
    <row r="89" ht="15.75" customHeight="1">
      <c r="A89" s="84"/>
      <c r="B89" s="84"/>
      <c r="C89" s="84"/>
      <c r="D89" s="84"/>
      <c r="E89" s="84"/>
      <c r="F89" s="84"/>
      <c r="G89" s="84"/>
      <c r="H89" s="84"/>
      <c r="I89" s="84"/>
      <c r="J89" s="84"/>
      <c r="K89" s="84"/>
      <c r="L89" s="84"/>
      <c r="M89" s="84"/>
      <c r="N89" s="84"/>
      <c r="O89" s="84"/>
      <c r="P89" s="84"/>
      <c r="Q89" s="84"/>
      <c r="R89" s="84"/>
      <c r="S89" s="84"/>
      <c r="T89" s="84"/>
      <c r="U89" s="84"/>
      <c r="V89" s="84"/>
      <c r="W89" s="84"/>
      <c r="X89" s="84"/>
      <c r="Y89" s="84"/>
      <c r="Z89" s="84"/>
    </row>
    <row r="90" ht="15.75" customHeight="1">
      <c r="A90" s="84"/>
      <c r="B90" s="84"/>
      <c r="C90" s="84"/>
      <c r="D90" s="84"/>
      <c r="E90" s="84"/>
      <c r="F90" s="84"/>
      <c r="G90" s="84"/>
      <c r="H90" s="84"/>
      <c r="I90" s="84"/>
      <c r="J90" s="84"/>
      <c r="K90" s="84"/>
      <c r="L90" s="84"/>
      <c r="M90" s="84"/>
      <c r="N90" s="84"/>
      <c r="O90" s="84"/>
      <c r="P90" s="84"/>
      <c r="Q90" s="84"/>
      <c r="R90" s="84"/>
      <c r="S90" s="84"/>
      <c r="T90" s="84"/>
      <c r="U90" s="84"/>
      <c r="V90" s="84"/>
      <c r="W90" s="84"/>
      <c r="X90" s="84"/>
      <c r="Y90" s="84"/>
      <c r="Z90" s="84"/>
    </row>
    <row r="91" ht="15.75" customHeight="1">
      <c r="A91" s="84"/>
      <c r="B91" s="84"/>
      <c r="C91" s="84"/>
      <c r="D91" s="84"/>
      <c r="E91" s="84"/>
      <c r="F91" s="84"/>
      <c r="G91" s="84"/>
      <c r="H91" s="84"/>
      <c r="I91" s="84"/>
      <c r="J91" s="84"/>
      <c r="K91" s="84"/>
      <c r="L91" s="84"/>
      <c r="M91" s="84"/>
      <c r="N91" s="84"/>
      <c r="O91" s="84"/>
      <c r="P91" s="84"/>
      <c r="Q91" s="84"/>
      <c r="R91" s="84"/>
      <c r="S91" s="84"/>
      <c r="T91" s="84"/>
      <c r="U91" s="84"/>
      <c r="V91" s="84"/>
      <c r="W91" s="84"/>
      <c r="X91" s="84"/>
      <c r="Y91" s="84"/>
      <c r="Z91" s="84"/>
    </row>
    <row r="92" ht="15.75" customHeight="1">
      <c r="A92" s="84"/>
      <c r="B92" s="84"/>
      <c r="C92" s="84"/>
      <c r="D92" s="84"/>
      <c r="E92" s="84"/>
      <c r="F92" s="84"/>
      <c r="G92" s="84"/>
      <c r="H92" s="84"/>
      <c r="I92" s="84"/>
      <c r="J92" s="84"/>
      <c r="K92" s="84"/>
      <c r="L92" s="84"/>
      <c r="M92" s="84"/>
      <c r="N92" s="84"/>
      <c r="O92" s="84"/>
      <c r="P92" s="84"/>
      <c r="Q92" s="84"/>
      <c r="R92" s="84"/>
      <c r="S92" s="84"/>
      <c r="T92" s="84"/>
      <c r="U92" s="84"/>
      <c r="V92" s="84"/>
      <c r="W92" s="84"/>
      <c r="X92" s="84"/>
      <c r="Y92" s="84"/>
      <c r="Z92" s="84"/>
    </row>
    <row r="93" ht="15.75" customHeight="1">
      <c r="A93" s="84"/>
      <c r="B93" s="84"/>
      <c r="C93" s="84"/>
      <c r="D93" s="84"/>
      <c r="E93" s="84"/>
      <c r="F93" s="84"/>
      <c r="G93" s="84"/>
      <c r="H93" s="84"/>
      <c r="I93" s="84"/>
      <c r="J93" s="84"/>
      <c r="K93" s="84"/>
      <c r="L93" s="84"/>
      <c r="M93" s="84"/>
      <c r="N93" s="84"/>
      <c r="O93" s="84"/>
      <c r="P93" s="84"/>
      <c r="Q93" s="84"/>
      <c r="R93" s="84"/>
      <c r="S93" s="84"/>
      <c r="T93" s="84"/>
      <c r="U93" s="84"/>
      <c r="V93" s="84"/>
      <c r="W93" s="84"/>
      <c r="X93" s="84"/>
      <c r="Y93" s="84"/>
      <c r="Z93" s="84"/>
    </row>
    <row r="94" ht="15.75" customHeight="1">
      <c r="A94" s="84"/>
      <c r="B94" s="84"/>
      <c r="C94" s="84"/>
      <c r="D94" s="84"/>
      <c r="E94" s="84"/>
      <c r="F94" s="84"/>
      <c r="G94" s="84"/>
      <c r="H94" s="84"/>
      <c r="I94" s="84"/>
      <c r="J94" s="84"/>
      <c r="K94" s="84"/>
      <c r="L94" s="84"/>
      <c r="M94" s="84"/>
      <c r="N94" s="84"/>
      <c r="O94" s="84"/>
      <c r="P94" s="84"/>
      <c r="Q94" s="84"/>
      <c r="R94" s="84"/>
      <c r="S94" s="84"/>
      <c r="T94" s="84"/>
      <c r="U94" s="84"/>
      <c r="V94" s="84"/>
      <c r="W94" s="84"/>
      <c r="X94" s="84"/>
      <c r="Y94" s="84"/>
      <c r="Z94" s="84"/>
    </row>
    <row r="95" ht="15.75" customHeight="1">
      <c r="A95" s="84"/>
      <c r="B95" s="84"/>
      <c r="C95" s="84"/>
      <c r="D95" s="84"/>
      <c r="E95" s="84"/>
      <c r="F95" s="84"/>
      <c r="G95" s="84"/>
      <c r="H95" s="84"/>
      <c r="I95" s="84"/>
      <c r="J95" s="84"/>
      <c r="K95" s="84"/>
      <c r="L95" s="84"/>
      <c r="M95" s="84"/>
      <c r="N95" s="84"/>
      <c r="O95" s="84"/>
      <c r="P95" s="84"/>
      <c r="Q95" s="84"/>
      <c r="R95" s="84"/>
      <c r="S95" s="84"/>
      <c r="T95" s="84"/>
      <c r="U95" s="84"/>
      <c r="V95" s="84"/>
      <c r="W95" s="84"/>
      <c r="X95" s="84"/>
      <c r="Y95" s="84"/>
      <c r="Z95" s="84"/>
    </row>
    <row r="96" ht="15.75" customHeight="1">
      <c r="A96" s="84"/>
      <c r="B96" s="84"/>
      <c r="C96" s="84"/>
      <c r="D96" s="84"/>
      <c r="E96" s="84"/>
      <c r="F96" s="84"/>
      <c r="G96" s="84"/>
      <c r="H96" s="84"/>
      <c r="I96" s="84"/>
      <c r="J96" s="84"/>
      <c r="K96" s="84"/>
      <c r="L96" s="84"/>
      <c r="M96" s="84"/>
      <c r="N96" s="84"/>
      <c r="O96" s="84"/>
      <c r="P96" s="84"/>
      <c r="Q96" s="84"/>
      <c r="R96" s="84"/>
      <c r="S96" s="84"/>
      <c r="T96" s="84"/>
      <c r="U96" s="84"/>
      <c r="V96" s="84"/>
      <c r="W96" s="84"/>
      <c r="X96" s="84"/>
      <c r="Y96" s="84"/>
      <c r="Z96" s="84"/>
    </row>
    <row r="97" ht="15.75" customHeight="1">
      <c r="A97" s="84"/>
      <c r="B97" s="84"/>
      <c r="C97" s="84"/>
      <c r="D97" s="84"/>
      <c r="E97" s="84"/>
      <c r="F97" s="84"/>
      <c r="G97" s="84"/>
      <c r="H97" s="84"/>
      <c r="I97" s="84"/>
      <c r="J97" s="84"/>
      <c r="K97" s="84"/>
      <c r="L97" s="84"/>
      <c r="M97" s="84"/>
      <c r="N97" s="84"/>
      <c r="O97" s="84"/>
      <c r="P97" s="84"/>
      <c r="Q97" s="84"/>
      <c r="R97" s="84"/>
      <c r="S97" s="84"/>
      <c r="T97" s="84"/>
      <c r="U97" s="84"/>
      <c r="V97" s="84"/>
      <c r="W97" s="84"/>
      <c r="X97" s="84"/>
      <c r="Y97" s="84"/>
      <c r="Z97" s="84"/>
    </row>
    <row r="98" ht="15.75" customHeight="1">
      <c r="A98" s="84"/>
      <c r="B98" s="84"/>
      <c r="C98" s="84"/>
      <c r="D98" s="84"/>
      <c r="E98" s="84"/>
      <c r="F98" s="84"/>
      <c r="G98" s="84"/>
      <c r="H98" s="84"/>
      <c r="I98" s="84"/>
      <c r="J98" s="84"/>
      <c r="K98" s="84"/>
      <c r="L98" s="84"/>
      <c r="M98" s="84"/>
      <c r="N98" s="84"/>
      <c r="O98" s="84"/>
      <c r="P98" s="84"/>
      <c r="Q98" s="84"/>
      <c r="R98" s="84"/>
      <c r="S98" s="84"/>
      <c r="T98" s="84"/>
      <c r="U98" s="84"/>
      <c r="V98" s="84"/>
      <c r="W98" s="84"/>
      <c r="X98" s="84"/>
      <c r="Y98" s="84"/>
      <c r="Z98" s="84"/>
    </row>
    <row r="99" ht="15.75" customHeight="1">
      <c r="A99" s="84"/>
      <c r="B99" s="84"/>
      <c r="C99" s="84"/>
      <c r="D99" s="84"/>
      <c r="E99" s="84"/>
      <c r="F99" s="84"/>
      <c r="G99" s="84"/>
      <c r="H99" s="84"/>
      <c r="I99" s="84"/>
      <c r="J99" s="84"/>
      <c r="K99" s="84"/>
      <c r="L99" s="84"/>
      <c r="M99" s="84"/>
      <c r="N99" s="84"/>
      <c r="O99" s="84"/>
      <c r="P99" s="84"/>
      <c r="Q99" s="84"/>
      <c r="R99" s="84"/>
      <c r="S99" s="84"/>
      <c r="T99" s="84"/>
      <c r="U99" s="84"/>
      <c r="V99" s="84"/>
      <c r="W99" s="84"/>
      <c r="X99" s="84"/>
      <c r="Y99" s="84"/>
      <c r="Z99" s="84"/>
    </row>
    <row r="100" ht="15.75" customHeight="1">
      <c r="A100" s="84"/>
      <c r="B100" s="84"/>
      <c r="C100" s="84"/>
      <c r="D100" s="84"/>
      <c r="E100" s="84"/>
      <c r="F100" s="84"/>
      <c r="G100" s="84"/>
      <c r="H100" s="84"/>
      <c r="I100" s="84"/>
      <c r="J100" s="84"/>
      <c r="K100" s="84"/>
      <c r="L100" s="84"/>
      <c r="M100" s="84"/>
      <c r="N100" s="84"/>
      <c r="O100" s="84"/>
      <c r="P100" s="84"/>
      <c r="Q100" s="84"/>
      <c r="R100" s="84"/>
      <c r="S100" s="84"/>
      <c r="T100" s="84"/>
      <c r="U100" s="84"/>
      <c r="V100" s="84"/>
      <c r="W100" s="84"/>
      <c r="X100" s="84"/>
      <c r="Y100" s="84"/>
      <c r="Z100" s="84"/>
    </row>
    <row r="101" ht="15.75" customHeight="1">
      <c r="A101" s="84"/>
      <c r="B101" s="84"/>
      <c r="C101" s="84"/>
      <c r="D101" s="84"/>
      <c r="E101" s="84"/>
      <c r="F101" s="84"/>
      <c r="G101" s="84"/>
      <c r="H101" s="84"/>
      <c r="I101" s="84"/>
      <c r="J101" s="84"/>
      <c r="K101" s="84"/>
      <c r="L101" s="84"/>
      <c r="M101" s="84"/>
      <c r="N101" s="84"/>
      <c r="O101" s="84"/>
      <c r="P101" s="84"/>
      <c r="Q101" s="84"/>
      <c r="R101" s="84"/>
      <c r="S101" s="84"/>
      <c r="T101" s="84"/>
      <c r="U101" s="84"/>
      <c r="V101" s="84"/>
      <c r="W101" s="84"/>
      <c r="X101" s="84"/>
      <c r="Y101" s="84"/>
      <c r="Z101" s="84"/>
    </row>
    <row r="102" ht="15.75" customHeight="1">
      <c r="A102" s="84"/>
      <c r="B102" s="84"/>
      <c r="C102" s="84"/>
      <c r="D102" s="84"/>
      <c r="E102" s="84"/>
      <c r="F102" s="84"/>
      <c r="G102" s="84"/>
      <c r="H102" s="84"/>
      <c r="I102" s="84"/>
      <c r="J102" s="84"/>
      <c r="K102" s="84"/>
      <c r="L102" s="84"/>
      <c r="M102" s="84"/>
      <c r="N102" s="84"/>
      <c r="O102" s="84"/>
      <c r="P102" s="84"/>
      <c r="Q102" s="84"/>
      <c r="R102" s="84"/>
      <c r="S102" s="84"/>
      <c r="T102" s="84"/>
      <c r="U102" s="84"/>
      <c r="V102" s="84"/>
      <c r="W102" s="84"/>
      <c r="X102" s="84"/>
      <c r="Y102" s="84"/>
      <c r="Z102" s="84"/>
    </row>
    <row r="103" ht="15.75" customHeight="1">
      <c r="A103" s="84"/>
      <c r="B103" s="84"/>
      <c r="C103" s="84"/>
      <c r="D103" s="84"/>
      <c r="E103" s="84"/>
      <c r="F103" s="84"/>
      <c r="G103" s="84"/>
      <c r="H103" s="84"/>
      <c r="I103" s="84"/>
      <c r="J103" s="84"/>
      <c r="K103" s="84"/>
      <c r="L103" s="84"/>
      <c r="M103" s="84"/>
      <c r="N103" s="84"/>
      <c r="O103" s="84"/>
      <c r="P103" s="84"/>
      <c r="Q103" s="84"/>
      <c r="R103" s="84"/>
      <c r="S103" s="84"/>
      <c r="T103" s="84"/>
      <c r="U103" s="84"/>
      <c r="V103" s="84"/>
      <c r="W103" s="84"/>
      <c r="X103" s="84"/>
      <c r="Y103" s="84"/>
      <c r="Z103" s="84"/>
    </row>
    <row r="104" ht="15.75" customHeight="1">
      <c r="A104" s="84"/>
      <c r="B104" s="84"/>
      <c r="C104" s="84"/>
      <c r="D104" s="84"/>
      <c r="E104" s="84"/>
      <c r="F104" s="84"/>
      <c r="G104" s="84"/>
      <c r="H104" s="84"/>
      <c r="I104" s="84"/>
      <c r="J104" s="84"/>
      <c r="K104" s="84"/>
      <c r="L104" s="84"/>
      <c r="M104" s="84"/>
      <c r="N104" s="84"/>
      <c r="O104" s="84"/>
      <c r="P104" s="84"/>
      <c r="Q104" s="84"/>
      <c r="R104" s="84"/>
      <c r="S104" s="84"/>
      <c r="T104" s="84"/>
      <c r="U104" s="84"/>
      <c r="V104" s="84"/>
      <c r="W104" s="84"/>
      <c r="X104" s="84"/>
      <c r="Y104" s="84"/>
      <c r="Z104" s="84"/>
    </row>
    <row r="105" ht="15.75" customHeight="1">
      <c r="A105" s="84"/>
      <c r="B105" s="84"/>
      <c r="C105" s="84"/>
      <c r="D105" s="84"/>
      <c r="E105" s="84"/>
      <c r="F105" s="84"/>
      <c r="G105" s="84"/>
      <c r="H105" s="84"/>
      <c r="I105" s="84"/>
      <c r="J105" s="84"/>
      <c r="K105" s="84"/>
      <c r="L105" s="84"/>
      <c r="M105" s="84"/>
      <c r="N105" s="84"/>
      <c r="O105" s="84"/>
      <c r="P105" s="84"/>
      <c r="Q105" s="84"/>
      <c r="R105" s="84"/>
      <c r="S105" s="84"/>
      <c r="T105" s="84"/>
      <c r="U105" s="84"/>
      <c r="V105" s="84"/>
      <c r="W105" s="84"/>
      <c r="X105" s="84"/>
      <c r="Y105" s="84"/>
      <c r="Z105" s="84"/>
    </row>
    <row r="106" ht="15.75" customHeight="1">
      <c r="A106" s="84"/>
      <c r="B106" s="84"/>
      <c r="C106" s="84"/>
      <c r="D106" s="84"/>
      <c r="E106" s="84"/>
      <c r="F106" s="84"/>
      <c r="G106" s="84"/>
      <c r="H106" s="84"/>
      <c r="I106" s="84"/>
      <c r="J106" s="84"/>
      <c r="K106" s="84"/>
      <c r="L106" s="84"/>
      <c r="M106" s="84"/>
      <c r="N106" s="84"/>
      <c r="O106" s="84"/>
      <c r="P106" s="84"/>
      <c r="Q106" s="84"/>
      <c r="R106" s="84"/>
      <c r="S106" s="84"/>
      <c r="T106" s="84"/>
      <c r="U106" s="84"/>
      <c r="V106" s="84"/>
      <c r="W106" s="84"/>
      <c r="X106" s="84"/>
      <c r="Y106" s="84"/>
      <c r="Z106" s="84"/>
    </row>
    <row r="107" ht="15.75" customHeight="1">
      <c r="A107" s="84"/>
      <c r="B107" s="84"/>
      <c r="C107" s="84"/>
      <c r="D107" s="84"/>
      <c r="E107" s="84"/>
      <c r="F107" s="84"/>
      <c r="G107" s="84"/>
      <c r="H107" s="84"/>
      <c r="I107" s="84"/>
      <c r="J107" s="84"/>
      <c r="K107" s="84"/>
      <c r="L107" s="84"/>
      <c r="M107" s="84"/>
      <c r="N107" s="84"/>
      <c r="O107" s="84"/>
      <c r="P107" s="84"/>
      <c r="Q107" s="84"/>
      <c r="R107" s="84"/>
      <c r="S107" s="84"/>
      <c r="T107" s="84"/>
      <c r="U107" s="84"/>
      <c r="V107" s="84"/>
      <c r="W107" s="84"/>
      <c r="X107" s="84"/>
      <c r="Y107" s="84"/>
      <c r="Z107" s="84"/>
    </row>
    <row r="108" ht="15.75" customHeight="1">
      <c r="A108" s="84"/>
      <c r="B108" s="84"/>
      <c r="C108" s="84"/>
      <c r="D108" s="84"/>
      <c r="E108" s="84"/>
      <c r="F108" s="84"/>
      <c r="G108" s="84"/>
      <c r="H108" s="84"/>
      <c r="I108" s="84"/>
      <c r="J108" s="84"/>
      <c r="K108" s="84"/>
      <c r="L108" s="84"/>
      <c r="M108" s="84"/>
      <c r="N108" s="84"/>
      <c r="O108" s="84"/>
      <c r="P108" s="84"/>
      <c r="Q108" s="84"/>
      <c r="R108" s="84"/>
      <c r="S108" s="84"/>
      <c r="T108" s="84"/>
      <c r="U108" s="84"/>
      <c r="V108" s="84"/>
      <c r="W108" s="84"/>
      <c r="X108" s="84"/>
      <c r="Y108" s="84"/>
      <c r="Z108" s="84"/>
    </row>
    <row r="109" ht="15.75" customHeight="1">
      <c r="A109" s="84"/>
      <c r="B109" s="84"/>
      <c r="C109" s="84"/>
      <c r="D109" s="84"/>
      <c r="E109" s="84"/>
      <c r="F109" s="84"/>
      <c r="G109" s="84"/>
      <c r="H109" s="84"/>
      <c r="I109" s="84"/>
      <c r="J109" s="84"/>
      <c r="K109" s="84"/>
      <c r="L109" s="84"/>
      <c r="M109" s="84"/>
      <c r="N109" s="84"/>
      <c r="O109" s="84"/>
      <c r="P109" s="84"/>
      <c r="Q109" s="84"/>
      <c r="R109" s="84"/>
      <c r="S109" s="84"/>
      <c r="T109" s="84"/>
      <c r="U109" s="84"/>
      <c r="V109" s="84"/>
      <c r="W109" s="84"/>
      <c r="X109" s="84"/>
      <c r="Y109" s="84"/>
      <c r="Z109" s="84"/>
    </row>
    <row r="110" ht="15.75" customHeight="1">
      <c r="A110" s="84"/>
      <c r="B110" s="84"/>
      <c r="C110" s="84"/>
      <c r="D110" s="84"/>
      <c r="E110" s="84"/>
      <c r="F110" s="84"/>
      <c r="G110" s="84"/>
      <c r="H110" s="84"/>
      <c r="I110" s="84"/>
      <c r="J110" s="84"/>
      <c r="K110" s="84"/>
      <c r="L110" s="84"/>
      <c r="M110" s="84"/>
      <c r="N110" s="84"/>
      <c r="O110" s="84"/>
      <c r="P110" s="84"/>
      <c r="Q110" s="84"/>
      <c r="R110" s="84"/>
      <c r="S110" s="84"/>
      <c r="T110" s="84"/>
      <c r="U110" s="84"/>
      <c r="V110" s="84"/>
      <c r="W110" s="84"/>
      <c r="X110" s="84"/>
      <c r="Y110" s="84"/>
      <c r="Z110" s="84"/>
    </row>
    <row r="111" ht="15.75" customHeight="1">
      <c r="A111" s="84"/>
      <c r="B111" s="84"/>
      <c r="C111" s="84"/>
      <c r="D111" s="84"/>
      <c r="E111" s="84"/>
      <c r="F111" s="84"/>
      <c r="G111" s="84"/>
      <c r="H111" s="84"/>
      <c r="I111" s="84"/>
      <c r="J111" s="84"/>
      <c r="K111" s="84"/>
      <c r="L111" s="84"/>
      <c r="M111" s="84"/>
      <c r="N111" s="84"/>
      <c r="O111" s="84"/>
      <c r="P111" s="84"/>
      <c r="Q111" s="84"/>
      <c r="R111" s="84"/>
      <c r="S111" s="84"/>
      <c r="T111" s="84"/>
      <c r="U111" s="84"/>
      <c r="V111" s="84"/>
      <c r="W111" s="84"/>
      <c r="X111" s="84"/>
      <c r="Y111" s="84"/>
      <c r="Z111" s="84"/>
    </row>
    <row r="112" ht="15.75" customHeight="1">
      <c r="A112" s="84"/>
      <c r="B112" s="84"/>
      <c r="C112" s="84"/>
      <c r="D112" s="84"/>
      <c r="E112" s="84"/>
      <c r="F112" s="84"/>
      <c r="G112" s="84"/>
      <c r="H112" s="84"/>
      <c r="I112" s="84"/>
      <c r="J112" s="84"/>
      <c r="K112" s="84"/>
      <c r="L112" s="84"/>
      <c r="M112" s="84"/>
      <c r="N112" s="84"/>
      <c r="O112" s="84"/>
      <c r="P112" s="84"/>
      <c r="Q112" s="84"/>
      <c r="R112" s="84"/>
      <c r="S112" s="84"/>
      <c r="T112" s="84"/>
      <c r="U112" s="84"/>
      <c r="V112" s="84"/>
      <c r="W112" s="84"/>
      <c r="X112" s="84"/>
      <c r="Y112" s="84"/>
      <c r="Z112" s="84"/>
    </row>
    <row r="113" ht="15.75" customHeight="1">
      <c r="A113" s="84"/>
      <c r="B113" s="84"/>
      <c r="C113" s="84"/>
      <c r="D113" s="84"/>
      <c r="E113" s="84"/>
      <c r="F113" s="84"/>
      <c r="G113" s="84"/>
      <c r="H113" s="84"/>
      <c r="I113" s="84"/>
      <c r="J113" s="84"/>
      <c r="K113" s="84"/>
      <c r="L113" s="84"/>
      <c r="M113" s="84"/>
      <c r="N113" s="84"/>
      <c r="O113" s="84"/>
      <c r="P113" s="84"/>
      <c r="Q113" s="84"/>
      <c r="R113" s="84"/>
      <c r="S113" s="84"/>
      <c r="T113" s="84"/>
      <c r="U113" s="84"/>
      <c r="V113" s="84"/>
      <c r="W113" s="84"/>
      <c r="X113" s="84"/>
      <c r="Y113" s="84"/>
      <c r="Z113" s="84"/>
    </row>
    <row r="114" ht="15.75" customHeight="1">
      <c r="A114" s="84"/>
      <c r="B114" s="84"/>
      <c r="C114" s="84"/>
      <c r="D114" s="84"/>
      <c r="E114" s="84"/>
      <c r="F114" s="84"/>
      <c r="G114" s="84"/>
      <c r="H114" s="84"/>
      <c r="I114" s="84"/>
      <c r="J114" s="84"/>
      <c r="K114" s="84"/>
      <c r="L114" s="84"/>
      <c r="M114" s="84"/>
      <c r="N114" s="84"/>
      <c r="O114" s="84"/>
      <c r="P114" s="84"/>
      <c r="Q114" s="84"/>
      <c r="R114" s="84"/>
      <c r="S114" s="84"/>
      <c r="T114" s="84"/>
      <c r="U114" s="84"/>
      <c r="V114" s="84"/>
      <c r="W114" s="84"/>
      <c r="X114" s="84"/>
      <c r="Y114" s="84"/>
      <c r="Z114" s="84"/>
    </row>
    <row r="115" ht="15.75" customHeight="1">
      <c r="A115" s="84"/>
      <c r="B115" s="84"/>
      <c r="C115" s="84"/>
      <c r="D115" s="84"/>
      <c r="E115" s="84"/>
      <c r="F115" s="84"/>
      <c r="G115" s="84"/>
      <c r="H115" s="84"/>
      <c r="I115" s="84"/>
      <c r="J115" s="84"/>
      <c r="K115" s="84"/>
      <c r="L115" s="84"/>
      <c r="M115" s="84"/>
      <c r="N115" s="84"/>
      <c r="O115" s="84"/>
      <c r="P115" s="84"/>
      <c r="Q115" s="84"/>
      <c r="R115" s="84"/>
      <c r="S115" s="84"/>
      <c r="T115" s="84"/>
      <c r="U115" s="84"/>
      <c r="V115" s="84"/>
      <c r="W115" s="84"/>
      <c r="X115" s="84"/>
      <c r="Y115" s="84"/>
      <c r="Z115" s="84"/>
    </row>
    <row r="116" ht="15.75" customHeight="1">
      <c r="A116" s="84"/>
      <c r="B116" s="84"/>
      <c r="C116" s="84"/>
      <c r="D116" s="84"/>
      <c r="E116" s="84"/>
      <c r="F116" s="84"/>
      <c r="G116" s="84"/>
      <c r="H116" s="84"/>
      <c r="I116" s="84"/>
      <c r="J116" s="84"/>
      <c r="K116" s="84"/>
      <c r="L116" s="84"/>
      <c r="M116" s="84"/>
      <c r="N116" s="84"/>
      <c r="O116" s="84"/>
      <c r="P116" s="84"/>
      <c r="Q116" s="84"/>
      <c r="R116" s="84"/>
      <c r="S116" s="84"/>
      <c r="T116" s="84"/>
      <c r="U116" s="84"/>
      <c r="V116" s="84"/>
      <c r="W116" s="84"/>
      <c r="X116" s="84"/>
      <c r="Y116" s="84"/>
      <c r="Z116" s="84"/>
    </row>
    <row r="117" ht="15.75" customHeight="1">
      <c r="A117" s="84"/>
      <c r="B117" s="84"/>
      <c r="C117" s="84"/>
      <c r="D117" s="84"/>
      <c r="E117" s="84"/>
      <c r="F117" s="84"/>
      <c r="G117" s="84"/>
      <c r="H117" s="84"/>
      <c r="I117" s="84"/>
      <c r="J117" s="84"/>
      <c r="K117" s="84"/>
      <c r="L117" s="84"/>
      <c r="M117" s="84"/>
      <c r="N117" s="84"/>
      <c r="O117" s="84"/>
      <c r="P117" s="84"/>
      <c r="Q117" s="84"/>
      <c r="R117" s="84"/>
      <c r="S117" s="84"/>
      <c r="T117" s="84"/>
      <c r="U117" s="84"/>
      <c r="V117" s="84"/>
      <c r="W117" s="84"/>
      <c r="X117" s="84"/>
      <c r="Y117" s="84"/>
      <c r="Z117" s="84"/>
    </row>
    <row r="118" ht="15.75" customHeight="1">
      <c r="A118" s="84"/>
      <c r="B118" s="84"/>
      <c r="C118" s="84"/>
      <c r="D118" s="84"/>
      <c r="E118" s="84"/>
      <c r="F118" s="84"/>
      <c r="G118" s="84"/>
      <c r="H118" s="84"/>
      <c r="I118" s="84"/>
      <c r="J118" s="84"/>
      <c r="K118" s="84"/>
      <c r="L118" s="84"/>
      <c r="M118" s="84"/>
      <c r="N118" s="84"/>
      <c r="O118" s="84"/>
      <c r="P118" s="84"/>
      <c r="Q118" s="84"/>
      <c r="R118" s="84"/>
      <c r="S118" s="84"/>
      <c r="T118" s="84"/>
      <c r="U118" s="84"/>
      <c r="V118" s="84"/>
      <c r="W118" s="84"/>
      <c r="X118" s="84"/>
      <c r="Y118" s="84"/>
      <c r="Z118" s="84"/>
    </row>
    <row r="119" ht="15.75" customHeight="1">
      <c r="A119" s="84"/>
      <c r="B119" s="84"/>
      <c r="C119" s="84"/>
      <c r="D119" s="84"/>
      <c r="E119" s="84"/>
      <c r="F119" s="84"/>
      <c r="G119" s="84"/>
      <c r="H119" s="84"/>
      <c r="I119" s="84"/>
      <c r="J119" s="84"/>
      <c r="K119" s="84"/>
      <c r="L119" s="84"/>
      <c r="M119" s="84"/>
      <c r="N119" s="84"/>
      <c r="O119" s="84"/>
      <c r="P119" s="84"/>
      <c r="Q119" s="84"/>
      <c r="R119" s="84"/>
      <c r="S119" s="84"/>
      <c r="T119" s="84"/>
      <c r="U119" s="84"/>
      <c r="V119" s="84"/>
      <c r="W119" s="84"/>
      <c r="X119" s="84"/>
      <c r="Y119" s="84"/>
      <c r="Z119" s="84"/>
    </row>
    <row r="120" ht="15.75" customHeight="1">
      <c r="A120" s="84"/>
      <c r="B120" s="84"/>
      <c r="C120" s="84"/>
      <c r="D120" s="84"/>
      <c r="E120" s="84"/>
      <c r="F120" s="84"/>
      <c r="G120" s="84"/>
      <c r="H120" s="84"/>
      <c r="I120" s="84"/>
      <c r="J120" s="84"/>
      <c r="K120" s="84"/>
      <c r="L120" s="84"/>
      <c r="M120" s="84"/>
      <c r="N120" s="84"/>
      <c r="O120" s="84"/>
      <c r="P120" s="84"/>
      <c r="Q120" s="84"/>
      <c r="R120" s="84"/>
      <c r="S120" s="84"/>
      <c r="T120" s="84"/>
      <c r="U120" s="84"/>
      <c r="V120" s="84"/>
      <c r="W120" s="84"/>
      <c r="X120" s="84"/>
      <c r="Y120" s="84"/>
      <c r="Z120" s="84"/>
    </row>
    <row r="121" ht="15.75" customHeight="1">
      <c r="A121" s="84"/>
      <c r="B121" s="84"/>
      <c r="C121" s="84"/>
      <c r="D121" s="84"/>
      <c r="E121" s="84"/>
      <c r="F121" s="84"/>
      <c r="G121" s="84"/>
      <c r="H121" s="84"/>
      <c r="I121" s="84"/>
      <c r="J121" s="84"/>
      <c r="K121" s="84"/>
      <c r="L121" s="84"/>
      <c r="M121" s="84"/>
      <c r="N121" s="84"/>
      <c r="O121" s="84"/>
      <c r="P121" s="84"/>
      <c r="Q121" s="84"/>
      <c r="R121" s="84"/>
      <c r="S121" s="84"/>
      <c r="T121" s="84"/>
      <c r="U121" s="84"/>
      <c r="V121" s="84"/>
      <c r="W121" s="84"/>
      <c r="X121" s="84"/>
      <c r="Y121" s="84"/>
      <c r="Z121" s="84"/>
    </row>
    <row r="122" ht="15.75" customHeight="1">
      <c r="A122" s="84"/>
      <c r="B122" s="84"/>
      <c r="C122" s="84"/>
      <c r="D122" s="84"/>
      <c r="E122" s="84"/>
      <c r="F122" s="84"/>
      <c r="G122" s="84"/>
      <c r="H122" s="84"/>
      <c r="I122" s="84"/>
      <c r="J122" s="84"/>
      <c r="K122" s="84"/>
      <c r="L122" s="84"/>
      <c r="M122" s="84"/>
      <c r="N122" s="84"/>
      <c r="O122" s="84"/>
      <c r="P122" s="84"/>
      <c r="Q122" s="84"/>
      <c r="R122" s="84"/>
      <c r="S122" s="84"/>
      <c r="T122" s="84"/>
      <c r="U122" s="84"/>
      <c r="V122" s="84"/>
      <c r="W122" s="84"/>
      <c r="X122" s="84"/>
      <c r="Y122" s="84"/>
      <c r="Z122" s="84"/>
    </row>
    <row r="123" ht="15.75" customHeight="1">
      <c r="A123" s="84"/>
      <c r="B123" s="84"/>
      <c r="C123" s="84"/>
      <c r="D123" s="84"/>
      <c r="E123" s="84"/>
      <c r="F123" s="84"/>
      <c r="G123" s="84"/>
      <c r="H123" s="84"/>
      <c r="I123" s="84"/>
      <c r="J123" s="84"/>
      <c r="K123" s="84"/>
      <c r="L123" s="84"/>
      <c r="M123" s="84"/>
      <c r="N123" s="84"/>
      <c r="O123" s="84"/>
      <c r="P123" s="84"/>
      <c r="Q123" s="84"/>
      <c r="R123" s="84"/>
      <c r="S123" s="84"/>
      <c r="T123" s="84"/>
      <c r="U123" s="84"/>
      <c r="V123" s="84"/>
      <c r="W123" s="84"/>
      <c r="X123" s="84"/>
      <c r="Y123" s="84"/>
      <c r="Z123" s="84"/>
    </row>
    <row r="124" ht="15.75" customHeight="1">
      <c r="A124" s="84"/>
      <c r="B124" s="84"/>
      <c r="C124" s="84"/>
      <c r="D124" s="84"/>
      <c r="E124" s="84"/>
      <c r="F124" s="84"/>
      <c r="G124" s="84"/>
      <c r="H124" s="84"/>
      <c r="I124" s="84"/>
      <c r="J124" s="84"/>
      <c r="K124" s="84"/>
      <c r="L124" s="84"/>
      <c r="M124" s="84"/>
      <c r="N124" s="84"/>
      <c r="O124" s="84"/>
      <c r="P124" s="84"/>
      <c r="Q124" s="84"/>
      <c r="R124" s="84"/>
      <c r="S124" s="84"/>
      <c r="T124" s="84"/>
      <c r="U124" s="84"/>
      <c r="V124" s="84"/>
      <c r="W124" s="84"/>
      <c r="X124" s="84"/>
      <c r="Y124" s="84"/>
      <c r="Z124" s="84"/>
    </row>
    <row r="125" ht="15.75" customHeight="1">
      <c r="A125" s="84"/>
      <c r="B125" s="84"/>
      <c r="C125" s="84"/>
      <c r="D125" s="84"/>
      <c r="E125" s="84"/>
      <c r="F125" s="84"/>
      <c r="G125" s="84"/>
      <c r="H125" s="84"/>
      <c r="I125" s="84"/>
      <c r="J125" s="84"/>
      <c r="K125" s="84"/>
      <c r="L125" s="84"/>
      <c r="M125" s="84"/>
      <c r="N125" s="84"/>
      <c r="O125" s="84"/>
      <c r="P125" s="84"/>
      <c r="Q125" s="84"/>
      <c r="R125" s="84"/>
      <c r="S125" s="84"/>
      <c r="T125" s="84"/>
      <c r="U125" s="84"/>
      <c r="V125" s="84"/>
      <c r="W125" s="84"/>
      <c r="X125" s="84"/>
      <c r="Y125" s="84"/>
      <c r="Z125" s="84"/>
    </row>
    <row r="126" ht="15.75" customHeight="1">
      <c r="A126" s="84"/>
      <c r="B126" s="84"/>
      <c r="C126" s="84"/>
      <c r="D126" s="84"/>
      <c r="E126" s="84"/>
      <c r="F126" s="84"/>
      <c r="G126" s="84"/>
      <c r="H126" s="84"/>
      <c r="I126" s="84"/>
      <c r="J126" s="84"/>
      <c r="K126" s="84"/>
      <c r="L126" s="84"/>
      <c r="M126" s="84"/>
      <c r="N126" s="84"/>
      <c r="O126" s="84"/>
      <c r="P126" s="84"/>
      <c r="Q126" s="84"/>
      <c r="R126" s="84"/>
      <c r="S126" s="84"/>
      <c r="T126" s="84"/>
      <c r="U126" s="84"/>
      <c r="V126" s="84"/>
      <c r="W126" s="84"/>
      <c r="X126" s="84"/>
      <c r="Y126" s="84"/>
      <c r="Z126" s="84"/>
    </row>
    <row r="127" ht="15.75" customHeight="1">
      <c r="A127" s="84"/>
      <c r="B127" s="84"/>
      <c r="C127" s="84"/>
      <c r="D127" s="84"/>
      <c r="E127" s="84"/>
      <c r="F127" s="84"/>
      <c r="G127" s="84"/>
      <c r="H127" s="84"/>
      <c r="I127" s="84"/>
      <c r="J127" s="84"/>
      <c r="K127" s="84"/>
      <c r="L127" s="84"/>
      <c r="M127" s="84"/>
      <c r="N127" s="84"/>
      <c r="O127" s="84"/>
      <c r="P127" s="84"/>
      <c r="Q127" s="84"/>
      <c r="R127" s="84"/>
      <c r="S127" s="84"/>
      <c r="T127" s="84"/>
      <c r="U127" s="84"/>
      <c r="V127" s="84"/>
      <c r="W127" s="84"/>
      <c r="X127" s="84"/>
      <c r="Y127" s="84"/>
      <c r="Z127" s="84"/>
    </row>
    <row r="128" ht="15.75" customHeight="1">
      <c r="A128" s="84"/>
      <c r="B128" s="84"/>
      <c r="C128" s="84"/>
      <c r="D128" s="84"/>
      <c r="E128" s="84"/>
      <c r="F128" s="84"/>
      <c r="G128" s="84"/>
      <c r="H128" s="84"/>
      <c r="I128" s="84"/>
      <c r="J128" s="84"/>
      <c r="K128" s="84"/>
      <c r="L128" s="84"/>
      <c r="M128" s="84"/>
      <c r="N128" s="84"/>
      <c r="O128" s="84"/>
      <c r="P128" s="84"/>
      <c r="Q128" s="84"/>
      <c r="R128" s="84"/>
      <c r="S128" s="84"/>
      <c r="T128" s="84"/>
      <c r="U128" s="84"/>
      <c r="V128" s="84"/>
      <c r="W128" s="84"/>
      <c r="X128" s="84"/>
      <c r="Y128" s="84"/>
      <c r="Z128" s="84"/>
    </row>
    <row r="129" ht="15.75" customHeight="1">
      <c r="A129" s="84"/>
      <c r="B129" s="84"/>
      <c r="C129" s="84"/>
      <c r="D129" s="84"/>
      <c r="E129" s="84"/>
      <c r="F129" s="84"/>
      <c r="G129" s="84"/>
      <c r="H129" s="84"/>
      <c r="I129" s="84"/>
      <c r="J129" s="84"/>
      <c r="K129" s="84"/>
      <c r="L129" s="84"/>
      <c r="M129" s="84"/>
      <c r="N129" s="84"/>
      <c r="O129" s="84"/>
      <c r="P129" s="84"/>
      <c r="Q129" s="84"/>
      <c r="R129" s="84"/>
      <c r="S129" s="84"/>
      <c r="T129" s="84"/>
      <c r="U129" s="84"/>
      <c r="V129" s="84"/>
      <c r="W129" s="84"/>
      <c r="X129" s="84"/>
      <c r="Y129" s="84"/>
      <c r="Z129" s="84"/>
    </row>
    <row r="130" ht="15.75" customHeight="1">
      <c r="A130" s="84"/>
      <c r="B130" s="84"/>
      <c r="C130" s="84"/>
      <c r="D130" s="84"/>
      <c r="E130" s="84"/>
      <c r="F130" s="84"/>
      <c r="G130" s="84"/>
      <c r="H130" s="84"/>
      <c r="I130" s="84"/>
      <c r="J130" s="84"/>
      <c r="K130" s="84"/>
      <c r="L130" s="84"/>
      <c r="M130" s="84"/>
      <c r="N130" s="84"/>
      <c r="O130" s="84"/>
      <c r="P130" s="84"/>
      <c r="Q130" s="84"/>
      <c r="R130" s="84"/>
      <c r="S130" s="84"/>
      <c r="T130" s="84"/>
      <c r="U130" s="84"/>
      <c r="V130" s="84"/>
      <c r="W130" s="84"/>
      <c r="X130" s="84"/>
      <c r="Y130" s="84"/>
      <c r="Z130" s="84"/>
    </row>
    <row r="131" ht="15.75" customHeight="1">
      <c r="A131" s="84"/>
      <c r="B131" s="84"/>
      <c r="C131" s="84"/>
      <c r="D131" s="84"/>
      <c r="E131" s="84"/>
      <c r="F131" s="84"/>
      <c r="G131" s="84"/>
      <c r="H131" s="84"/>
      <c r="I131" s="84"/>
      <c r="J131" s="84"/>
      <c r="K131" s="84"/>
      <c r="L131" s="84"/>
      <c r="M131" s="84"/>
      <c r="N131" s="84"/>
      <c r="O131" s="84"/>
      <c r="P131" s="84"/>
      <c r="Q131" s="84"/>
      <c r="R131" s="84"/>
      <c r="S131" s="84"/>
      <c r="T131" s="84"/>
      <c r="U131" s="84"/>
      <c r="V131" s="84"/>
      <c r="W131" s="84"/>
      <c r="X131" s="84"/>
      <c r="Y131" s="84"/>
      <c r="Z131" s="84"/>
    </row>
    <row r="132" ht="15.75" customHeight="1">
      <c r="A132" s="84"/>
      <c r="B132" s="84"/>
      <c r="C132" s="84"/>
      <c r="D132" s="84"/>
      <c r="E132" s="84"/>
      <c r="F132" s="84"/>
      <c r="G132" s="84"/>
      <c r="H132" s="84"/>
      <c r="I132" s="84"/>
      <c r="J132" s="84"/>
      <c r="K132" s="84"/>
      <c r="L132" s="84"/>
      <c r="M132" s="84"/>
      <c r="N132" s="84"/>
      <c r="O132" s="84"/>
      <c r="P132" s="84"/>
      <c r="Q132" s="84"/>
      <c r="R132" s="84"/>
      <c r="S132" s="84"/>
      <c r="T132" s="84"/>
      <c r="U132" s="84"/>
      <c r="V132" s="84"/>
      <c r="W132" s="84"/>
      <c r="X132" s="84"/>
      <c r="Y132" s="84"/>
      <c r="Z132" s="84"/>
    </row>
    <row r="133" ht="15.75" customHeight="1">
      <c r="A133" s="84"/>
      <c r="B133" s="84"/>
      <c r="C133" s="84"/>
      <c r="D133" s="84"/>
      <c r="E133" s="84"/>
      <c r="F133" s="84"/>
      <c r="G133" s="84"/>
      <c r="H133" s="84"/>
      <c r="I133" s="84"/>
      <c r="J133" s="84"/>
      <c r="K133" s="84"/>
      <c r="L133" s="84"/>
      <c r="M133" s="84"/>
      <c r="N133" s="84"/>
      <c r="O133" s="84"/>
      <c r="P133" s="84"/>
      <c r="Q133" s="84"/>
      <c r="R133" s="84"/>
      <c r="S133" s="84"/>
      <c r="T133" s="84"/>
      <c r="U133" s="84"/>
      <c r="V133" s="84"/>
      <c r="W133" s="84"/>
      <c r="X133" s="84"/>
      <c r="Y133" s="84"/>
      <c r="Z133" s="84"/>
    </row>
    <row r="134" ht="15.75" customHeight="1">
      <c r="A134" s="84"/>
      <c r="B134" s="84"/>
      <c r="C134" s="84"/>
      <c r="D134" s="84"/>
      <c r="E134" s="84"/>
      <c r="F134" s="84"/>
      <c r="G134" s="84"/>
      <c r="H134" s="84"/>
      <c r="I134" s="84"/>
      <c r="J134" s="84"/>
      <c r="K134" s="84"/>
      <c r="L134" s="84"/>
      <c r="M134" s="84"/>
      <c r="N134" s="84"/>
      <c r="O134" s="84"/>
      <c r="P134" s="84"/>
      <c r="Q134" s="84"/>
      <c r="R134" s="84"/>
      <c r="S134" s="84"/>
      <c r="T134" s="84"/>
      <c r="U134" s="84"/>
      <c r="V134" s="84"/>
      <c r="W134" s="84"/>
      <c r="X134" s="84"/>
      <c r="Y134" s="84"/>
      <c r="Z134" s="84"/>
    </row>
    <row r="135" ht="15.75" customHeight="1">
      <c r="A135" s="84"/>
      <c r="B135" s="84"/>
      <c r="C135" s="84"/>
      <c r="D135" s="84"/>
      <c r="E135" s="84"/>
      <c r="F135" s="84"/>
      <c r="G135" s="84"/>
      <c r="H135" s="84"/>
      <c r="I135" s="84"/>
      <c r="J135" s="84"/>
      <c r="K135" s="84"/>
      <c r="L135" s="84"/>
      <c r="M135" s="84"/>
      <c r="N135" s="84"/>
      <c r="O135" s="84"/>
      <c r="P135" s="84"/>
      <c r="Q135" s="84"/>
      <c r="R135" s="84"/>
      <c r="S135" s="84"/>
      <c r="T135" s="84"/>
      <c r="U135" s="84"/>
      <c r="V135" s="84"/>
      <c r="W135" s="84"/>
      <c r="X135" s="84"/>
      <c r="Y135" s="84"/>
      <c r="Z135" s="84"/>
    </row>
    <row r="136" ht="15.75" customHeight="1">
      <c r="A136" s="84"/>
      <c r="B136" s="84"/>
      <c r="C136" s="84"/>
      <c r="D136" s="84"/>
      <c r="E136" s="84"/>
      <c r="F136" s="84"/>
      <c r="G136" s="84"/>
      <c r="H136" s="84"/>
      <c r="I136" s="84"/>
      <c r="J136" s="84"/>
      <c r="K136" s="84"/>
      <c r="L136" s="84"/>
      <c r="M136" s="84"/>
      <c r="N136" s="84"/>
      <c r="O136" s="84"/>
      <c r="P136" s="84"/>
      <c r="Q136" s="84"/>
      <c r="R136" s="84"/>
      <c r="S136" s="84"/>
      <c r="T136" s="84"/>
      <c r="U136" s="84"/>
      <c r="V136" s="84"/>
      <c r="W136" s="84"/>
      <c r="X136" s="84"/>
      <c r="Y136" s="84"/>
      <c r="Z136" s="84"/>
    </row>
    <row r="137" ht="15.75" customHeight="1">
      <c r="A137" s="84"/>
      <c r="B137" s="84"/>
      <c r="C137" s="84"/>
      <c r="D137" s="84"/>
      <c r="E137" s="84"/>
      <c r="F137" s="84"/>
      <c r="G137" s="84"/>
      <c r="H137" s="84"/>
      <c r="I137" s="84"/>
      <c r="J137" s="84"/>
      <c r="K137" s="84"/>
      <c r="L137" s="84"/>
      <c r="M137" s="84"/>
      <c r="N137" s="84"/>
      <c r="O137" s="84"/>
      <c r="P137" s="84"/>
      <c r="Q137" s="84"/>
      <c r="R137" s="84"/>
      <c r="S137" s="84"/>
      <c r="T137" s="84"/>
      <c r="U137" s="84"/>
      <c r="V137" s="84"/>
      <c r="W137" s="84"/>
      <c r="X137" s="84"/>
      <c r="Y137" s="84"/>
      <c r="Z137" s="84"/>
    </row>
    <row r="138" ht="15.75" customHeight="1">
      <c r="A138" s="84"/>
      <c r="B138" s="84"/>
      <c r="C138" s="84"/>
      <c r="D138" s="84"/>
      <c r="E138" s="84"/>
      <c r="F138" s="84"/>
      <c r="G138" s="84"/>
      <c r="H138" s="84"/>
      <c r="I138" s="84"/>
      <c r="J138" s="84"/>
      <c r="K138" s="84"/>
      <c r="L138" s="84"/>
      <c r="M138" s="84"/>
      <c r="N138" s="84"/>
      <c r="O138" s="84"/>
      <c r="P138" s="84"/>
      <c r="Q138" s="84"/>
      <c r="R138" s="84"/>
      <c r="S138" s="84"/>
      <c r="T138" s="84"/>
      <c r="U138" s="84"/>
      <c r="V138" s="84"/>
      <c r="W138" s="84"/>
      <c r="X138" s="84"/>
      <c r="Y138" s="84"/>
      <c r="Z138" s="84"/>
    </row>
    <row r="139" ht="15.75" customHeight="1">
      <c r="A139" s="84"/>
      <c r="B139" s="84"/>
      <c r="C139" s="84"/>
      <c r="D139" s="84"/>
      <c r="E139" s="84"/>
      <c r="F139" s="84"/>
      <c r="G139" s="84"/>
      <c r="H139" s="84"/>
      <c r="I139" s="84"/>
      <c r="J139" s="84"/>
      <c r="K139" s="84"/>
      <c r="L139" s="84"/>
      <c r="M139" s="84"/>
      <c r="N139" s="84"/>
      <c r="O139" s="84"/>
      <c r="P139" s="84"/>
      <c r="Q139" s="84"/>
      <c r="R139" s="84"/>
      <c r="S139" s="84"/>
      <c r="T139" s="84"/>
      <c r="U139" s="84"/>
      <c r="V139" s="84"/>
      <c r="W139" s="84"/>
      <c r="X139" s="84"/>
      <c r="Y139" s="84"/>
      <c r="Z139" s="84"/>
    </row>
    <row r="140" ht="15.75" customHeight="1">
      <c r="A140" s="84"/>
      <c r="B140" s="84"/>
      <c r="C140" s="84"/>
      <c r="D140" s="84"/>
      <c r="E140" s="84"/>
      <c r="F140" s="84"/>
      <c r="G140" s="84"/>
      <c r="H140" s="84"/>
      <c r="I140" s="84"/>
      <c r="J140" s="84"/>
      <c r="K140" s="84"/>
      <c r="L140" s="84"/>
      <c r="M140" s="84"/>
      <c r="N140" s="84"/>
      <c r="O140" s="84"/>
      <c r="P140" s="84"/>
      <c r="Q140" s="84"/>
      <c r="R140" s="84"/>
      <c r="S140" s="84"/>
      <c r="T140" s="84"/>
      <c r="U140" s="84"/>
      <c r="V140" s="84"/>
      <c r="W140" s="84"/>
      <c r="X140" s="84"/>
      <c r="Y140" s="84"/>
      <c r="Z140" s="84"/>
    </row>
    <row r="141" ht="15.75" customHeight="1">
      <c r="A141" s="84"/>
      <c r="B141" s="84"/>
      <c r="C141" s="84"/>
      <c r="D141" s="84"/>
      <c r="E141" s="84"/>
      <c r="F141" s="84"/>
      <c r="G141" s="84"/>
      <c r="H141" s="84"/>
      <c r="I141" s="84"/>
      <c r="J141" s="84"/>
      <c r="K141" s="84"/>
      <c r="L141" s="84"/>
      <c r="M141" s="84"/>
      <c r="N141" s="84"/>
      <c r="O141" s="84"/>
      <c r="P141" s="84"/>
      <c r="Q141" s="84"/>
      <c r="R141" s="84"/>
      <c r="S141" s="84"/>
      <c r="T141" s="84"/>
      <c r="U141" s="84"/>
      <c r="V141" s="84"/>
      <c r="W141" s="84"/>
      <c r="X141" s="84"/>
      <c r="Y141" s="84"/>
      <c r="Z141" s="84"/>
    </row>
    <row r="142" ht="15.75" customHeight="1">
      <c r="A142" s="84"/>
      <c r="B142" s="84"/>
      <c r="C142" s="84"/>
      <c r="D142" s="84"/>
      <c r="E142" s="84"/>
      <c r="F142" s="84"/>
      <c r="G142" s="84"/>
      <c r="H142" s="84"/>
      <c r="I142" s="84"/>
      <c r="J142" s="84"/>
      <c r="K142" s="84"/>
      <c r="L142" s="84"/>
      <c r="M142" s="84"/>
      <c r="N142" s="84"/>
      <c r="O142" s="84"/>
      <c r="P142" s="84"/>
      <c r="Q142" s="84"/>
      <c r="R142" s="84"/>
      <c r="S142" s="84"/>
      <c r="T142" s="84"/>
      <c r="U142" s="84"/>
      <c r="V142" s="84"/>
      <c r="W142" s="84"/>
      <c r="X142" s="84"/>
      <c r="Y142" s="84"/>
      <c r="Z142" s="84"/>
    </row>
    <row r="143" ht="15.75" customHeight="1">
      <c r="A143" s="84"/>
      <c r="B143" s="84"/>
      <c r="C143" s="84"/>
      <c r="D143" s="84"/>
      <c r="E143" s="84"/>
      <c r="F143" s="84"/>
      <c r="G143" s="84"/>
      <c r="H143" s="84"/>
      <c r="I143" s="84"/>
      <c r="J143" s="84"/>
      <c r="K143" s="84"/>
      <c r="L143" s="84"/>
      <c r="M143" s="84"/>
      <c r="N143" s="84"/>
      <c r="O143" s="84"/>
      <c r="P143" s="84"/>
      <c r="Q143" s="84"/>
      <c r="R143" s="84"/>
      <c r="S143" s="84"/>
      <c r="T143" s="84"/>
      <c r="U143" s="84"/>
      <c r="V143" s="84"/>
      <c r="W143" s="84"/>
      <c r="X143" s="84"/>
      <c r="Y143" s="84"/>
      <c r="Z143" s="84"/>
    </row>
    <row r="144" ht="15.75" customHeight="1">
      <c r="A144" s="84"/>
      <c r="B144" s="84"/>
      <c r="C144" s="84"/>
      <c r="D144" s="84"/>
      <c r="E144" s="84"/>
      <c r="F144" s="84"/>
      <c r="G144" s="84"/>
      <c r="H144" s="84"/>
      <c r="I144" s="84"/>
      <c r="J144" s="84"/>
      <c r="K144" s="84"/>
      <c r="L144" s="84"/>
      <c r="M144" s="84"/>
      <c r="N144" s="84"/>
      <c r="O144" s="84"/>
      <c r="P144" s="84"/>
      <c r="Q144" s="84"/>
      <c r="R144" s="84"/>
      <c r="S144" s="84"/>
      <c r="T144" s="84"/>
      <c r="U144" s="84"/>
      <c r="V144" s="84"/>
      <c r="W144" s="84"/>
      <c r="X144" s="84"/>
      <c r="Y144" s="84"/>
      <c r="Z144" s="84"/>
    </row>
    <row r="145" ht="15.75" customHeight="1">
      <c r="A145" s="84"/>
      <c r="B145" s="84"/>
      <c r="C145" s="84"/>
      <c r="D145" s="84"/>
      <c r="E145" s="84"/>
      <c r="F145" s="84"/>
      <c r="G145" s="84"/>
      <c r="H145" s="84"/>
      <c r="I145" s="84"/>
      <c r="J145" s="84"/>
      <c r="K145" s="84"/>
      <c r="L145" s="84"/>
      <c r="M145" s="84"/>
      <c r="N145" s="84"/>
      <c r="O145" s="84"/>
      <c r="P145" s="84"/>
      <c r="Q145" s="84"/>
      <c r="R145" s="84"/>
      <c r="S145" s="84"/>
      <c r="T145" s="84"/>
      <c r="U145" s="84"/>
      <c r="V145" s="84"/>
      <c r="W145" s="84"/>
      <c r="X145" s="84"/>
      <c r="Y145" s="84"/>
      <c r="Z145" s="84"/>
    </row>
    <row r="146" ht="15.75" customHeight="1">
      <c r="A146" s="84"/>
      <c r="B146" s="84"/>
      <c r="C146" s="84"/>
      <c r="D146" s="84"/>
      <c r="E146" s="84"/>
      <c r="F146" s="84"/>
      <c r="G146" s="84"/>
      <c r="H146" s="84"/>
      <c r="I146" s="84"/>
      <c r="J146" s="84"/>
      <c r="K146" s="84"/>
      <c r="L146" s="84"/>
      <c r="M146" s="84"/>
      <c r="N146" s="84"/>
      <c r="O146" s="84"/>
      <c r="P146" s="84"/>
      <c r="Q146" s="84"/>
      <c r="R146" s="84"/>
      <c r="S146" s="84"/>
      <c r="T146" s="84"/>
      <c r="U146" s="84"/>
      <c r="V146" s="84"/>
      <c r="W146" s="84"/>
      <c r="X146" s="84"/>
      <c r="Y146" s="84"/>
      <c r="Z146" s="84"/>
    </row>
    <row r="147" ht="15.75" customHeight="1">
      <c r="A147" s="84"/>
      <c r="B147" s="84"/>
      <c r="C147" s="84"/>
      <c r="D147" s="84"/>
      <c r="E147" s="84"/>
      <c r="F147" s="84"/>
      <c r="G147" s="84"/>
      <c r="H147" s="84"/>
      <c r="I147" s="84"/>
      <c r="J147" s="84"/>
      <c r="K147" s="84"/>
      <c r="L147" s="84"/>
      <c r="M147" s="84"/>
      <c r="N147" s="84"/>
      <c r="O147" s="84"/>
      <c r="P147" s="84"/>
      <c r="Q147" s="84"/>
      <c r="R147" s="84"/>
      <c r="S147" s="84"/>
      <c r="T147" s="84"/>
      <c r="U147" s="84"/>
      <c r="V147" s="84"/>
      <c r="W147" s="84"/>
      <c r="X147" s="84"/>
      <c r="Y147" s="84"/>
      <c r="Z147" s="84"/>
    </row>
    <row r="148" ht="15.75" customHeight="1">
      <c r="A148" s="84"/>
      <c r="B148" s="84"/>
      <c r="C148" s="84"/>
      <c r="D148" s="84"/>
      <c r="E148" s="84"/>
      <c r="F148" s="84"/>
      <c r="G148" s="84"/>
      <c r="H148" s="84"/>
      <c r="I148" s="84"/>
      <c r="J148" s="84"/>
      <c r="K148" s="84"/>
      <c r="L148" s="84"/>
      <c r="M148" s="84"/>
      <c r="N148" s="84"/>
      <c r="O148" s="84"/>
      <c r="P148" s="84"/>
      <c r="Q148" s="84"/>
      <c r="R148" s="84"/>
      <c r="S148" s="84"/>
      <c r="T148" s="84"/>
      <c r="U148" s="84"/>
      <c r="V148" s="84"/>
      <c r="W148" s="84"/>
      <c r="X148" s="84"/>
      <c r="Y148" s="84"/>
      <c r="Z148" s="84"/>
    </row>
    <row r="149" ht="15.75" customHeight="1">
      <c r="A149" s="84"/>
      <c r="B149" s="84"/>
      <c r="C149" s="84"/>
      <c r="D149" s="84"/>
      <c r="E149" s="84"/>
      <c r="F149" s="84"/>
      <c r="G149" s="84"/>
      <c r="H149" s="84"/>
      <c r="I149" s="84"/>
      <c r="J149" s="84"/>
      <c r="K149" s="84"/>
      <c r="L149" s="84"/>
      <c r="M149" s="84"/>
      <c r="N149" s="84"/>
      <c r="O149" s="84"/>
      <c r="P149" s="84"/>
      <c r="Q149" s="84"/>
      <c r="R149" s="84"/>
      <c r="S149" s="84"/>
      <c r="T149" s="84"/>
      <c r="U149" s="84"/>
      <c r="V149" s="84"/>
      <c r="W149" s="84"/>
      <c r="X149" s="84"/>
      <c r="Y149" s="84"/>
      <c r="Z149" s="84"/>
    </row>
    <row r="150" ht="15.75" customHeight="1">
      <c r="A150" s="84"/>
      <c r="B150" s="84"/>
      <c r="C150" s="84"/>
      <c r="D150" s="84"/>
      <c r="E150" s="84"/>
      <c r="F150" s="84"/>
      <c r="G150" s="84"/>
      <c r="H150" s="84"/>
      <c r="I150" s="84"/>
      <c r="J150" s="84"/>
      <c r="K150" s="84"/>
      <c r="L150" s="84"/>
      <c r="M150" s="84"/>
      <c r="N150" s="84"/>
      <c r="O150" s="84"/>
      <c r="P150" s="84"/>
      <c r="Q150" s="84"/>
      <c r="R150" s="84"/>
      <c r="S150" s="84"/>
      <c r="T150" s="84"/>
      <c r="U150" s="84"/>
      <c r="V150" s="84"/>
      <c r="W150" s="84"/>
      <c r="X150" s="84"/>
      <c r="Y150" s="84"/>
      <c r="Z150" s="84"/>
    </row>
    <row r="151" ht="15.75" customHeight="1">
      <c r="A151" s="84"/>
      <c r="B151" s="84"/>
      <c r="C151" s="84"/>
      <c r="D151" s="84"/>
      <c r="E151" s="84"/>
      <c r="F151" s="84"/>
      <c r="G151" s="84"/>
      <c r="H151" s="84"/>
      <c r="I151" s="84"/>
      <c r="J151" s="84"/>
      <c r="K151" s="84"/>
      <c r="L151" s="84"/>
      <c r="M151" s="84"/>
      <c r="N151" s="84"/>
      <c r="O151" s="84"/>
      <c r="P151" s="84"/>
      <c r="Q151" s="84"/>
      <c r="R151" s="84"/>
      <c r="S151" s="84"/>
      <c r="T151" s="84"/>
      <c r="U151" s="84"/>
      <c r="V151" s="84"/>
      <c r="W151" s="84"/>
      <c r="X151" s="84"/>
      <c r="Y151" s="84"/>
      <c r="Z151" s="84"/>
    </row>
    <row r="152" ht="15.75" customHeight="1">
      <c r="A152" s="84"/>
      <c r="B152" s="84"/>
      <c r="C152" s="84"/>
      <c r="D152" s="84"/>
      <c r="E152" s="84"/>
      <c r="F152" s="84"/>
      <c r="G152" s="84"/>
      <c r="H152" s="84"/>
      <c r="I152" s="84"/>
      <c r="J152" s="84"/>
      <c r="K152" s="84"/>
      <c r="L152" s="84"/>
      <c r="M152" s="84"/>
      <c r="N152" s="84"/>
      <c r="O152" s="84"/>
      <c r="P152" s="84"/>
      <c r="Q152" s="84"/>
      <c r="R152" s="84"/>
      <c r="S152" s="84"/>
      <c r="T152" s="84"/>
      <c r="U152" s="84"/>
      <c r="V152" s="84"/>
      <c r="W152" s="84"/>
      <c r="X152" s="84"/>
      <c r="Y152" s="84"/>
      <c r="Z152" s="84"/>
    </row>
    <row r="153" ht="15.75" customHeight="1">
      <c r="A153" s="84"/>
      <c r="B153" s="84"/>
      <c r="C153" s="84"/>
      <c r="D153" s="84"/>
      <c r="E153" s="84"/>
      <c r="F153" s="84"/>
      <c r="G153" s="84"/>
      <c r="H153" s="84"/>
      <c r="I153" s="84"/>
      <c r="J153" s="84"/>
      <c r="K153" s="84"/>
      <c r="L153" s="84"/>
      <c r="M153" s="84"/>
      <c r="N153" s="84"/>
      <c r="O153" s="84"/>
      <c r="P153" s="84"/>
      <c r="Q153" s="84"/>
      <c r="R153" s="84"/>
      <c r="S153" s="84"/>
      <c r="T153" s="84"/>
      <c r="U153" s="84"/>
      <c r="V153" s="84"/>
      <c r="W153" s="84"/>
      <c r="X153" s="84"/>
      <c r="Y153" s="84"/>
      <c r="Z153" s="84"/>
    </row>
    <row r="154" ht="15.75" customHeight="1">
      <c r="A154" s="84"/>
      <c r="B154" s="84"/>
      <c r="C154" s="84"/>
      <c r="D154" s="84"/>
      <c r="E154" s="84"/>
      <c r="F154" s="84"/>
      <c r="G154" s="84"/>
      <c r="H154" s="84"/>
      <c r="I154" s="84"/>
      <c r="J154" s="84"/>
      <c r="K154" s="84"/>
      <c r="L154" s="84"/>
      <c r="M154" s="84"/>
      <c r="N154" s="84"/>
      <c r="O154" s="84"/>
      <c r="P154" s="84"/>
      <c r="Q154" s="84"/>
      <c r="R154" s="84"/>
      <c r="S154" s="84"/>
      <c r="T154" s="84"/>
      <c r="U154" s="84"/>
      <c r="V154" s="84"/>
      <c r="W154" s="84"/>
      <c r="X154" s="84"/>
      <c r="Y154" s="84"/>
      <c r="Z154" s="84"/>
    </row>
    <row r="155" ht="15.75" customHeight="1">
      <c r="A155" s="84"/>
      <c r="B155" s="84"/>
      <c r="C155" s="84"/>
      <c r="D155" s="84"/>
      <c r="E155" s="84"/>
      <c r="F155" s="84"/>
      <c r="G155" s="84"/>
      <c r="H155" s="84"/>
      <c r="I155" s="84"/>
      <c r="J155" s="84"/>
      <c r="K155" s="84"/>
      <c r="L155" s="84"/>
      <c r="M155" s="84"/>
      <c r="N155" s="84"/>
      <c r="O155" s="84"/>
      <c r="P155" s="84"/>
      <c r="Q155" s="84"/>
      <c r="R155" s="84"/>
      <c r="S155" s="84"/>
      <c r="T155" s="84"/>
      <c r="U155" s="84"/>
      <c r="V155" s="84"/>
      <c r="W155" s="84"/>
      <c r="X155" s="84"/>
      <c r="Y155" s="84"/>
      <c r="Z155" s="84"/>
    </row>
    <row r="156" ht="15.75" customHeight="1">
      <c r="A156" s="84"/>
      <c r="B156" s="84"/>
      <c r="C156" s="84"/>
      <c r="D156" s="84"/>
      <c r="E156" s="84"/>
      <c r="F156" s="84"/>
      <c r="G156" s="84"/>
      <c r="H156" s="84"/>
      <c r="I156" s="84"/>
      <c r="J156" s="84"/>
      <c r="K156" s="84"/>
      <c r="L156" s="84"/>
      <c r="M156" s="84"/>
      <c r="N156" s="84"/>
      <c r="O156" s="84"/>
      <c r="P156" s="84"/>
      <c r="Q156" s="84"/>
      <c r="R156" s="84"/>
      <c r="S156" s="84"/>
      <c r="T156" s="84"/>
      <c r="U156" s="84"/>
      <c r="V156" s="84"/>
      <c r="W156" s="84"/>
      <c r="X156" s="84"/>
      <c r="Y156" s="84"/>
      <c r="Z156" s="84"/>
    </row>
    <row r="157" ht="15.75" customHeight="1">
      <c r="A157" s="84"/>
      <c r="B157" s="84"/>
      <c r="C157" s="84"/>
      <c r="D157" s="84"/>
      <c r="E157" s="84"/>
      <c r="F157" s="84"/>
      <c r="G157" s="84"/>
      <c r="H157" s="84"/>
      <c r="I157" s="84"/>
      <c r="J157" s="84"/>
      <c r="K157" s="84"/>
      <c r="L157" s="84"/>
      <c r="M157" s="84"/>
      <c r="N157" s="84"/>
      <c r="O157" s="84"/>
      <c r="P157" s="84"/>
      <c r="Q157" s="84"/>
      <c r="R157" s="84"/>
      <c r="S157" s="84"/>
      <c r="T157" s="84"/>
      <c r="U157" s="84"/>
      <c r="V157" s="84"/>
      <c r="W157" s="84"/>
      <c r="X157" s="84"/>
      <c r="Y157" s="84"/>
      <c r="Z157" s="84"/>
    </row>
    <row r="158" ht="15.75" customHeight="1">
      <c r="A158" s="84"/>
      <c r="B158" s="84"/>
      <c r="C158" s="84"/>
      <c r="D158" s="84"/>
      <c r="E158" s="84"/>
      <c r="F158" s="84"/>
      <c r="G158" s="84"/>
      <c r="H158" s="84"/>
      <c r="I158" s="84"/>
      <c r="J158" s="84"/>
      <c r="K158" s="84"/>
      <c r="L158" s="84"/>
      <c r="M158" s="84"/>
      <c r="N158" s="84"/>
      <c r="O158" s="84"/>
      <c r="P158" s="84"/>
      <c r="Q158" s="84"/>
      <c r="R158" s="84"/>
      <c r="S158" s="84"/>
      <c r="T158" s="84"/>
      <c r="U158" s="84"/>
      <c r="V158" s="84"/>
      <c r="W158" s="84"/>
      <c r="X158" s="84"/>
      <c r="Y158" s="84"/>
      <c r="Z158" s="84"/>
    </row>
    <row r="159" ht="15.75" customHeight="1">
      <c r="A159" s="84"/>
      <c r="B159" s="84"/>
      <c r="C159" s="84"/>
      <c r="D159" s="84"/>
      <c r="E159" s="84"/>
      <c r="F159" s="84"/>
      <c r="G159" s="84"/>
      <c r="H159" s="84"/>
      <c r="I159" s="84"/>
      <c r="J159" s="84"/>
      <c r="K159" s="84"/>
      <c r="L159" s="84"/>
      <c r="M159" s="84"/>
      <c r="N159" s="84"/>
      <c r="O159" s="84"/>
      <c r="P159" s="84"/>
      <c r="Q159" s="84"/>
      <c r="R159" s="84"/>
      <c r="S159" s="84"/>
      <c r="T159" s="84"/>
      <c r="U159" s="84"/>
      <c r="V159" s="84"/>
      <c r="W159" s="84"/>
      <c r="X159" s="84"/>
      <c r="Y159" s="84"/>
      <c r="Z159" s="84"/>
    </row>
    <row r="160" ht="15.75" customHeight="1">
      <c r="A160" s="84"/>
      <c r="B160" s="84"/>
      <c r="C160" s="84"/>
      <c r="D160" s="84"/>
      <c r="E160" s="84"/>
      <c r="F160" s="84"/>
      <c r="G160" s="84"/>
      <c r="H160" s="84"/>
      <c r="I160" s="84"/>
      <c r="J160" s="84"/>
      <c r="K160" s="84"/>
      <c r="L160" s="84"/>
      <c r="M160" s="84"/>
      <c r="N160" s="84"/>
      <c r="O160" s="84"/>
      <c r="P160" s="84"/>
      <c r="Q160" s="84"/>
      <c r="R160" s="84"/>
      <c r="S160" s="84"/>
      <c r="T160" s="84"/>
      <c r="U160" s="84"/>
      <c r="V160" s="84"/>
      <c r="W160" s="84"/>
      <c r="X160" s="84"/>
      <c r="Y160" s="84"/>
      <c r="Z160" s="84"/>
    </row>
    <row r="161" ht="15.75" customHeight="1">
      <c r="A161" s="84"/>
      <c r="B161" s="84"/>
      <c r="C161" s="84"/>
      <c r="D161" s="84"/>
      <c r="E161" s="84"/>
      <c r="F161" s="84"/>
      <c r="G161" s="84"/>
      <c r="H161" s="84"/>
      <c r="I161" s="84"/>
      <c r="J161" s="84"/>
      <c r="K161" s="84"/>
      <c r="L161" s="84"/>
      <c r="M161" s="84"/>
      <c r="N161" s="84"/>
      <c r="O161" s="84"/>
      <c r="P161" s="84"/>
      <c r="Q161" s="84"/>
      <c r="R161" s="84"/>
      <c r="S161" s="84"/>
      <c r="T161" s="84"/>
      <c r="U161" s="84"/>
      <c r="V161" s="84"/>
      <c r="W161" s="84"/>
      <c r="X161" s="84"/>
      <c r="Y161" s="84"/>
      <c r="Z161" s="84"/>
    </row>
    <row r="162" ht="15.75" customHeight="1">
      <c r="A162" s="84"/>
      <c r="B162" s="84"/>
      <c r="C162" s="84"/>
      <c r="D162" s="84"/>
      <c r="E162" s="84"/>
      <c r="F162" s="84"/>
      <c r="G162" s="84"/>
      <c r="H162" s="84"/>
      <c r="I162" s="84"/>
      <c r="J162" s="84"/>
      <c r="K162" s="84"/>
      <c r="L162" s="84"/>
      <c r="M162" s="84"/>
      <c r="N162" s="84"/>
      <c r="O162" s="84"/>
      <c r="P162" s="84"/>
      <c r="Q162" s="84"/>
      <c r="R162" s="84"/>
      <c r="S162" s="84"/>
      <c r="T162" s="84"/>
      <c r="U162" s="84"/>
      <c r="V162" s="84"/>
      <c r="W162" s="84"/>
      <c r="X162" s="84"/>
      <c r="Y162" s="84"/>
      <c r="Z162" s="84"/>
    </row>
    <row r="163" ht="15.75" customHeight="1">
      <c r="A163" s="84"/>
      <c r="B163" s="84"/>
      <c r="C163" s="84"/>
      <c r="D163" s="84"/>
      <c r="E163" s="84"/>
      <c r="F163" s="84"/>
      <c r="G163" s="84"/>
      <c r="H163" s="84"/>
      <c r="I163" s="84"/>
      <c r="J163" s="84"/>
      <c r="K163" s="84"/>
      <c r="L163" s="84"/>
      <c r="M163" s="84"/>
      <c r="N163" s="84"/>
      <c r="O163" s="84"/>
      <c r="P163" s="84"/>
      <c r="Q163" s="84"/>
      <c r="R163" s="84"/>
      <c r="S163" s="84"/>
      <c r="T163" s="84"/>
      <c r="U163" s="84"/>
      <c r="V163" s="84"/>
      <c r="W163" s="84"/>
      <c r="X163" s="84"/>
      <c r="Y163" s="84"/>
      <c r="Z163" s="84"/>
    </row>
    <row r="164" ht="15.75" customHeight="1">
      <c r="A164" s="84"/>
      <c r="B164" s="84"/>
      <c r="C164" s="84"/>
      <c r="D164" s="84"/>
      <c r="E164" s="84"/>
      <c r="F164" s="84"/>
      <c r="G164" s="84"/>
      <c r="H164" s="84"/>
      <c r="I164" s="84"/>
      <c r="J164" s="84"/>
      <c r="K164" s="84"/>
      <c r="L164" s="84"/>
      <c r="M164" s="84"/>
      <c r="N164" s="84"/>
      <c r="O164" s="84"/>
      <c r="P164" s="84"/>
      <c r="Q164" s="84"/>
      <c r="R164" s="84"/>
      <c r="S164" s="84"/>
      <c r="T164" s="84"/>
      <c r="U164" s="84"/>
      <c r="V164" s="84"/>
      <c r="W164" s="84"/>
      <c r="X164" s="84"/>
      <c r="Y164" s="84"/>
      <c r="Z164" s="84"/>
    </row>
    <row r="165" ht="15.75" customHeight="1">
      <c r="A165" s="84"/>
      <c r="B165" s="84"/>
      <c r="C165" s="84"/>
      <c r="D165" s="84"/>
      <c r="E165" s="84"/>
      <c r="F165" s="84"/>
      <c r="G165" s="84"/>
      <c r="H165" s="84"/>
      <c r="I165" s="84"/>
      <c r="J165" s="84"/>
      <c r="K165" s="84"/>
      <c r="L165" s="84"/>
      <c r="M165" s="84"/>
      <c r="N165" s="84"/>
      <c r="O165" s="84"/>
      <c r="P165" s="84"/>
      <c r="Q165" s="84"/>
      <c r="R165" s="84"/>
      <c r="S165" s="84"/>
      <c r="T165" s="84"/>
      <c r="U165" s="84"/>
      <c r="V165" s="84"/>
      <c r="W165" s="84"/>
      <c r="X165" s="84"/>
      <c r="Y165" s="84"/>
      <c r="Z165" s="84"/>
    </row>
    <row r="166" ht="15.75" customHeight="1">
      <c r="A166" s="84"/>
      <c r="B166" s="84"/>
      <c r="C166" s="84"/>
      <c r="D166" s="84"/>
      <c r="E166" s="84"/>
      <c r="F166" s="84"/>
      <c r="G166" s="84"/>
      <c r="H166" s="84"/>
      <c r="I166" s="84"/>
      <c r="J166" s="84"/>
      <c r="K166" s="84"/>
      <c r="L166" s="84"/>
      <c r="M166" s="84"/>
      <c r="N166" s="84"/>
      <c r="O166" s="84"/>
      <c r="P166" s="84"/>
      <c r="Q166" s="84"/>
      <c r="R166" s="84"/>
      <c r="S166" s="84"/>
      <c r="T166" s="84"/>
      <c r="U166" s="84"/>
      <c r="V166" s="84"/>
      <c r="W166" s="84"/>
      <c r="X166" s="84"/>
      <c r="Y166" s="84"/>
      <c r="Z166" s="84"/>
    </row>
    <row r="167" ht="15.75" customHeight="1">
      <c r="A167" s="84"/>
      <c r="B167" s="84"/>
      <c r="C167" s="84"/>
      <c r="D167" s="84"/>
      <c r="E167" s="84"/>
      <c r="F167" s="84"/>
      <c r="G167" s="84"/>
      <c r="H167" s="84"/>
      <c r="I167" s="84"/>
      <c r="J167" s="84"/>
      <c r="K167" s="84"/>
      <c r="L167" s="84"/>
      <c r="M167" s="84"/>
      <c r="N167" s="84"/>
      <c r="O167" s="84"/>
      <c r="P167" s="84"/>
      <c r="Q167" s="84"/>
      <c r="R167" s="84"/>
      <c r="S167" s="84"/>
      <c r="T167" s="84"/>
      <c r="U167" s="84"/>
      <c r="V167" s="84"/>
      <c r="W167" s="84"/>
      <c r="X167" s="84"/>
      <c r="Y167" s="84"/>
      <c r="Z167" s="84"/>
    </row>
    <row r="168" ht="15.75" customHeight="1">
      <c r="A168" s="84"/>
      <c r="B168" s="84"/>
      <c r="C168" s="84"/>
      <c r="D168" s="84"/>
      <c r="E168" s="84"/>
      <c r="F168" s="84"/>
      <c r="G168" s="84"/>
      <c r="H168" s="84"/>
      <c r="I168" s="84"/>
      <c r="J168" s="84"/>
      <c r="K168" s="84"/>
      <c r="L168" s="84"/>
      <c r="M168" s="84"/>
      <c r="N168" s="84"/>
      <c r="O168" s="84"/>
      <c r="P168" s="84"/>
      <c r="Q168" s="84"/>
      <c r="R168" s="84"/>
      <c r="S168" s="84"/>
      <c r="T168" s="84"/>
      <c r="U168" s="84"/>
      <c r="V168" s="84"/>
      <c r="W168" s="84"/>
      <c r="X168" s="84"/>
      <c r="Y168" s="84"/>
      <c r="Z168" s="84"/>
    </row>
    <row r="169" ht="15.75" customHeight="1">
      <c r="A169" s="84"/>
      <c r="B169" s="84"/>
      <c r="C169" s="84"/>
      <c r="D169" s="84"/>
      <c r="E169" s="84"/>
      <c r="F169" s="84"/>
      <c r="G169" s="84"/>
      <c r="H169" s="84"/>
      <c r="I169" s="84"/>
      <c r="J169" s="84"/>
      <c r="K169" s="84"/>
      <c r="L169" s="84"/>
      <c r="M169" s="84"/>
      <c r="N169" s="84"/>
      <c r="O169" s="84"/>
      <c r="P169" s="84"/>
      <c r="Q169" s="84"/>
      <c r="R169" s="84"/>
      <c r="S169" s="84"/>
      <c r="T169" s="84"/>
      <c r="U169" s="84"/>
      <c r="V169" s="84"/>
      <c r="W169" s="84"/>
      <c r="X169" s="84"/>
      <c r="Y169" s="84"/>
      <c r="Z169" s="84"/>
    </row>
    <row r="170" ht="15.75" customHeight="1">
      <c r="A170" s="84"/>
      <c r="B170" s="84"/>
      <c r="C170" s="84"/>
      <c r="D170" s="84"/>
      <c r="E170" s="84"/>
      <c r="F170" s="84"/>
      <c r="G170" s="84"/>
      <c r="H170" s="84"/>
      <c r="I170" s="84"/>
      <c r="J170" s="84"/>
      <c r="K170" s="84"/>
      <c r="L170" s="84"/>
      <c r="M170" s="84"/>
      <c r="N170" s="84"/>
      <c r="O170" s="84"/>
      <c r="P170" s="84"/>
      <c r="Q170" s="84"/>
      <c r="R170" s="84"/>
      <c r="S170" s="84"/>
      <c r="T170" s="84"/>
      <c r="U170" s="84"/>
      <c r="V170" s="84"/>
      <c r="W170" s="84"/>
      <c r="X170" s="84"/>
      <c r="Y170" s="84"/>
      <c r="Z170" s="84"/>
    </row>
    <row r="171" ht="15.75" customHeight="1">
      <c r="A171" s="84"/>
      <c r="B171" s="84"/>
      <c r="C171" s="84"/>
      <c r="D171" s="84"/>
      <c r="E171" s="84"/>
      <c r="F171" s="84"/>
      <c r="G171" s="84"/>
      <c r="H171" s="84"/>
      <c r="I171" s="84"/>
      <c r="J171" s="84"/>
      <c r="K171" s="84"/>
      <c r="L171" s="84"/>
      <c r="M171" s="84"/>
      <c r="N171" s="84"/>
      <c r="O171" s="84"/>
      <c r="P171" s="84"/>
      <c r="Q171" s="84"/>
      <c r="R171" s="84"/>
      <c r="S171" s="84"/>
      <c r="T171" s="84"/>
      <c r="U171" s="84"/>
      <c r="V171" s="84"/>
      <c r="W171" s="84"/>
      <c r="X171" s="84"/>
      <c r="Y171" s="84"/>
      <c r="Z171" s="84"/>
    </row>
    <row r="172" ht="15.75" customHeight="1">
      <c r="A172" s="84"/>
      <c r="B172" s="84"/>
      <c r="C172" s="84"/>
      <c r="D172" s="84"/>
      <c r="E172" s="84"/>
      <c r="F172" s="84"/>
      <c r="G172" s="84"/>
      <c r="H172" s="84"/>
      <c r="I172" s="84"/>
      <c r="J172" s="84"/>
      <c r="K172" s="84"/>
      <c r="L172" s="84"/>
      <c r="M172" s="84"/>
      <c r="N172" s="84"/>
      <c r="O172" s="84"/>
      <c r="P172" s="84"/>
      <c r="Q172" s="84"/>
      <c r="R172" s="84"/>
      <c r="S172" s="84"/>
      <c r="T172" s="84"/>
      <c r="U172" s="84"/>
      <c r="V172" s="84"/>
      <c r="W172" s="84"/>
      <c r="X172" s="84"/>
      <c r="Y172" s="84"/>
      <c r="Z172" s="84"/>
    </row>
    <row r="173" ht="15.75" customHeight="1">
      <c r="A173" s="84"/>
      <c r="B173" s="84"/>
      <c r="C173" s="84"/>
      <c r="D173" s="84"/>
      <c r="E173" s="84"/>
      <c r="F173" s="84"/>
      <c r="G173" s="84"/>
      <c r="H173" s="84"/>
      <c r="I173" s="84"/>
      <c r="J173" s="84"/>
      <c r="K173" s="84"/>
      <c r="L173" s="84"/>
      <c r="M173" s="84"/>
      <c r="N173" s="84"/>
      <c r="O173" s="84"/>
      <c r="P173" s="84"/>
      <c r="Q173" s="84"/>
      <c r="R173" s="84"/>
      <c r="S173" s="84"/>
      <c r="T173" s="84"/>
      <c r="U173" s="84"/>
      <c r="V173" s="84"/>
      <c r="W173" s="84"/>
      <c r="X173" s="84"/>
      <c r="Y173" s="84"/>
      <c r="Z173" s="84"/>
    </row>
    <row r="174" ht="15.75" customHeight="1">
      <c r="A174" s="84"/>
      <c r="B174" s="84"/>
      <c r="C174" s="84"/>
      <c r="D174" s="84"/>
      <c r="E174" s="84"/>
      <c r="F174" s="84"/>
      <c r="G174" s="84"/>
      <c r="H174" s="84"/>
      <c r="I174" s="84"/>
      <c r="J174" s="84"/>
      <c r="K174" s="84"/>
      <c r="L174" s="84"/>
      <c r="M174" s="84"/>
      <c r="N174" s="84"/>
      <c r="O174" s="84"/>
      <c r="P174" s="84"/>
      <c r="Q174" s="84"/>
      <c r="R174" s="84"/>
      <c r="S174" s="84"/>
      <c r="T174" s="84"/>
      <c r="U174" s="84"/>
      <c r="V174" s="84"/>
      <c r="W174" s="84"/>
      <c r="X174" s="84"/>
      <c r="Y174" s="84"/>
      <c r="Z174" s="84"/>
    </row>
    <row r="175" ht="15.75" customHeight="1">
      <c r="A175" s="84"/>
      <c r="B175" s="84"/>
      <c r="C175" s="84"/>
      <c r="D175" s="84"/>
      <c r="E175" s="84"/>
      <c r="F175" s="84"/>
      <c r="G175" s="84"/>
      <c r="H175" s="84"/>
      <c r="I175" s="84"/>
      <c r="J175" s="84"/>
      <c r="K175" s="84"/>
      <c r="L175" s="84"/>
      <c r="M175" s="84"/>
      <c r="N175" s="84"/>
      <c r="O175" s="84"/>
      <c r="P175" s="84"/>
      <c r="Q175" s="84"/>
      <c r="R175" s="84"/>
      <c r="S175" s="84"/>
      <c r="T175" s="84"/>
      <c r="U175" s="84"/>
      <c r="V175" s="84"/>
      <c r="W175" s="84"/>
      <c r="X175" s="84"/>
      <c r="Y175" s="84"/>
      <c r="Z175" s="84"/>
    </row>
    <row r="176" ht="15.75" customHeight="1">
      <c r="A176" s="84"/>
      <c r="B176" s="84"/>
      <c r="C176" s="84"/>
      <c r="D176" s="84"/>
      <c r="E176" s="84"/>
      <c r="F176" s="84"/>
      <c r="G176" s="84"/>
      <c r="H176" s="84"/>
      <c r="I176" s="84"/>
      <c r="J176" s="84"/>
      <c r="K176" s="84"/>
      <c r="L176" s="84"/>
      <c r="M176" s="84"/>
      <c r="N176" s="84"/>
      <c r="O176" s="84"/>
      <c r="P176" s="84"/>
      <c r="Q176" s="84"/>
      <c r="R176" s="84"/>
      <c r="S176" s="84"/>
      <c r="T176" s="84"/>
      <c r="U176" s="84"/>
      <c r="V176" s="84"/>
      <c r="W176" s="84"/>
      <c r="X176" s="84"/>
      <c r="Y176" s="84"/>
      <c r="Z176" s="84"/>
    </row>
    <row r="177" ht="15.75" customHeight="1">
      <c r="A177" s="84"/>
      <c r="B177" s="84"/>
      <c r="C177" s="84"/>
      <c r="D177" s="84"/>
      <c r="E177" s="84"/>
      <c r="F177" s="84"/>
      <c r="G177" s="84"/>
      <c r="H177" s="84"/>
      <c r="I177" s="84"/>
      <c r="J177" s="84"/>
      <c r="K177" s="84"/>
      <c r="L177" s="84"/>
      <c r="M177" s="84"/>
      <c r="N177" s="84"/>
      <c r="O177" s="84"/>
      <c r="P177" s="84"/>
      <c r="Q177" s="84"/>
      <c r="R177" s="84"/>
      <c r="S177" s="84"/>
      <c r="T177" s="84"/>
      <c r="U177" s="84"/>
      <c r="V177" s="84"/>
      <c r="W177" s="84"/>
      <c r="X177" s="84"/>
      <c r="Y177" s="84"/>
      <c r="Z177" s="84"/>
    </row>
    <row r="178" ht="15.75" customHeight="1">
      <c r="A178" s="84"/>
      <c r="B178" s="84"/>
      <c r="C178" s="84"/>
      <c r="D178" s="84"/>
      <c r="E178" s="84"/>
      <c r="F178" s="84"/>
      <c r="G178" s="84"/>
      <c r="H178" s="84"/>
      <c r="I178" s="84"/>
      <c r="J178" s="84"/>
      <c r="K178" s="84"/>
      <c r="L178" s="84"/>
      <c r="M178" s="84"/>
      <c r="N178" s="84"/>
      <c r="O178" s="84"/>
      <c r="P178" s="84"/>
      <c r="Q178" s="84"/>
      <c r="R178" s="84"/>
      <c r="S178" s="84"/>
      <c r="T178" s="84"/>
      <c r="U178" s="84"/>
      <c r="V178" s="84"/>
      <c r="W178" s="84"/>
      <c r="X178" s="84"/>
      <c r="Y178" s="84"/>
      <c r="Z178" s="84"/>
    </row>
    <row r="179" ht="15.75" customHeight="1">
      <c r="A179" s="84"/>
      <c r="B179" s="84"/>
      <c r="C179" s="84"/>
      <c r="D179" s="84"/>
      <c r="E179" s="84"/>
      <c r="F179" s="84"/>
      <c r="G179" s="84"/>
      <c r="H179" s="84"/>
      <c r="I179" s="84"/>
      <c r="J179" s="84"/>
      <c r="K179" s="84"/>
      <c r="L179" s="84"/>
      <c r="M179" s="84"/>
      <c r="N179" s="84"/>
      <c r="O179" s="84"/>
      <c r="P179" s="84"/>
      <c r="Q179" s="84"/>
      <c r="R179" s="84"/>
      <c r="S179" s="84"/>
      <c r="T179" s="84"/>
      <c r="U179" s="84"/>
      <c r="V179" s="84"/>
      <c r="W179" s="84"/>
      <c r="X179" s="84"/>
      <c r="Y179" s="84"/>
      <c r="Z179" s="84"/>
    </row>
    <row r="180" ht="15.75" customHeight="1">
      <c r="A180" s="84"/>
      <c r="B180" s="84"/>
      <c r="C180" s="84"/>
      <c r="D180" s="84"/>
      <c r="E180" s="84"/>
      <c r="F180" s="84"/>
      <c r="G180" s="84"/>
      <c r="H180" s="84"/>
      <c r="I180" s="84"/>
      <c r="J180" s="84"/>
      <c r="K180" s="84"/>
      <c r="L180" s="84"/>
      <c r="M180" s="84"/>
      <c r="N180" s="84"/>
      <c r="O180" s="84"/>
      <c r="P180" s="84"/>
      <c r="Q180" s="84"/>
      <c r="R180" s="84"/>
      <c r="S180" s="84"/>
      <c r="T180" s="84"/>
      <c r="U180" s="84"/>
      <c r="V180" s="84"/>
      <c r="W180" s="84"/>
      <c r="X180" s="84"/>
      <c r="Y180" s="84"/>
      <c r="Z180" s="84"/>
    </row>
    <row r="181" ht="15.75" customHeight="1">
      <c r="A181" s="84"/>
      <c r="B181" s="84"/>
      <c r="C181" s="84"/>
      <c r="D181" s="84"/>
      <c r="E181" s="84"/>
      <c r="F181" s="84"/>
      <c r="G181" s="84"/>
      <c r="H181" s="84"/>
      <c r="I181" s="84"/>
      <c r="J181" s="84"/>
      <c r="K181" s="84"/>
      <c r="L181" s="84"/>
      <c r="M181" s="84"/>
      <c r="N181" s="84"/>
      <c r="O181" s="84"/>
      <c r="P181" s="84"/>
      <c r="Q181" s="84"/>
      <c r="R181" s="84"/>
      <c r="S181" s="84"/>
      <c r="T181" s="84"/>
      <c r="U181" s="84"/>
      <c r="V181" s="84"/>
      <c r="W181" s="84"/>
      <c r="X181" s="84"/>
      <c r="Y181" s="84"/>
      <c r="Z181" s="84"/>
    </row>
    <row r="182" ht="15.75" customHeight="1">
      <c r="A182" s="84"/>
      <c r="B182" s="84"/>
      <c r="C182" s="84"/>
      <c r="D182" s="84"/>
      <c r="E182" s="84"/>
      <c r="F182" s="84"/>
      <c r="G182" s="84"/>
      <c r="H182" s="84"/>
      <c r="I182" s="84"/>
      <c r="J182" s="84"/>
      <c r="K182" s="84"/>
      <c r="L182" s="84"/>
      <c r="M182" s="84"/>
      <c r="N182" s="84"/>
      <c r="O182" s="84"/>
      <c r="P182" s="84"/>
      <c r="Q182" s="84"/>
      <c r="R182" s="84"/>
      <c r="S182" s="84"/>
      <c r="T182" s="84"/>
      <c r="U182" s="84"/>
      <c r="V182" s="84"/>
      <c r="W182" s="84"/>
      <c r="X182" s="84"/>
      <c r="Y182" s="84"/>
      <c r="Z182" s="84"/>
    </row>
    <row r="183" ht="15.75" customHeight="1">
      <c r="A183" s="84"/>
      <c r="B183" s="84"/>
      <c r="C183" s="84"/>
      <c r="D183" s="84"/>
      <c r="E183" s="84"/>
      <c r="F183" s="84"/>
      <c r="G183" s="84"/>
      <c r="H183" s="84"/>
      <c r="I183" s="84"/>
      <c r="J183" s="84"/>
      <c r="K183" s="84"/>
      <c r="L183" s="84"/>
      <c r="M183" s="84"/>
      <c r="N183" s="84"/>
      <c r="O183" s="84"/>
      <c r="P183" s="84"/>
      <c r="Q183" s="84"/>
      <c r="R183" s="84"/>
      <c r="S183" s="84"/>
      <c r="T183" s="84"/>
      <c r="U183" s="84"/>
      <c r="V183" s="84"/>
      <c r="W183" s="84"/>
      <c r="X183" s="84"/>
      <c r="Y183" s="84"/>
      <c r="Z183" s="84"/>
    </row>
    <row r="184" ht="15.75" customHeight="1">
      <c r="A184" s="84"/>
      <c r="B184" s="84"/>
      <c r="C184" s="84"/>
      <c r="D184" s="84"/>
      <c r="E184" s="84"/>
      <c r="F184" s="84"/>
      <c r="G184" s="84"/>
      <c r="H184" s="84"/>
      <c r="I184" s="84"/>
      <c r="J184" s="84"/>
      <c r="K184" s="84"/>
      <c r="L184" s="84"/>
      <c r="M184" s="84"/>
      <c r="N184" s="84"/>
      <c r="O184" s="84"/>
      <c r="P184" s="84"/>
      <c r="Q184" s="84"/>
      <c r="R184" s="84"/>
      <c r="S184" s="84"/>
      <c r="T184" s="84"/>
      <c r="U184" s="84"/>
      <c r="V184" s="84"/>
      <c r="W184" s="84"/>
      <c r="X184" s="84"/>
      <c r="Y184" s="84"/>
      <c r="Z184" s="84"/>
    </row>
    <row r="185" ht="15.75" customHeight="1">
      <c r="A185" s="84"/>
      <c r="B185" s="84"/>
      <c r="C185" s="84"/>
      <c r="D185" s="84"/>
      <c r="E185" s="84"/>
      <c r="F185" s="84"/>
      <c r="G185" s="84"/>
      <c r="H185" s="84"/>
      <c r="I185" s="84"/>
      <c r="J185" s="84"/>
      <c r="K185" s="84"/>
      <c r="L185" s="84"/>
      <c r="M185" s="84"/>
      <c r="N185" s="84"/>
      <c r="O185" s="84"/>
      <c r="P185" s="84"/>
      <c r="Q185" s="84"/>
      <c r="R185" s="84"/>
      <c r="S185" s="84"/>
      <c r="T185" s="84"/>
      <c r="U185" s="84"/>
      <c r="V185" s="84"/>
      <c r="W185" s="84"/>
      <c r="X185" s="84"/>
      <c r="Y185" s="84"/>
      <c r="Z185" s="84"/>
    </row>
    <row r="186" ht="15.75" customHeight="1">
      <c r="A186" s="84"/>
      <c r="B186" s="84"/>
      <c r="C186" s="84"/>
      <c r="D186" s="84"/>
      <c r="E186" s="84"/>
      <c r="F186" s="84"/>
      <c r="G186" s="84"/>
      <c r="H186" s="84"/>
      <c r="I186" s="84"/>
      <c r="J186" s="84"/>
      <c r="K186" s="84"/>
      <c r="L186" s="84"/>
      <c r="M186" s="84"/>
      <c r="N186" s="84"/>
      <c r="O186" s="84"/>
      <c r="P186" s="84"/>
      <c r="Q186" s="84"/>
      <c r="R186" s="84"/>
      <c r="S186" s="84"/>
      <c r="T186" s="84"/>
      <c r="U186" s="84"/>
      <c r="V186" s="84"/>
      <c r="W186" s="84"/>
      <c r="X186" s="84"/>
      <c r="Y186" s="84"/>
      <c r="Z186" s="84"/>
    </row>
    <row r="187" ht="15.75" customHeight="1">
      <c r="A187" s="84"/>
      <c r="B187" s="84"/>
      <c r="C187" s="84"/>
      <c r="D187" s="84"/>
      <c r="E187" s="84"/>
      <c r="F187" s="84"/>
      <c r="G187" s="84"/>
      <c r="H187" s="84"/>
      <c r="I187" s="84"/>
      <c r="J187" s="84"/>
      <c r="K187" s="84"/>
      <c r="L187" s="84"/>
      <c r="M187" s="84"/>
      <c r="N187" s="84"/>
      <c r="O187" s="84"/>
      <c r="P187" s="84"/>
      <c r="Q187" s="84"/>
      <c r="R187" s="84"/>
      <c r="S187" s="84"/>
      <c r="T187" s="84"/>
      <c r="U187" s="84"/>
      <c r="V187" s="84"/>
      <c r="W187" s="84"/>
      <c r="X187" s="84"/>
      <c r="Y187" s="84"/>
      <c r="Z187" s="84"/>
    </row>
    <row r="188" ht="15.75" customHeight="1">
      <c r="A188" s="84"/>
      <c r="B188" s="84"/>
      <c r="C188" s="84"/>
      <c r="D188" s="84"/>
      <c r="E188" s="84"/>
      <c r="F188" s="84"/>
      <c r="G188" s="84"/>
      <c r="H188" s="84"/>
      <c r="I188" s="84"/>
      <c r="J188" s="84"/>
      <c r="K188" s="84"/>
      <c r="L188" s="84"/>
      <c r="M188" s="84"/>
      <c r="N188" s="84"/>
      <c r="O188" s="84"/>
      <c r="P188" s="84"/>
      <c r="Q188" s="84"/>
      <c r="R188" s="84"/>
      <c r="S188" s="84"/>
      <c r="T188" s="84"/>
      <c r="U188" s="84"/>
      <c r="V188" s="84"/>
      <c r="W188" s="84"/>
      <c r="X188" s="84"/>
      <c r="Y188" s="84"/>
      <c r="Z188" s="84"/>
    </row>
    <row r="189" ht="15.75" customHeight="1">
      <c r="A189" s="84"/>
      <c r="B189" s="84"/>
      <c r="C189" s="84"/>
      <c r="D189" s="84"/>
      <c r="E189" s="84"/>
      <c r="F189" s="84"/>
      <c r="G189" s="84"/>
      <c r="H189" s="84"/>
      <c r="I189" s="84"/>
      <c r="J189" s="84"/>
      <c r="K189" s="84"/>
      <c r="L189" s="84"/>
      <c r="M189" s="84"/>
      <c r="N189" s="84"/>
      <c r="O189" s="84"/>
      <c r="P189" s="84"/>
      <c r="Q189" s="84"/>
      <c r="R189" s="84"/>
      <c r="S189" s="84"/>
      <c r="T189" s="84"/>
      <c r="U189" s="84"/>
      <c r="V189" s="84"/>
      <c r="W189" s="84"/>
      <c r="X189" s="84"/>
      <c r="Y189" s="84"/>
      <c r="Z189" s="84"/>
    </row>
    <row r="190" ht="15.75" customHeight="1">
      <c r="A190" s="84"/>
      <c r="B190" s="84"/>
      <c r="C190" s="84"/>
      <c r="D190" s="84"/>
      <c r="E190" s="84"/>
      <c r="F190" s="84"/>
      <c r="G190" s="84"/>
      <c r="H190" s="84"/>
      <c r="I190" s="84"/>
      <c r="J190" s="84"/>
      <c r="K190" s="84"/>
      <c r="L190" s="84"/>
      <c r="M190" s="84"/>
      <c r="N190" s="84"/>
      <c r="O190" s="84"/>
      <c r="P190" s="84"/>
      <c r="Q190" s="84"/>
      <c r="R190" s="84"/>
      <c r="S190" s="84"/>
      <c r="T190" s="84"/>
      <c r="U190" s="84"/>
      <c r="V190" s="84"/>
      <c r="W190" s="84"/>
      <c r="X190" s="84"/>
      <c r="Y190" s="84"/>
      <c r="Z190" s="84"/>
    </row>
    <row r="191" ht="15.75" customHeight="1">
      <c r="A191" s="84"/>
      <c r="B191" s="84"/>
      <c r="C191" s="84"/>
      <c r="D191" s="84"/>
      <c r="E191" s="84"/>
      <c r="F191" s="84"/>
      <c r="G191" s="84"/>
      <c r="H191" s="84"/>
      <c r="I191" s="84"/>
      <c r="J191" s="84"/>
      <c r="K191" s="84"/>
      <c r="L191" s="84"/>
      <c r="M191" s="84"/>
      <c r="N191" s="84"/>
      <c r="O191" s="84"/>
      <c r="P191" s="84"/>
      <c r="Q191" s="84"/>
      <c r="R191" s="84"/>
      <c r="S191" s="84"/>
      <c r="T191" s="84"/>
      <c r="U191" s="84"/>
      <c r="V191" s="84"/>
      <c r="W191" s="84"/>
      <c r="X191" s="84"/>
      <c r="Y191" s="84"/>
      <c r="Z191" s="84"/>
    </row>
    <row r="192" ht="15.75" customHeight="1">
      <c r="A192" s="84"/>
      <c r="B192" s="84"/>
      <c r="C192" s="84"/>
      <c r="D192" s="84"/>
      <c r="E192" s="84"/>
      <c r="F192" s="84"/>
      <c r="G192" s="84"/>
      <c r="H192" s="84"/>
      <c r="I192" s="84"/>
      <c r="J192" s="84"/>
      <c r="K192" s="84"/>
      <c r="L192" s="84"/>
      <c r="M192" s="84"/>
      <c r="N192" s="84"/>
      <c r="O192" s="84"/>
      <c r="P192" s="84"/>
      <c r="Q192" s="84"/>
      <c r="R192" s="84"/>
      <c r="S192" s="84"/>
      <c r="T192" s="84"/>
      <c r="U192" s="84"/>
      <c r="V192" s="84"/>
      <c r="W192" s="84"/>
      <c r="X192" s="84"/>
      <c r="Y192" s="84"/>
      <c r="Z192" s="84"/>
    </row>
    <row r="193" ht="15.75" customHeight="1">
      <c r="A193" s="84"/>
      <c r="B193" s="84"/>
      <c r="C193" s="84"/>
      <c r="D193" s="84"/>
      <c r="E193" s="84"/>
      <c r="F193" s="84"/>
      <c r="G193" s="84"/>
      <c r="H193" s="84"/>
      <c r="I193" s="84"/>
      <c r="J193" s="84"/>
      <c r="K193" s="84"/>
      <c r="L193" s="84"/>
      <c r="M193" s="84"/>
      <c r="N193" s="84"/>
      <c r="O193" s="84"/>
      <c r="P193" s="84"/>
      <c r="Q193" s="84"/>
      <c r="R193" s="84"/>
      <c r="S193" s="84"/>
      <c r="T193" s="84"/>
      <c r="U193" s="84"/>
      <c r="V193" s="84"/>
      <c r="W193" s="84"/>
      <c r="X193" s="84"/>
      <c r="Y193" s="84"/>
      <c r="Z193" s="84"/>
    </row>
    <row r="194" ht="15.75" customHeight="1">
      <c r="A194" s="84"/>
      <c r="B194" s="84"/>
      <c r="C194" s="84"/>
      <c r="D194" s="84"/>
      <c r="E194" s="84"/>
      <c r="F194" s="84"/>
      <c r="G194" s="84"/>
      <c r="H194" s="84"/>
      <c r="I194" s="84"/>
      <c r="J194" s="84"/>
      <c r="K194" s="84"/>
      <c r="L194" s="84"/>
      <c r="M194" s="84"/>
      <c r="N194" s="84"/>
      <c r="O194" s="84"/>
      <c r="P194" s="84"/>
      <c r="Q194" s="84"/>
      <c r="R194" s="84"/>
      <c r="S194" s="84"/>
      <c r="T194" s="84"/>
      <c r="U194" s="84"/>
      <c r="V194" s="84"/>
      <c r="W194" s="84"/>
      <c r="X194" s="84"/>
      <c r="Y194" s="84"/>
      <c r="Z194" s="84"/>
    </row>
    <row r="195" ht="15.75" customHeight="1">
      <c r="A195" s="84"/>
      <c r="B195" s="84"/>
      <c r="C195" s="84"/>
      <c r="D195" s="84"/>
      <c r="E195" s="84"/>
      <c r="F195" s="84"/>
      <c r="G195" s="84"/>
      <c r="H195" s="84"/>
      <c r="I195" s="84"/>
      <c r="J195" s="84"/>
      <c r="K195" s="84"/>
      <c r="L195" s="84"/>
      <c r="M195" s="84"/>
      <c r="N195" s="84"/>
      <c r="O195" s="84"/>
      <c r="P195" s="84"/>
      <c r="Q195" s="84"/>
      <c r="R195" s="84"/>
      <c r="S195" s="84"/>
      <c r="T195" s="84"/>
      <c r="U195" s="84"/>
      <c r="V195" s="84"/>
      <c r="W195" s="84"/>
      <c r="X195" s="84"/>
      <c r="Y195" s="84"/>
      <c r="Z195" s="84"/>
    </row>
    <row r="196" ht="15.75" customHeight="1">
      <c r="A196" s="84"/>
      <c r="B196" s="84"/>
      <c r="C196" s="84"/>
      <c r="D196" s="84"/>
      <c r="E196" s="84"/>
      <c r="F196" s="84"/>
      <c r="G196" s="84"/>
      <c r="H196" s="84"/>
      <c r="I196" s="84"/>
      <c r="J196" s="84"/>
      <c r="K196" s="84"/>
      <c r="L196" s="84"/>
      <c r="M196" s="84"/>
      <c r="N196" s="84"/>
      <c r="O196" s="84"/>
      <c r="P196" s="84"/>
      <c r="Q196" s="84"/>
      <c r="R196" s="84"/>
      <c r="S196" s="84"/>
      <c r="T196" s="84"/>
      <c r="U196" s="84"/>
      <c r="V196" s="84"/>
      <c r="W196" s="84"/>
      <c r="X196" s="84"/>
      <c r="Y196" s="84"/>
      <c r="Z196" s="84"/>
    </row>
    <row r="197" ht="15.75" customHeight="1">
      <c r="A197" s="84"/>
      <c r="B197" s="84"/>
      <c r="C197" s="84"/>
      <c r="D197" s="84"/>
      <c r="E197" s="84"/>
      <c r="F197" s="84"/>
      <c r="G197" s="84"/>
      <c r="H197" s="84"/>
      <c r="I197" s="84"/>
      <c r="J197" s="84"/>
      <c r="K197" s="84"/>
      <c r="L197" s="84"/>
      <c r="M197" s="84"/>
      <c r="N197" s="84"/>
      <c r="O197" s="84"/>
      <c r="P197" s="84"/>
      <c r="Q197" s="84"/>
      <c r="R197" s="84"/>
      <c r="S197" s="84"/>
      <c r="T197" s="84"/>
      <c r="U197" s="84"/>
      <c r="V197" s="84"/>
      <c r="W197" s="84"/>
      <c r="X197" s="84"/>
      <c r="Y197" s="84"/>
      <c r="Z197" s="84"/>
    </row>
    <row r="198" ht="15.75" customHeight="1">
      <c r="A198" s="84"/>
      <c r="B198" s="84"/>
      <c r="C198" s="84"/>
      <c r="D198" s="84"/>
      <c r="E198" s="84"/>
      <c r="F198" s="84"/>
      <c r="G198" s="84"/>
      <c r="H198" s="84"/>
      <c r="I198" s="84"/>
      <c r="J198" s="84"/>
      <c r="K198" s="84"/>
      <c r="L198" s="84"/>
      <c r="M198" s="84"/>
      <c r="N198" s="84"/>
      <c r="O198" s="84"/>
      <c r="P198" s="84"/>
      <c r="Q198" s="84"/>
      <c r="R198" s="84"/>
      <c r="S198" s="84"/>
      <c r="T198" s="84"/>
      <c r="U198" s="84"/>
      <c r="V198" s="84"/>
      <c r="W198" s="84"/>
      <c r="X198" s="84"/>
      <c r="Y198" s="84"/>
      <c r="Z198" s="84"/>
    </row>
    <row r="199" ht="15.75" customHeight="1">
      <c r="A199" s="84"/>
      <c r="B199" s="84"/>
      <c r="C199" s="84"/>
      <c r="D199" s="84"/>
      <c r="E199" s="84"/>
      <c r="F199" s="84"/>
      <c r="G199" s="84"/>
      <c r="H199" s="84"/>
      <c r="I199" s="84"/>
      <c r="J199" s="84"/>
      <c r="K199" s="84"/>
      <c r="L199" s="84"/>
      <c r="M199" s="84"/>
      <c r="N199" s="84"/>
      <c r="O199" s="84"/>
      <c r="P199" s="84"/>
      <c r="Q199" s="84"/>
      <c r="R199" s="84"/>
      <c r="S199" s="84"/>
      <c r="T199" s="84"/>
      <c r="U199" s="84"/>
      <c r="V199" s="84"/>
      <c r="W199" s="84"/>
      <c r="X199" s="84"/>
      <c r="Y199" s="84"/>
      <c r="Z199" s="84"/>
    </row>
    <row r="200" ht="15.75" customHeight="1">
      <c r="A200" s="84"/>
      <c r="B200" s="84"/>
      <c r="C200" s="84"/>
      <c r="D200" s="84"/>
      <c r="E200" s="84"/>
      <c r="F200" s="84"/>
      <c r="G200" s="84"/>
      <c r="H200" s="84"/>
      <c r="I200" s="84"/>
      <c r="J200" s="84"/>
      <c r="K200" s="84"/>
      <c r="L200" s="84"/>
      <c r="M200" s="84"/>
      <c r="N200" s="84"/>
      <c r="O200" s="84"/>
      <c r="P200" s="84"/>
      <c r="Q200" s="84"/>
      <c r="R200" s="84"/>
      <c r="S200" s="84"/>
      <c r="T200" s="84"/>
      <c r="U200" s="84"/>
      <c r="V200" s="84"/>
      <c r="W200" s="84"/>
      <c r="X200" s="84"/>
      <c r="Y200" s="84"/>
      <c r="Z200" s="84"/>
    </row>
    <row r="201" ht="15.75" customHeight="1">
      <c r="A201" s="84"/>
      <c r="B201" s="84"/>
      <c r="C201" s="84"/>
      <c r="D201" s="84"/>
      <c r="E201" s="84"/>
      <c r="F201" s="84"/>
      <c r="G201" s="84"/>
      <c r="H201" s="84"/>
      <c r="I201" s="84"/>
      <c r="J201" s="84"/>
      <c r="K201" s="84"/>
      <c r="L201" s="84"/>
      <c r="M201" s="84"/>
      <c r="N201" s="84"/>
      <c r="O201" s="84"/>
      <c r="P201" s="84"/>
      <c r="Q201" s="84"/>
      <c r="R201" s="84"/>
      <c r="S201" s="84"/>
      <c r="T201" s="84"/>
      <c r="U201" s="84"/>
      <c r="V201" s="84"/>
      <c r="W201" s="84"/>
      <c r="X201" s="84"/>
      <c r="Y201" s="84"/>
      <c r="Z201" s="84"/>
    </row>
    <row r="202" ht="15.75" customHeight="1">
      <c r="A202" s="84"/>
      <c r="B202" s="84"/>
      <c r="C202" s="84"/>
      <c r="D202" s="84"/>
      <c r="E202" s="84"/>
      <c r="F202" s="84"/>
      <c r="G202" s="84"/>
      <c r="H202" s="84"/>
      <c r="I202" s="84"/>
      <c r="J202" s="84"/>
      <c r="K202" s="84"/>
      <c r="L202" s="84"/>
      <c r="M202" s="84"/>
      <c r="N202" s="84"/>
      <c r="O202" s="84"/>
      <c r="P202" s="84"/>
      <c r="Q202" s="84"/>
      <c r="R202" s="84"/>
      <c r="S202" s="84"/>
      <c r="T202" s="84"/>
      <c r="U202" s="84"/>
      <c r="V202" s="84"/>
      <c r="W202" s="84"/>
      <c r="X202" s="84"/>
      <c r="Y202" s="84"/>
      <c r="Z202" s="84"/>
    </row>
    <row r="203" ht="15.75" customHeight="1">
      <c r="A203" s="84"/>
      <c r="B203" s="84"/>
      <c r="C203" s="84"/>
      <c r="D203" s="84"/>
      <c r="E203" s="84"/>
      <c r="F203" s="84"/>
      <c r="G203" s="84"/>
      <c r="H203" s="84"/>
      <c r="I203" s="84"/>
      <c r="J203" s="84"/>
      <c r="K203" s="84"/>
      <c r="L203" s="84"/>
      <c r="M203" s="84"/>
      <c r="N203" s="84"/>
      <c r="O203" s="84"/>
      <c r="P203" s="84"/>
      <c r="Q203" s="84"/>
      <c r="R203" s="84"/>
      <c r="S203" s="84"/>
      <c r="T203" s="84"/>
      <c r="U203" s="84"/>
      <c r="V203" s="84"/>
      <c r="W203" s="84"/>
      <c r="X203" s="84"/>
      <c r="Y203" s="84"/>
      <c r="Z203" s="84"/>
    </row>
    <row r="204" ht="15.75" customHeight="1">
      <c r="A204" s="84"/>
      <c r="B204" s="84"/>
      <c r="C204" s="84"/>
      <c r="D204" s="84"/>
      <c r="E204" s="84"/>
      <c r="F204" s="84"/>
      <c r="G204" s="84"/>
      <c r="H204" s="84"/>
      <c r="I204" s="84"/>
      <c r="J204" s="84"/>
      <c r="K204" s="84"/>
      <c r="L204" s="84"/>
      <c r="M204" s="84"/>
      <c r="N204" s="84"/>
      <c r="O204" s="84"/>
      <c r="P204" s="84"/>
      <c r="Q204" s="84"/>
      <c r="R204" s="84"/>
      <c r="S204" s="84"/>
      <c r="T204" s="84"/>
      <c r="U204" s="84"/>
      <c r="V204" s="84"/>
      <c r="W204" s="84"/>
      <c r="X204" s="84"/>
      <c r="Y204" s="84"/>
      <c r="Z204" s="84"/>
    </row>
    <row r="205" ht="15.75" customHeight="1">
      <c r="A205" s="84"/>
      <c r="B205" s="84"/>
      <c r="C205" s="84"/>
      <c r="D205" s="84"/>
      <c r="E205" s="84"/>
      <c r="F205" s="84"/>
      <c r="G205" s="84"/>
      <c r="H205" s="84"/>
      <c r="I205" s="84"/>
      <c r="J205" s="84"/>
      <c r="K205" s="84"/>
      <c r="L205" s="84"/>
      <c r="M205" s="84"/>
      <c r="N205" s="84"/>
      <c r="O205" s="84"/>
      <c r="P205" s="84"/>
      <c r="Q205" s="84"/>
      <c r="R205" s="84"/>
      <c r="S205" s="84"/>
      <c r="T205" s="84"/>
      <c r="U205" s="84"/>
      <c r="V205" s="84"/>
      <c r="W205" s="84"/>
      <c r="X205" s="84"/>
      <c r="Y205" s="84"/>
      <c r="Z205" s="84"/>
    </row>
    <row r="206" ht="15.75" customHeight="1">
      <c r="A206" s="84"/>
      <c r="B206" s="84"/>
      <c r="C206" s="84"/>
      <c r="D206" s="84"/>
      <c r="E206" s="84"/>
      <c r="F206" s="84"/>
      <c r="G206" s="84"/>
      <c r="H206" s="84"/>
      <c r="I206" s="84"/>
      <c r="J206" s="84"/>
      <c r="K206" s="84"/>
      <c r="L206" s="84"/>
      <c r="M206" s="84"/>
      <c r="N206" s="84"/>
      <c r="O206" s="84"/>
      <c r="P206" s="84"/>
      <c r="Q206" s="84"/>
      <c r="R206" s="84"/>
      <c r="S206" s="84"/>
      <c r="T206" s="84"/>
      <c r="U206" s="84"/>
      <c r="V206" s="84"/>
      <c r="W206" s="84"/>
      <c r="X206" s="84"/>
      <c r="Y206" s="84"/>
      <c r="Z206" s="84"/>
    </row>
    <row r="207" ht="15.75" customHeight="1">
      <c r="A207" s="84"/>
      <c r="B207" s="84"/>
      <c r="C207" s="84"/>
      <c r="D207" s="84"/>
      <c r="E207" s="84"/>
      <c r="F207" s="84"/>
      <c r="G207" s="84"/>
      <c r="H207" s="84"/>
      <c r="I207" s="84"/>
      <c r="J207" s="84"/>
      <c r="K207" s="84"/>
      <c r="L207" s="84"/>
      <c r="M207" s="84"/>
      <c r="N207" s="84"/>
      <c r="O207" s="84"/>
      <c r="P207" s="84"/>
      <c r="Q207" s="84"/>
      <c r="R207" s="84"/>
      <c r="S207" s="84"/>
      <c r="T207" s="84"/>
      <c r="U207" s="84"/>
      <c r="V207" s="84"/>
      <c r="W207" s="84"/>
      <c r="X207" s="84"/>
      <c r="Y207" s="84"/>
      <c r="Z207" s="84"/>
    </row>
    <row r="208" ht="15.75" customHeight="1">
      <c r="A208" s="84"/>
      <c r="B208" s="84"/>
      <c r="C208" s="84"/>
      <c r="D208" s="84"/>
      <c r="E208" s="84"/>
      <c r="F208" s="84"/>
      <c r="G208" s="84"/>
      <c r="H208" s="84"/>
      <c r="I208" s="84"/>
      <c r="J208" s="84"/>
      <c r="K208" s="84"/>
      <c r="L208" s="84"/>
      <c r="M208" s="84"/>
      <c r="N208" s="84"/>
      <c r="O208" s="84"/>
      <c r="P208" s="84"/>
      <c r="Q208" s="84"/>
      <c r="R208" s="84"/>
      <c r="S208" s="84"/>
      <c r="T208" s="84"/>
      <c r="U208" s="84"/>
      <c r="V208" s="84"/>
      <c r="W208" s="84"/>
      <c r="X208" s="84"/>
      <c r="Y208" s="84"/>
      <c r="Z208" s="84"/>
    </row>
    <row r="209" ht="15.75" customHeight="1">
      <c r="A209" s="84"/>
      <c r="B209" s="84"/>
      <c r="C209" s="84"/>
      <c r="D209" s="84"/>
      <c r="E209" s="84"/>
      <c r="F209" s="84"/>
      <c r="G209" s="84"/>
      <c r="H209" s="84"/>
      <c r="I209" s="84"/>
      <c r="J209" s="84"/>
      <c r="K209" s="84"/>
      <c r="L209" s="84"/>
      <c r="M209" s="84"/>
      <c r="N209" s="84"/>
      <c r="O209" s="84"/>
      <c r="P209" s="84"/>
      <c r="Q209" s="84"/>
      <c r="R209" s="84"/>
      <c r="S209" s="84"/>
      <c r="T209" s="84"/>
      <c r="U209" s="84"/>
      <c r="V209" s="84"/>
      <c r="W209" s="84"/>
      <c r="X209" s="84"/>
      <c r="Y209" s="84"/>
      <c r="Z209" s="84"/>
    </row>
    <row r="210" ht="15.75" customHeight="1">
      <c r="A210" s="84"/>
      <c r="B210" s="84"/>
      <c r="C210" s="84"/>
      <c r="D210" s="84"/>
      <c r="E210" s="84"/>
      <c r="F210" s="84"/>
      <c r="G210" s="84"/>
      <c r="H210" s="84"/>
      <c r="I210" s="84"/>
      <c r="J210" s="84"/>
      <c r="K210" s="84"/>
      <c r="L210" s="84"/>
      <c r="M210" s="84"/>
      <c r="N210" s="84"/>
      <c r="O210" s="84"/>
      <c r="P210" s="84"/>
      <c r="Q210" s="84"/>
      <c r="R210" s="84"/>
      <c r="S210" s="84"/>
      <c r="T210" s="84"/>
      <c r="U210" s="84"/>
      <c r="V210" s="84"/>
      <c r="W210" s="84"/>
      <c r="X210" s="84"/>
      <c r="Y210" s="84"/>
      <c r="Z210" s="84"/>
    </row>
    <row r="211" ht="15.75" customHeight="1">
      <c r="A211" s="84"/>
      <c r="B211" s="84"/>
      <c r="C211" s="84"/>
      <c r="D211" s="84"/>
      <c r="E211" s="84"/>
      <c r="F211" s="84"/>
      <c r="G211" s="84"/>
      <c r="H211" s="84"/>
      <c r="I211" s="84"/>
      <c r="J211" s="84"/>
      <c r="K211" s="84"/>
      <c r="L211" s="84"/>
      <c r="M211" s="84"/>
      <c r="N211" s="84"/>
      <c r="O211" s="84"/>
      <c r="P211" s="84"/>
      <c r="Q211" s="84"/>
      <c r="R211" s="84"/>
      <c r="S211" s="84"/>
      <c r="T211" s="84"/>
      <c r="U211" s="84"/>
      <c r="V211" s="84"/>
      <c r="W211" s="84"/>
      <c r="X211" s="84"/>
      <c r="Y211" s="84"/>
      <c r="Z211" s="84"/>
    </row>
    <row r="212" ht="15.75" customHeight="1">
      <c r="A212" s="84"/>
      <c r="B212" s="84"/>
      <c r="C212" s="84"/>
      <c r="D212" s="84"/>
      <c r="E212" s="84"/>
      <c r="F212" s="84"/>
      <c r="G212" s="84"/>
      <c r="H212" s="84"/>
      <c r="I212" s="84"/>
      <c r="J212" s="84"/>
      <c r="K212" s="84"/>
      <c r="L212" s="84"/>
      <c r="M212" s="84"/>
      <c r="N212" s="84"/>
      <c r="O212" s="84"/>
      <c r="P212" s="84"/>
      <c r="Q212" s="84"/>
      <c r="R212" s="84"/>
      <c r="S212" s="84"/>
      <c r="T212" s="84"/>
      <c r="U212" s="84"/>
      <c r="V212" s="84"/>
      <c r="W212" s="84"/>
      <c r="X212" s="84"/>
      <c r="Y212" s="84"/>
      <c r="Z212" s="84"/>
    </row>
    <row r="213" ht="15.75" customHeight="1">
      <c r="A213" s="84"/>
      <c r="B213" s="84"/>
      <c r="C213" s="84"/>
      <c r="D213" s="84"/>
      <c r="E213" s="84"/>
      <c r="F213" s="84"/>
      <c r="G213" s="84"/>
      <c r="H213" s="84"/>
      <c r="I213" s="84"/>
      <c r="J213" s="84"/>
      <c r="K213" s="84"/>
      <c r="L213" s="84"/>
      <c r="M213" s="84"/>
      <c r="N213" s="84"/>
      <c r="O213" s="84"/>
      <c r="P213" s="84"/>
      <c r="Q213" s="84"/>
      <c r="R213" s="84"/>
      <c r="S213" s="84"/>
      <c r="T213" s="84"/>
      <c r="U213" s="84"/>
      <c r="V213" s="84"/>
      <c r="W213" s="84"/>
      <c r="X213" s="84"/>
      <c r="Y213" s="84"/>
      <c r="Z213" s="84"/>
    </row>
    <row r="214" ht="15.75" customHeight="1">
      <c r="A214" s="84"/>
      <c r="B214" s="84"/>
      <c r="C214" s="84"/>
      <c r="D214" s="84"/>
      <c r="E214" s="84"/>
      <c r="F214" s="84"/>
      <c r="G214" s="84"/>
      <c r="H214" s="84"/>
      <c r="I214" s="84"/>
      <c r="J214" s="84"/>
      <c r="K214" s="84"/>
      <c r="L214" s="84"/>
      <c r="M214" s="84"/>
      <c r="N214" s="84"/>
      <c r="O214" s="84"/>
      <c r="P214" s="84"/>
      <c r="Q214" s="84"/>
      <c r="R214" s="84"/>
      <c r="S214" s="84"/>
      <c r="T214" s="84"/>
      <c r="U214" s="84"/>
      <c r="V214" s="84"/>
      <c r="W214" s="84"/>
      <c r="X214" s="84"/>
      <c r="Y214" s="84"/>
      <c r="Z214" s="84"/>
    </row>
    <row r="215" ht="15.75" customHeight="1">
      <c r="A215" s="84"/>
      <c r="B215" s="84"/>
      <c r="C215" s="84"/>
      <c r="D215" s="84"/>
      <c r="E215" s="84"/>
      <c r="F215" s="84"/>
      <c r="G215" s="84"/>
      <c r="H215" s="84"/>
      <c r="I215" s="84"/>
      <c r="J215" s="84"/>
      <c r="K215" s="84"/>
      <c r="L215" s="84"/>
      <c r="M215" s="84"/>
      <c r="N215" s="84"/>
      <c r="O215" s="84"/>
      <c r="P215" s="84"/>
      <c r="Q215" s="84"/>
      <c r="R215" s="84"/>
      <c r="S215" s="84"/>
      <c r="T215" s="84"/>
      <c r="U215" s="84"/>
      <c r="V215" s="84"/>
      <c r="W215" s="84"/>
      <c r="X215" s="84"/>
      <c r="Y215" s="84"/>
      <c r="Z215" s="84"/>
    </row>
    <row r="216" ht="15.75" customHeight="1">
      <c r="A216" s="84"/>
      <c r="B216" s="84"/>
      <c r="C216" s="84"/>
      <c r="D216" s="84"/>
      <c r="E216" s="84"/>
      <c r="F216" s="84"/>
      <c r="G216" s="84"/>
      <c r="H216" s="84"/>
      <c r="I216" s="84"/>
      <c r="J216" s="84"/>
      <c r="K216" s="84"/>
      <c r="L216" s="84"/>
      <c r="M216" s="84"/>
      <c r="N216" s="84"/>
      <c r="O216" s="84"/>
      <c r="P216" s="84"/>
      <c r="Q216" s="84"/>
      <c r="R216" s="84"/>
      <c r="S216" s="84"/>
      <c r="T216" s="84"/>
      <c r="U216" s="84"/>
      <c r="V216" s="84"/>
      <c r="W216" s="84"/>
      <c r="X216" s="84"/>
      <c r="Y216" s="84"/>
      <c r="Z216" s="84"/>
    </row>
    <row r="217" ht="15.75" customHeight="1">
      <c r="A217" s="84"/>
      <c r="B217" s="84"/>
      <c r="C217" s="84"/>
      <c r="D217" s="84"/>
      <c r="E217" s="84"/>
      <c r="F217" s="84"/>
      <c r="G217" s="84"/>
      <c r="H217" s="84"/>
      <c r="I217" s="84"/>
      <c r="J217" s="84"/>
      <c r="K217" s="84"/>
      <c r="L217" s="84"/>
      <c r="M217" s="84"/>
      <c r="N217" s="84"/>
      <c r="O217" s="84"/>
      <c r="P217" s="84"/>
      <c r="Q217" s="84"/>
      <c r="R217" s="84"/>
      <c r="S217" s="84"/>
      <c r="T217" s="84"/>
      <c r="U217" s="84"/>
      <c r="V217" s="84"/>
      <c r="W217" s="84"/>
      <c r="X217" s="84"/>
      <c r="Y217" s="84"/>
      <c r="Z217" s="84"/>
    </row>
    <row r="218" ht="15.75" customHeight="1">
      <c r="A218" s="84"/>
      <c r="B218" s="84"/>
      <c r="C218" s="84"/>
      <c r="D218" s="84"/>
      <c r="E218" s="84"/>
      <c r="F218" s="84"/>
      <c r="G218" s="84"/>
      <c r="H218" s="84"/>
      <c r="I218" s="84"/>
      <c r="J218" s="84"/>
      <c r="K218" s="84"/>
      <c r="L218" s="84"/>
      <c r="M218" s="84"/>
      <c r="N218" s="84"/>
      <c r="O218" s="84"/>
      <c r="P218" s="84"/>
      <c r="Q218" s="84"/>
      <c r="R218" s="84"/>
      <c r="S218" s="84"/>
      <c r="T218" s="84"/>
      <c r="U218" s="84"/>
      <c r="V218" s="84"/>
      <c r="W218" s="84"/>
      <c r="X218" s="84"/>
      <c r="Y218" s="84"/>
      <c r="Z218" s="84"/>
    </row>
    <row r="219" ht="15.75" customHeight="1">
      <c r="A219" s="84"/>
      <c r="B219" s="84"/>
      <c r="C219" s="84"/>
      <c r="D219" s="84"/>
      <c r="E219" s="84"/>
      <c r="F219" s="84"/>
      <c r="G219" s="84"/>
      <c r="H219" s="84"/>
      <c r="I219" s="84"/>
      <c r="J219" s="84"/>
      <c r="K219" s="84"/>
      <c r="L219" s="84"/>
      <c r="M219" s="84"/>
      <c r="N219" s="84"/>
      <c r="O219" s="84"/>
      <c r="P219" s="84"/>
      <c r="Q219" s="84"/>
      <c r="R219" s="84"/>
      <c r="S219" s="84"/>
      <c r="T219" s="84"/>
      <c r="U219" s="84"/>
      <c r="V219" s="84"/>
      <c r="W219" s="84"/>
      <c r="X219" s="84"/>
      <c r="Y219" s="84"/>
      <c r="Z219" s="84"/>
    </row>
    <row r="220" ht="15.75" customHeight="1">
      <c r="A220" s="84"/>
      <c r="B220" s="84"/>
      <c r="C220" s="84"/>
      <c r="D220" s="84"/>
      <c r="E220" s="84"/>
      <c r="F220" s="84"/>
      <c r="G220" s="84"/>
      <c r="H220" s="84"/>
      <c r="I220" s="84"/>
      <c r="J220" s="84"/>
      <c r="K220" s="84"/>
      <c r="L220" s="84"/>
      <c r="M220" s="84"/>
      <c r="N220" s="84"/>
      <c r="O220" s="84"/>
      <c r="P220" s="84"/>
      <c r="Q220" s="84"/>
      <c r="R220" s="84"/>
      <c r="S220" s="84"/>
      <c r="T220" s="84"/>
      <c r="U220" s="84"/>
      <c r="V220" s="84"/>
      <c r="W220" s="84"/>
      <c r="X220" s="84"/>
      <c r="Y220" s="84"/>
      <c r="Z220" s="84"/>
    </row>
    <row r="221" ht="15.75" customHeight="1">
      <c r="A221" s="84"/>
      <c r="B221" s="84"/>
      <c r="C221" s="84"/>
      <c r="D221" s="84"/>
      <c r="E221" s="84"/>
      <c r="F221" s="84"/>
      <c r="G221" s="84"/>
      <c r="H221" s="84"/>
      <c r="I221" s="84"/>
      <c r="J221" s="84"/>
      <c r="K221" s="84"/>
      <c r="L221" s="84"/>
      <c r="M221" s="84"/>
      <c r="N221" s="84"/>
      <c r="O221" s="84"/>
      <c r="P221" s="84"/>
      <c r="Q221" s="84"/>
      <c r="R221" s="84"/>
      <c r="S221" s="84"/>
      <c r="T221" s="84"/>
      <c r="U221" s="84"/>
      <c r="V221" s="84"/>
      <c r="W221" s="84"/>
      <c r="X221" s="84"/>
      <c r="Y221" s="84"/>
      <c r="Z221" s="84"/>
    </row>
    <row r="222" ht="15.75" customHeight="1">
      <c r="A222" s="84"/>
      <c r="B222" s="84"/>
      <c r="C222" s="84"/>
      <c r="D222" s="84"/>
      <c r="E222" s="84"/>
      <c r="F222" s="84"/>
      <c r="G222" s="84"/>
      <c r="H222" s="84"/>
      <c r="I222" s="84"/>
      <c r="J222" s="84"/>
      <c r="K222" s="84"/>
      <c r="L222" s="84"/>
      <c r="M222" s="84"/>
      <c r="N222" s="84"/>
      <c r="O222" s="84"/>
      <c r="P222" s="84"/>
      <c r="Q222" s="84"/>
      <c r="R222" s="84"/>
      <c r="S222" s="84"/>
      <c r="T222" s="84"/>
      <c r="U222" s="84"/>
      <c r="V222" s="84"/>
      <c r="W222" s="84"/>
      <c r="X222" s="84"/>
      <c r="Y222" s="84"/>
      <c r="Z222" s="84"/>
    </row>
    <row r="223" ht="15.75" customHeight="1">
      <c r="A223" s="84"/>
      <c r="B223" s="84"/>
      <c r="C223" s="84"/>
      <c r="D223" s="84"/>
      <c r="E223" s="84"/>
      <c r="F223" s="84"/>
    </row>
    <row r="224" ht="15.75" customHeight="1">
      <c r="A224" s="84"/>
      <c r="B224" s="84"/>
      <c r="C224" s="84"/>
      <c r="D224" s="84"/>
      <c r="E224" s="84"/>
      <c r="F224" s="84"/>
    </row>
    <row r="225" ht="15.75" customHeight="1">
      <c r="A225" s="84"/>
      <c r="B225" s="84"/>
      <c r="C225" s="84"/>
      <c r="D225" s="84"/>
      <c r="E225" s="84"/>
      <c r="F225" s="84"/>
    </row>
    <row r="226" ht="15.75" customHeight="1">
      <c r="A226" s="84"/>
      <c r="B226" s="84"/>
      <c r="C226" s="84"/>
      <c r="D226" s="84"/>
      <c r="E226" s="84"/>
      <c r="F226" s="84"/>
    </row>
    <row r="227" ht="15.75" customHeight="1">
      <c r="A227" s="84"/>
      <c r="B227" s="84"/>
      <c r="C227" s="84"/>
      <c r="D227" s="84"/>
      <c r="E227" s="84"/>
      <c r="F227" s="84"/>
    </row>
    <row r="228" ht="15.75" customHeight="1">
      <c r="A228" s="84"/>
      <c r="B228" s="84"/>
      <c r="C228" s="84"/>
      <c r="D228" s="84"/>
      <c r="E228" s="84"/>
      <c r="F228" s="84"/>
    </row>
    <row r="229" ht="15.75" customHeight="1">
      <c r="A229" s="84"/>
      <c r="B229" s="84"/>
      <c r="C229" s="84"/>
      <c r="D229" s="84"/>
      <c r="E229" s="84"/>
      <c r="F229" s="84"/>
    </row>
    <row r="230" ht="15.75" customHeight="1">
      <c r="A230" s="84"/>
      <c r="B230" s="84"/>
      <c r="C230" s="84"/>
      <c r="D230" s="84"/>
      <c r="E230" s="84"/>
      <c r="F230" s="84"/>
    </row>
    <row r="231" ht="15.75" customHeight="1">
      <c r="A231" s="84"/>
      <c r="B231" s="84"/>
      <c r="C231" s="84"/>
      <c r="D231" s="84"/>
      <c r="E231" s="84"/>
      <c r="F231" s="84"/>
    </row>
    <row r="232" ht="15.75" customHeight="1">
      <c r="A232" s="84"/>
      <c r="B232" s="84"/>
      <c r="C232" s="84"/>
      <c r="D232" s="84"/>
      <c r="E232" s="84"/>
      <c r="F232" s="84"/>
    </row>
    <row r="233" ht="15.75" customHeight="1">
      <c r="A233" s="84"/>
      <c r="B233" s="84"/>
      <c r="C233" s="84"/>
      <c r="D233" s="84"/>
      <c r="E233" s="84"/>
      <c r="F233" s="84"/>
    </row>
    <row r="234" ht="15.75" customHeight="1">
      <c r="A234" s="84"/>
      <c r="B234" s="84"/>
      <c r="C234" s="84"/>
      <c r="D234" s="84"/>
      <c r="E234" s="84"/>
      <c r="F234" s="84"/>
    </row>
    <row r="235" ht="15.75" customHeight="1">
      <c r="A235" s="84"/>
      <c r="B235" s="84"/>
      <c r="C235" s="84"/>
      <c r="D235" s="84"/>
      <c r="E235" s="84"/>
      <c r="F235" s="84"/>
    </row>
    <row r="236" ht="15.75" customHeight="1">
      <c r="A236" s="84"/>
      <c r="B236" s="84"/>
      <c r="C236" s="84"/>
      <c r="D236" s="84"/>
      <c r="E236" s="84"/>
      <c r="F236" s="84"/>
    </row>
    <row r="237" ht="15.75" customHeight="1">
      <c r="A237" s="84"/>
      <c r="B237" s="84"/>
      <c r="C237" s="84"/>
      <c r="D237" s="84"/>
      <c r="E237" s="84"/>
      <c r="F237" s="84"/>
    </row>
    <row r="238" ht="15.75" customHeight="1">
      <c r="A238" s="84"/>
      <c r="B238" s="84"/>
      <c r="C238" s="84"/>
      <c r="D238" s="84"/>
      <c r="E238" s="84"/>
      <c r="F238" s="84"/>
    </row>
    <row r="239" ht="15.75" customHeight="1">
      <c r="A239" s="84"/>
      <c r="B239" s="84"/>
      <c r="C239" s="84"/>
      <c r="D239" s="84"/>
      <c r="E239" s="84"/>
      <c r="F239" s="84"/>
    </row>
    <row r="240" ht="15.75" customHeight="1">
      <c r="A240" s="84"/>
      <c r="B240" s="84"/>
      <c r="C240" s="84"/>
      <c r="D240" s="84"/>
      <c r="E240" s="84"/>
      <c r="F240" s="84"/>
    </row>
    <row r="241" ht="15.75" customHeight="1">
      <c r="A241" s="84"/>
      <c r="B241" s="84"/>
      <c r="C241" s="84"/>
      <c r="D241" s="84"/>
      <c r="E241" s="84"/>
      <c r="F241" s="84"/>
    </row>
    <row r="242" ht="15.75" customHeight="1">
      <c r="A242" s="84"/>
      <c r="B242" s="84"/>
      <c r="C242" s="84"/>
      <c r="D242" s="84"/>
      <c r="E242" s="84"/>
      <c r="F242" s="84"/>
    </row>
    <row r="243" ht="15.75" customHeight="1">
      <c r="A243" s="84"/>
      <c r="B243" s="84"/>
      <c r="C243" s="84"/>
      <c r="D243" s="84"/>
      <c r="E243" s="84"/>
      <c r="F243" s="84"/>
    </row>
    <row r="244" ht="15.75" customHeight="1">
      <c r="A244" s="84"/>
      <c r="B244" s="84"/>
      <c r="C244" s="84"/>
      <c r="D244" s="84"/>
      <c r="E244" s="84"/>
      <c r="F244" s="84"/>
    </row>
    <row r="245" ht="15.75" customHeight="1">
      <c r="A245" s="84"/>
      <c r="B245" s="84"/>
      <c r="C245" s="84"/>
      <c r="D245" s="84"/>
      <c r="E245" s="84"/>
      <c r="F245" s="84"/>
    </row>
    <row r="246" ht="15.75" customHeight="1">
      <c r="A246" s="84"/>
      <c r="B246" s="84"/>
      <c r="C246" s="84"/>
      <c r="D246" s="84"/>
      <c r="E246" s="84"/>
      <c r="F246" s="84"/>
    </row>
    <row r="247" ht="15.75" customHeight="1">
      <c r="A247" s="84"/>
      <c r="B247" s="84"/>
      <c r="C247" s="84"/>
      <c r="D247" s="84"/>
      <c r="E247" s="84"/>
      <c r="F247" s="84"/>
    </row>
    <row r="248" ht="15.75" customHeight="1">
      <c r="A248" s="84"/>
      <c r="B248" s="84"/>
      <c r="C248" s="84"/>
      <c r="D248" s="84"/>
      <c r="E248" s="84"/>
      <c r="F248" s="84"/>
    </row>
    <row r="249" ht="15.75" customHeight="1">
      <c r="A249" s="84"/>
      <c r="B249" s="84"/>
      <c r="C249" s="84"/>
      <c r="D249" s="84"/>
      <c r="E249" s="84"/>
      <c r="F249" s="84"/>
    </row>
    <row r="250" ht="15.75" customHeight="1">
      <c r="A250" s="84"/>
      <c r="B250" s="84"/>
      <c r="C250" s="84"/>
      <c r="D250" s="84"/>
      <c r="E250" s="84"/>
      <c r="F250" s="84"/>
    </row>
    <row r="251" ht="15.75" customHeight="1">
      <c r="A251" s="84"/>
      <c r="B251" s="84"/>
      <c r="C251" s="84"/>
      <c r="D251" s="84"/>
      <c r="E251" s="84"/>
      <c r="F251" s="84"/>
    </row>
    <row r="252" ht="15.75" customHeight="1">
      <c r="A252" s="84"/>
      <c r="B252" s="84"/>
      <c r="C252" s="84"/>
      <c r="D252" s="84"/>
      <c r="E252" s="84"/>
      <c r="F252" s="84"/>
    </row>
    <row r="253" ht="15.75" customHeight="1">
      <c r="A253" s="84"/>
      <c r="B253" s="84"/>
      <c r="C253" s="84"/>
      <c r="D253" s="84"/>
      <c r="E253" s="84"/>
      <c r="F253" s="84"/>
    </row>
    <row r="254" ht="15.75" customHeight="1">
      <c r="A254" s="84"/>
      <c r="B254" s="84"/>
      <c r="C254" s="84"/>
      <c r="D254" s="84"/>
      <c r="E254" s="84"/>
      <c r="F254" s="84"/>
    </row>
    <row r="255" ht="15.75" customHeight="1">
      <c r="A255" s="84"/>
      <c r="B255" s="84"/>
      <c r="C255" s="84"/>
      <c r="D255" s="84"/>
      <c r="E255" s="84"/>
      <c r="F255" s="84"/>
    </row>
    <row r="256" ht="15.75" customHeight="1">
      <c r="A256" s="84"/>
      <c r="B256" s="84"/>
      <c r="C256" s="84"/>
      <c r="D256" s="84"/>
      <c r="E256" s="84"/>
      <c r="F256" s="84"/>
    </row>
    <row r="257" ht="15.75" customHeight="1">
      <c r="A257" s="84"/>
      <c r="B257" s="84"/>
      <c r="C257" s="84"/>
      <c r="D257" s="84"/>
      <c r="E257" s="84"/>
      <c r="F257" s="84"/>
    </row>
    <row r="258" ht="15.75" customHeight="1">
      <c r="A258" s="84"/>
      <c r="B258" s="84"/>
      <c r="C258" s="84"/>
      <c r="D258" s="84"/>
      <c r="E258" s="84"/>
      <c r="F258" s="84"/>
    </row>
    <row r="259" ht="15.75" customHeight="1">
      <c r="A259" s="84"/>
      <c r="B259" s="84"/>
      <c r="C259" s="84"/>
      <c r="D259" s="84"/>
      <c r="E259" s="84"/>
      <c r="F259" s="84"/>
    </row>
    <row r="260" ht="15.75" customHeight="1">
      <c r="A260" s="84"/>
      <c r="B260" s="84"/>
      <c r="C260" s="84"/>
      <c r="D260" s="84"/>
      <c r="E260" s="84"/>
      <c r="F260" s="84"/>
    </row>
    <row r="261" ht="15.75" customHeight="1">
      <c r="A261" s="84"/>
      <c r="B261" s="84"/>
      <c r="C261" s="84"/>
      <c r="D261" s="84"/>
      <c r="E261" s="84"/>
      <c r="F261" s="84"/>
    </row>
    <row r="262" ht="15.75" customHeight="1">
      <c r="A262" s="84"/>
      <c r="B262" s="84"/>
      <c r="C262" s="84"/>
      <c r="D262" s="84"/>
      <c r="E262" s="84"/>
      <c r="F262" s="84"/>
    </row>
    <row r="263" ht="15.75" customHeight="1">
      <c r="A263" s="84"/>
      <c r="B263" s="84"/>
      <c r="C263" s="84"/>
      <c r="D263" s="84"/>
      <c r="E263" s="84"/>
      <c r="F263" s="84"/>
    </row>
    <row r="264" ht="15.75" customHeight="1">
      <c r="A264" s="84"/>
      <c r="B264" s="84"/>
      <c r="C264" s="84"/>
      <c r="D264" s="84"/>
      <c r="E264" s="84"/>
      <c r="F264" s="84"/>
    </row>
    <row r="265" ht="15.75" customHeight="1">
      <c r="A265" s="84"/>
      <c r="B265" s="84"/>
      <c r="C265" s="84"/>
      <c r="D265" s="84"/>
      <c r="E265" s="84"/>
      <c r="F265" s="84"/>
    </row>
    <row r="266" ht="15.75" customHeight="1">
      <c r="A266" s="84"/>
      <c r="B266" s="84"/>
      <c r="C266" s="84"/>
      <c r="D266" s="84"/>
      <c r="E266" s="84"/>
      <c r="F266" s="84"/>
    </row>
    <row r="267" ht="15.75" customHeight="1">
      <c r="A267" s="84"/>
      <c r="B267" s="84"/>
      <c r="C267" s="84"/>
      <c r="D267" s="84"/>
      <c r="E267" s="84"/>
      <c r="F267" s="84"/>
    </row>
    <row r="268" ht="15.75" customHeight="1">
      <c r="A268" s="84"/>
      <c r="B268" s="84"/>
      <c r="C268" s="84"/>
      <c r="D268" s="84"/>
      <c r="E268" s="84"/>
      <c r="F268" s="84"/>
    </row>
    <row r="269" ht="15.75" customHeight="1">
      <c r="A269" s="84"/>
      <c r="B269" s="84"/>
      <c r="C269" s="84"/>
      <c r="D269" s="84"/>
      <c r="E269" s="84"/>
      <c r="F269" s="84"/>
    </row>
    <row r="270" ht="15.75" customHeight="1">
      <c r="A270" s="84"/>
      <c r="B270" s="84"/>
      <c r="C270" s="84"/>
      <c r="D270" s="84"/>
      <c r="E270" s="84"/>
      <c r="F270" s="84"/>
    </row>
    <row r="271" ht="15.75" customHeight="1">
      <c r="A271" s="84"/>
      <c r="B271" s="84"/>
      <c r="C271" s="84"/>
      <c r="D271" s="84"/>
      <c r="E271" s="84"/>
      <c r="F271" s="84"/>
    </row>
    <row r="272" ht="15.75" customHeight="1">
      <c r="A272" s="84"/>
      <c r="B272" s="84"/>
      <c r="C272" s="84"/>
      <c r="D272" s="84"/>
      <c r="E272" s="84"/>
      <c r="F272" s="84"/>
    </row>
    <row r="273" ht="15.75" customHeight="1">
      <c r="A273" s="84"/>
      <c r="B273" s="84"/>
      <c r="C273" s="84"/>
      <c r="D273" s="84"/>
      <c r="E273" s="84"/>
      <c r="F273" s="84"/>
    </row>
    <row r="274" ht="15.75" customHeight="1">
      <c r="A274" s="84"/>
      <c r="B274" s="84"/>
      <c r="C274" s="84"/>
      <c r="D274" s="84"/>
      <c r="E274" s="84"/>
      <c r="F274" s="84"/>
    </row>
    <row r="275" ht="15.75" customHeight="1">
      <c r="A275" s="84"/>
      <c r="B275" s="84"/>
      <c r="C275" s="84"/>
      <c r="D275" s="84"/>
      <c r="E275" s="84"/>
      <c r="F275" s="84"/>
    </row>
    <row r="276" ht="15.75" customHeight="1">
      <c r="A276" s="84"/>
      <c r="B276" s="84"/>
      <c r="C276" s="84"/>
      <c r="D276" s="84"/>
      <c r="E276" s="84"/>
      <c r="F276" s="84"/>
    </row>
    <row r="277" ht="15.75" customHeight="1">
      <c r="A277" s="84"/>
      <c r="B277" s="84"/>
      <c r="C277" s="84"/>
      <c r="D277" s="84"/>
      <c r="E277" s="84"/>
      <c r="F277" s="84"/>
    </row>
    <row r="278" ht="15.75" customHeight="1">
      <c r="A278" s="84"/>
      <c r="B278" s="84"/>
      <c r="C278" s="84"/>
      <c r="D278" s="84"/>
      <c r="E278" s="84"/>
      <c r="F278" s="84"/>
    </row>
    <row r="279" ht="15.75" customHeight="1">
      <c r="A279" s="84"/>
      <c r="B279" s="84"/>
      <c r="C279" s="84"/>
      <c r="D279" s="84"/>
      <c r="E279" s="84"/>
      <c r="F279" s="84"/>
    </row>
    <row r="280" ht="15.75" customHeight="1">
      <c r="A280" s="84"/>
      <c r="B280" s="84"/>
      <c r="C280" s="84"/>
      <c r="D280" s="84"/>
      <c r="E280" s="84"/>
      <c r="F280" s="84"/>
    </row>
    <row r="281" ht="15.75" customHeight="1">
      <c r="A281" s="84"/>
      <c r="B281" s="84"/>
      <c r="C281" s="84"/>
      <c r="D281" s="84"/>
      <c r="E281" s="84"/>
      <c r="F281" s="84"/>
    </row>
    <row r="282" ht="15.75" customHeight="1">
      <c r="A282" s="84"/>
      <c r="B282" s="84"/>
      <c r="C282" s="84"/>
      <c r="D282" s="84"/>
      <c r="E282" s="84"/>
      <c r="F282" s="84"/>
    </row>
    <row r="283" ht="15.75" customHeight="1">
      <c r="A283" s="84"/>
      <c r="B283" s="84"/>
      <c r="C283" s="84"/>
      <c r="D283" s="84"/>
      <c r="E283" s="84"/>
      <c r="F283" s="84"/>
    </row>
    <row r="284" ht="15.75" customHeight="1">
      <c r="A284" s="84"/>
      <c r="B284" s="84"/>
      <c r="C284" s="84"/>
      <c r="D284" s="84"/>
      <c r="E284" s="84"/>
      <c r="F284" s="84"/>
    </row>
    <row r="285" ht="15.75" customHeight="1">
      <c r="A285" s="84"/>
      <c r="B285" s="84"/>
      <c r="C285" s="84"/>
      <c r="D285" s="84"/>
      <c r="E285" s="84"/>
      <c r="F285" s="84"/>
    </row>
    <row r="286" ht="15.75" customHeight="1">
      <c r="A286" s="84"/>
      <c r="B286" s="84"/>
      <c r="C286" s="84"/>
      <c r="D286" s="84"/>
      <c r="E286" s="84"/>
      <c r="F286" s="84"/>
    </row>
    <row r="287" ht="15.75" customHeight="1">
      <c r="A287" s="84"/>
      <c r="B287" s="84"/>
      <c r="C287" s="84"/>
      <c r="D287" s="84"/>
      <c r="E287" s="84"/>
      <c r="F287" s="84"/>
    </row>
    <row r="288" ht="15.75" customHeight="1">
      <c r="A288" s="84"/>
      <c r="B288" s="84"/>
      <c r="C288" s="84"/>
      <c r="D288" s="84"/>
      <c r="E288" s="84"/>
      <c r="F288" s="84"/>
    </row>
    <row r="289" ht="15.75" customHeight="1">
      <c r="A289" s="84"/>
      <c r="B289" s="84"/>
      <c r="C289" s="84"/>
      <c r="D289" s="84"/>
      <c r="E289" s="84"/>
      <c r="F289" s="84"/>
    </row>
    <row r="290" ht="15.75" customHeight="1">
      <c r="A290" s="84"/>
      <c r="B290" s="84"/>
      <c r="C290" s="84"/>
      <c r="D290" s="84"/>
      <c r="E290" s="84"/>
      <c r="F290" s="84"/>
    </row>
    <row r="291" ht="15.75" customHeight="1">
      <c r="A291" s="84"/>
      <c r="B291" s="84"/>
      <c r="C291" s="84"/>
      <c r="D291" s="84"/>
      <c r="E291" s="84"/>
      <c r="F291" s="84"/>
    </row>
    <row r="292" ht="15.75" customHeight="1">
      <c r="A292" s="84"/>
      <c r="B292" s="84"/>
      <c r="C292" s="84"/>
      <c r="D292" s="84"/>
      <c r="E292" s="84"/>
      <c r="F292" s="84"/>
    </row>
    <row r="293" ht="15.75" customHeight="1">
      <c r="A293" s="84"/>
      <c r="B293" s="84"/>
      <c r="C293" s="84"/>
      <c r="D293" s="84"/>
      <c r="E293" s="84"/>
      <c r="F293" s="84"/>
    </row>
    <row r="294" ht="15.75" customHeight="1">
      <c r="A294" s="84"/>
      <c r="B294" s="84"/>
      <c r="C294" s="84"/>
      <c r="D294" s="84"/>
      <c r="E294" s="84"/>
      <c r="F294" s="84"/>
    </row>
    <row r="295" ht="15.75" customHeight="1">
      <c r="A295" s="84"/>
      <c r="B295" s="84"/>
      <c r="C295" s="84"/>
      <c r="D295" s="84"/>
      <c r="E295" s="84"/>
      <c r="F295" s="84"/>
    </row>
    <row r="296" ht="15.75" customHeight="1">
      <c r="A296" s="84"/>
      <c r="B296" s="84"/>
      <c r="C296" s="84"/>
      <c r="D296" s="84"/>
      <c r="E296" s="84"/>
      <c r="F296" s="84"/>
    </row>
    <row r="297" ht="15.75" customHeight="1">
      <c r="A297" s="84"/>
      <c r="B297" s="84"/>
      <c r="C297" s="84"/>
      <c r="D297" s="84"/>
      <c r="E297" s="84"/>
      <c r="F297" s="84"/>
    </row>
    <row r="298" ht="15.75" customHeight="1">
      <c r="A298" s="84"/>
      <c r="B298" s="84"/>
      <c r="C298" s="84"/>
      <c r="D298" s="84"/>
      <c r="E298" s="84"/>
      <c r="F298" s="84"/>
    </row>
    <row r="299" ht="15.75" customHeight="1">
      <c r="A299" s="84"/>
      <c r="B299" s="84"/>
      <c r="C299" s="84"/>
      <c r="D299" s="84"/>
      <c r="E299" s="84"/>
      <c r="F299" s="84"/>
    </row>
    <row r="300" ht="15.75" customHeight="1">
      <c r="A300" s="84"/>
      <c r="B300" s="84"/>
      <c r="C300" s="84"/>
      <c r="D300" s="84"/>
      <c r="E300" s="84"/>
      <c r="F300" s="84"/>
    </row>
    <row r="301" ht="15.75" customHeight="1">
      <c r="A301" s="84"/>
      <c r="B301" s="84"/>
      <c r="C301" s="84"/>
      <c r="D301" s="84"/>
      <c r="E301" s="84"/>
      <c r="F301" s="84"/>
    </row>
    <row r="302" ht="15.75" customHeight="1">
      <c r="A302" s="84"/>
      <c r="B302" s="84"/>
      <c r="C302" s="84"/>
      <c r="D302" s="84"/>
      <c r="E302" s="84"/>
      <c r="F302" s="84"/>
    </row>
    <row r="303" ht="15.75" customHeight="1">
      <c r="A303" s="84"/>
      <c r="B303" s="84"/>
      <c r="C303" s="84"/>
      <c r="D303" s="84"/>
      <c r="E303" s="84"/>
      <c r="F303" s="84"/>
    </row>
    <row r="304" ht="15.75" customHeight="1">
      <c r="A304" s="84"/>
      <c r="B304" s="84"/>
      <c r="C304" s="84"/>
      <c r="D304" s="84"/>
      <c r="E304" s="84"/>
      <c r="F304" s="84"/>
    </row>
    <row r="305" ht="15.75" customHeight="1">
      <c r="A305" s="84"/>
      <c r="B305" s="84"/>
      <c r="C305" s="84"/>
      <c r="D305" s="84"/>
      <c r="E305" s="84"/>
      <c r="F305" s="84"/>
    </row>
    <row r="306" ht="15.75" customHeight="1">
      <c r="A306" s="84"/>
      <c r="B306" s="84"/>
      <c r="C306" s="84"/>
      <c r="D306" s="84"/>
      <c r="E306" s="84"/>
      <c r="F306" s="84"/>
    </row>
    <row r="307" ht="15.75" customHeight="1">
      <c r="A307" s="84"/>
      <c r="B307" s="84"/>
      <c r="C307" s="84"/>
      <c r="D307" s="84"/>
      <c r="E307" s="84"/>
      <c r="F307" s="84"/>
    </row>
    <row r="308" ht="15.75" customHeight="1">
      <c r="A308" s="84"/>
      <c r="B308" s="84"/>
      <c r="C308" s="84"/>
      <c r="D308" s="84"/>
      <c r="E308" s="84"/>
      <c r="F308" s="84"/>
    </row>
    <row r="309" ht="15.75" customHeight="1">
      <c r="A309" s="84"/>
      <c r="B309" s="84"/>
      <c r="C309" s="84"/>
      <c r="D309" s="84"/>
      <c r="E309" s="84"/>
      <c r="F309" s="84"/>
    </row>
    <row r="310" ht="15.75" customHeight="1">
      <c r="A310" s="84"/>
      <c r="B310" s="84"/>
      <c r="C310" s="84"/>
      <c r="D310" s="84"/>
      <c r="E310" s="84"/>
      <c r="F310" s="84"/>
    </row>
    <row r="311" ht="15.75" customHeight="1">
      <c r="A311" s="84"/>
      <c r="B311" s="84"/>
      <c r="C311" s="84"/>
      <c r="D311" s="84"/>
      <c r="E311" s="84"/>
      <c r="F311" s="84"/>
    </row>
    <row r="312" ht="15.75" customHeight="1">
      <c r="A312" s="84"/>
      <c r="B312" s="84"/>
      <c r="C312" s="84"/>
      <c r="D312" s="84"/>
      <c r="E312" s="84"/>
      <c r="F312" s="84"/>
    </row>
    <row r="313" ht="15.75" customHeight="1">
      <c r="A313" s="84"/>
      <c r="B313" s="84"/>
      <c r="C313" s="84"/>
      <c r="D313" s="84"/>
      <c r="E313" s="84"/>
      <c r="F313" s="84"/>
    </row>
    <row r="314" ht="15.75" customHeight="1">
      <c r="A314" s="84"/>
      <c r="B314" s="84"/>
      <c r="C314" s="84"/>
      <c r="D314" s="84"/>
      <c r="E314" s="84"/>
      <c r="F314" s="84"/>
    </row>
    <row r="315" ht="15.75" customHeight="1">
      <c r="A315" s="84"/>
      <c r="B315" s="84"/>
      <c r="C315" s="84"/>
      <c r="D315" s="84"/>
      <c r="E315" s="84"/>
      <c r="F315" s="84"/>
    </row>
    <row r="316" ht="15.75" customHeight="1">
      <c r="A316" s="84"/>
      <c r="B316" s="84"/>
      <c r="C316" s="84"/>
      <c r="D316" s="84"/>
      <c r="E316" s="84"/>
      <c r="F316" s="84"/>
    </row>
    <row r="317" ht="15.75" customHeight="1">
      <c r="A317" s="84"/>
      <c r="B317" s="84"/>
      <c r="C317" s="84"/>
      <c r="D317" s="84"/>
      <c r="E317" s="84"/>
      <c r="F317" s="84"/>
    </row>
    <row r="318" ht="15.75" customHeight="1">
      <c r="A318" s="84"/>
      <c r="B318" s="84"/>
      <c r="C318" s="84"/>
      <c r="D318" s="84"/>
      <c r="E318" s="84"/>
      <c r="F318" s="84"/>
    </row>
    <row r="319" ht="15.75" customHeight="1">
      <c r="A319" s="84"/>
      <c r="B319" s="84"/>
      <c r="C319" s="84"/>
      <c r="D319" s="84"/>
      <c r="E319" s="84"/>
      <c r="F319" s="84"/>
    </row>
    <row r="320" ht="15.75" customHeight="1">
      <c r="A320" s="84"/>
      <c r="B320" s="84"/>
      <c r="C320" s="84"/>
      <c r="D320" s="84"/>
      <c r="E320" s="84"/>
      <c r="F320" s="84"/>
    </row>
    <row r="321" ht="15.75" customHeight="1">
      <c r="A321" s="84"/>
      <c r="B321" s="84"/>
      <c r="C321" s="84"/>
      <c r="D321" s="84"/>
      <c r="E321" s="84"/>
      <c r="F321" s="84"/>
    </row>
    <row r="322" ht="15.75" customHeight="1">
      <c r="A322" s="84"/>
      <c r="B322" s="84"/>
      <c r="C322" s="84"/>
      <c r="D322" s="84"/>
      <c r="E322" s="84"/>
      <c r="F322" s="84"/>
    </row>
    <row r="323" ht="15.75" customHeight="1">
      <c r="A323" s="84"/>
      <c r="B323" s="84"/>
      <c r="C323" s="84"/>
      <c r="D323" s="84"/>
      <c r="E323" s="84"/>
      <c r="F323" s="84"/>
    </row>
    <row r="324" ht="15.75" customHeight="1">
      <c r="A324" s="84"/>
      <c r="B324" s="84"/>
      <c r="C324" s="84"/>
      <c r="D324" s="84"/>
      <c r="E324" s="84"/>
      <c r="F324" s="84"/>
    </row>
    <row r="325" ht="15.75" customHeight="1">
      <c r="A325" s="84"/>
      <c r="B325" s="84"/>
      <c r="C325" s="84"/>
      <c r="D325" s="84"/>
      <c r="E325" s="84"/>
      <c r="F325" s="84"/>
    </row>
    <row r="326" ht="15.75" customHeight="1">
      <c r="A326" s="84"/>
      <c r="B326" s="84"/>
      <c r="C326" s="84"/>
      <c r="D326" s="84"/>
      <c r="E326" s="84"/>
      <c r="F326" s="84"/>
    </row>
    <row r="327" ht="15.75" customHeight="1">
      <c r="A327" s="84"/>
      <c r="B327" s="84"/>
      <c r="C327" s="84"/>
      <c r="D327" s="84"/>
      <c r="E327" s="84"/>
      <c r="F327" s="84"/>
    </row>
    <row r="328" ht="15.75" customHeight="1">
      <c r="A328" s="84"/>
      <c r="B328" s="84"/>
      <c r="C328" s="84"/>
      <c r="D328" s="84"/>
      <c r="E328" s="84"/>
      <c r="F328" s="84"/>
    </row>
    <row r="329" ht="15.75" customHeight="1">
      <c r="A329" s="84"/>
      <c r="B329" s="84"/>
      <c r="C329" s="84"/>
      <c r="D329" s="84"/>
      <c r="E329" s="84"/>
      <c r="F329" s="84"/>
    </row>
    <row r="330" ht="15.75" customHeight="1">
      <c r="A330" s="84"/>
      <c r="B330" s="84"/>
      <c r="C330" s="84"/>
      <c r="D330" s="84"/>
      <c r="E330" s="84"/>
      <c r="F330" s="84"/>
    </row>
    <row r="331" ht="15.75" customHeight="1">
      <c r="A331" s="84"/>
      <c r="B331" s="84"/>
      <c r="C331" s="84"/>
      <c r="D331" s="84"/>
      <c r="E331" s="84"/>
      <c r="F331" s="84"/>
    </row>
    <row r="332" ht="15.75" customHeight="1">
      <c r="A332" s="84"/>
      <c r="B332" s="84"/>
      <c r="C332" s="84"/>
      <c r="D332" s="84"/>
      <c r="E332" s="84"/>
      <c r="F332" s="84"/>
    </row>
    <row r="333" ht="15.75" customHeight="1">
      <c r="A333" s="84"/>
      <c r="B333" s="84"/>
      <c r="C333" s="84"/>
      <c r="D333" s="84"/>
      <c r="E333" s="84"/>
      <c r="F333" s="84"/>
    </row>
    <row r="334" ht="15.75" customHeight="1">
      <c r="A334" s="84"/>
      <c r="B334" s="84"/>
      <c r="C334" s="84"/>
      <c r="D334" s="84"/>
      <c r="E334" s="84"/>
      <c r="F334" s="84"/>
    </row>
    <row r="335" ht="15.75" customHeight="1">
      <c r="A335" s="84"/>
      <c r="B335" s="84"/>
      <c r="C335" s="84"/>
      <c r="D335" s="84"/>
      <c r="E335" s="84"/>
      <c r="F335" s="84"/>
    </row>
    <row r="336" ht="15.75" customHeight="1">
      <c r="A336" s="84"/>
      <c r="B336" s="84"/>
      <c r="C336" s="84"/>
      <c r="D336" s="84"/>
      <c r="E336" s="84"/>
      <c r="F336" s="84"/>
    </row>
    <row r="337" ht="15.75" customHeight="1">
      <c r="A337" s="84"/>
      <c r="B337" s="84"/>
      <c r="C337" s="84"/>
      <c r="D337" s="84"/>
      <c r="E337" s="84"/>
      <c r="F337" s="84"/>
    </row>
    <row r="338" ht="15.75" customHeight="1">
      <c r="A338" s="84"/>
      <c r="B338" s="84"/>
      <c r="C338" s="84"/>
      <c r="D338" s="84"/>
      <c r="E338" s="84"/>
      <c r="F338" s="84"/>
    </row>
    <row r="339" ht="15.75" customHeight="1">
      <c r="A339" s="84"/>
      <c r="B339" s="84"/>
      <c r="C339" s="84"/>
      <c r="D339" s="84"/>
      <c r="E339" s="84"/>
      <c r="F339" s="84"/>
    </row>
    <row r="340" ht="15.75" customHeight="1">
      <c r="A340" s="84"/>
      <c r="B340" s="84"/>
      <c r="C340" s="84"/>
      <c r="D340" s="84"/>
      <c r="E340" s="84"/>
      <c r="F340" s="84"/>
    </row>
    <row r="341" ht="15.75" customHeight="1">
      <c r="A341" s="84"/>
      <c r="B341" s="84"/>
      <c r="C341" s="84"/>
      <c r="D341" s="84"/>
      <c r="E341" s="84"/>
      <c r="F341" s="84"/>
    </row>
    <row r="342" ht="15.75" customHeight="1">
      <c r="A342" s="84"/>
      <c r="B342" s="84"/>
      <c r="C342" s="84"/>
      <c r="D342" s="84"/>
      <c r="E342" s="84"/>
      <c r="F342" s="84"/>
    </row>
    <row r="343" ht="15.75" customHeight="1">
      <c r="A343" s="84"/>
      <c r="B343" s="84"/>
      <c r="C343" s="84"/>
      <c r="D343" s="84"/>
      <c r="E343" s="84"/>
      <c r="F343" s="84"/>
    </row>
    <row r="344" ht="15.75" customHeight="1">
      <c r="A344" s="84"/>
      <c r="B344" s="84"/>
      <c r="C344" s="84"/>
      <c r="D344" s="84"/>
      <c r="E344" s="84"/>
      <c r="F344" s="84"/>
    </row>
    <row r="345" ht="15.75" customHeight="1">
      <c r="A345" s="84"/>
      <c r="B345" s="84"/>
      <c r="C345" s="84"/>
      <c r="D345" s="84"/>
      <c r="E345" s="84"/>
      <c r="F345" s="84"/>
    </row>
    <row r="346" ht="15.75" customHeight="1">
      <c r="A346" s="84"/>
      <c r="B346" s="84"/>
      <c r="C346" s="84"/>
      <c r="D346" s="84"/>
      <c r="E346" s="84"/>
      <c r="F346" s="84"/>
    </row>
    <row r="347" ht="15.75" customHeight="1">
      <c r="A347" s="84"/>
      <c r="B347" s="84"/>
      <c r="C347" s="84"/>
      <c r="D347" s="84"/>
      <c r="E347" s="84"/>
      <c r="F347" s="84"/>
    </row>
    <row r="348" ht="15.75" customHeight="1">
      <c r="A348" s="84"/>
      <c r="B348" s="84"/>
      <c r="C348" s="84"/>
      <c r="D348" s="84"/>
      <c r="E348" s="84"/>
      <c r="F348" s="84"/>
    </row>
    <row r="349" ht="15.75" customHeight="1">
      <c r="A349" s="84"/>
      <c r="B349" s="84"/>
      <c r="C349" s="84"/>
      <c r="D349" s="84"/>
      <c r="E349" s="84"/>
      <c r="F349" s="84"/>
    </row>
    <row r="350" ht="15.75" customHeight="1">
      <c r="A350" s="84"/>
      <c r="B350" s="84"/>
      <c r="C350" s="84"/>
      <c r="D350" s="84"/>
      <c r="E350" s="84"/>
      <c r="F350" s="84"/>
    </row>
    <row r="351" ht="15.75" customHeight="1">
      <c r="A351" s="84"/>
      <c r="B351" s="84"/>
      <c r="C351" s="84"/>
      <c r="D351" s="84"/>
      <c r="E351" s="84"/>
      <c r="F351" s="84"/>
    </row>
    <row r="352" ht="15.75" customHeight="1">
      <c r="A352" s="84"/>
      <c r="B352" s="84"/>
      <c r="C352" s="84"/>
      <c r="D352" s="84"/>
      <c r="E352" s="84"/>
      <c r="F352" s="84"/>
    </row>
    <row r="353" ht="15.75" customHeight="1">
      <c r="A353" s="84"/>
      <c r="B353" s="84"/>
      <c r="C353" s="84"/>
      <c r="D353" s="84"/>
      <c r="E353" s="84"/>
      <c r="F353" s="84"/>
    </row>
    <row r="354" ht="15.75" customHeight="1">
      <c r="A354" s="84"/>
      <c r="B354" s="84"/>
      <c r="C354" s="84"/>
      <c r="D354" s="84"/>
      <c r="E354" s="84"/>
      <c r="F354" s="84"/>
    </row>
    <row r="355" ht="15.75" customHeight="1">
      <c r="A355" s="84"/>
      <c r="B355" s="84"/>
      <c r="C355" s="84"/>
      <c r="D355" s="84"/>
      <c r="E355" s="84"/>
      <c r="F355" s="84"/>
    </row>
    <row r="356" ht="15.75" customHeight="1">
      <c r="A356" s="84"/>
      <c r="B356" s="84"/>
      <c r="C356" s="84"/>
      <c r="D356" s="84"/>
      <c r="E356" s="84"/>
      <c r="F356" s="84"/>
    </row>
    <row r="357" ht="15.75" customHeight="1">
      <c r="A357" s="84"/>
      <c r="B357" s="84"/>
      <c r="C357" s="84"/>
      <c r="D357" s="84"/>
      <c r="E357" s="84"/>
      <c r="F357" s="84"/>
    </row>
    <row r="358" ht="15.75" customHeight="1">
      <c r="A358" s="84"/>
      <c r="B358" s="84"/>
      <c r="C358" s="84"/>
      <c r="D358" s="84"/>
      <c r="E358" s="84"/>
      <c r="F358" s="84"/>
    </row>
    <row r="359" ht="15.75" customHeight="1">
      <c r="A359" s="84"/>
      <c r="B359" s="84"/>
      <c r="C359" s="84"/>
      <c r="D359" s="84"/>
      <c r="E359" s="84"/>
      <c r="F359" s="84"/>
    </row>
    <row r="360" ht="15.75" customHeight="1">
      <c r="A360" s="84"/>
      <c r="B360" s="84"/>
      <c r="C360" s="84"/>
      <c r="D360" s="84"/>
      <c r="E360" s="84"/>
      <c r="F360" s="84"/>
    </row>
    <row r="361" ht="15.75" customHeight="1">
      <c r="A361" s="84"/>
      <c r="B361" s="84"/>
      <c r="C361" s="84"/>
      <c r="D361" s="84"/>
      <c r="E361" s="84"/>
      <c r="F361" s="84"/>
    </row>
    <row r="362" ht="15.75" customHeight="1">
      <c r="A362" s="84"/>
      <c r="B362" s="84"/>
      <c r="C362" s="84"/>
      <c r="D362" s="84"/>
      <c r="E362" s="84"/>
      <c r="F362" s="84"/>
    </row>
    <row r="363" ht="15.75" customHeight="1">
      <c r="A363" s="84"/>
      <c r="B363" s="84"/>
      <c r="C363" s="84"/>
      <c r="D363" s="84"/>
      <c r="E363" s="84"/>
      <c r="F363" s="84"/>
    </row>
    <row r="364" ht="15.75" customHeight="1">
      <c r="A364" s="84"/>
      <c r="B364" s="84"/>
      <c r="C364" s="84"/>
      <c r="D364" s="84"/>
      <c r="E364" s="84"/>
      <c r="F364" s="84"/>
    </row>
    <row r="365" ht="15.75" customHeight="1">
      <c r="A365" s="84"/>
      <c r="B365" s="84"/>
      <c r="C365" s="84"/>
      <c r="D365" s="84"/>
      <c r="E365" s="84"/>
      <c r="F365" s="84"/>
    </row>
    <row r="366" ht="15.75" customHeight="1">
      <c r="A366" s="84"/>
      <c r="B366" s="84"/>
      <c r="C366" s="84"/>
      <c r="D366" s="84"/>
      <c r="E366" s="84"/>
      <c r="F366" s="84"/>
    </row>
    <row r="367" ht="15.75" customHeight="1">
      <c r="A367" s="84"/>
      <c r="B367" s="84"/>
      <c r="C367" s="84"/>
      <c r="D367" s="84"/>
      <c r="E367" s="84"/>
      <c r="F367" s="84"/>
    </row>
    <row r="368" ht="15.75" customHeight="1">
      <c r="A368" s="84"/>
      <c r="B368" s="84"/>
      <c r="C368" s="84"/>
      <c r="D368" s="84"/>
      <c r="E368" s="84"/>
      <c r="F368" s="84"/>
    </row>
    <row r="369" ht="15.75" customHeight="1">
      <c r="A369" s="84"/>
      <c r="B369" s="84"/>
      <c r="C369" s="84"/>
      <c r="D369" s="84"/>
      <c r="E369" s="84"/>
      <c r="F369" s="84"/>
    </row>
    <row r="370" ht="15.75" customHeight="1">
      <c r="A370" s="84"/>
      <c r="B370" s="84"/>
      <c r="C370" s="84"/>
      <c r="D370" s="84"/>
      <c r="E370" s="84"/>
      <c r="F370" s="84"/>
    </row>
    <row r="371" ht="15.75" customHeight="1">
      <c r="A371" s="84"/>
      <c r="B371" s="84"/>
      <c r="C371" s="84"/>
      <c r="D371" s="84"/>
      <c r="E371" s="84"/>
      <c r="F371" s="84"/>
    </row>
    <row r="372" ht="15.75" customHeight="1">
      <c r="A372" s="84"/>
      <c r="B372" s="84"/>
      <c r="C372" s="84"/>
      <c r="D372" s="84"/>
      <c r="E372" s="84"/>
      <c r="F372" s="84"/>
    </row>
    <row r="373" ht="15.75" customHeight="1">
      <c r="A373" s="84"/>
      <c r="B373" s="84"/>
      <c r="C373" s="84"/>
      <c r="D373" s="84"/>
      <c r="E373" s="84"/>
      <c r="F373" s="84"/>
    </row>
    <row r="374" ht="15.75" customHeight="1">
      <c r="A374" s="84"/>
      <c r="B374" s="84"/>
      <c r="C374" s="84"/>
      <c r="D374" s="84"/>
      <c r="E374" s="84"/>
      <c r="F374" s="84"/>
    </row>
    <row r="375" ht="15.75" customHeight="1">
      <c r="A375" s="84"/>
      <c r="B375" s="84"/>
      <c r="C375" s="84"/>
      <c r="D375" s="84"/>
      <c r="E375" s="84"/>
      <c r="F375" s="84"/>
    </row>
    <row r="376" ht="15.75" customHeight="1">
      <c r="A376" s="84"/>
      <c r="B376" s="84"/>
      <c r="C376" s="84"/>
      <c r="D376" s="84"/>
      <c r="E376" s="84"/>
      <c r="F376" s="84"/>
    </row>
    <row r="377" ht="15.75" customHeight="1">
      <c r="A377" s="84"/>
      <c r="B377" s="84"/>
      <c r="C377" s="84"/>
      <c r="D377" s="84"/>
      <c r="E377" s="84"/>
      <c r="F377" s="84"/>
    </row>
    <row r="378" ht="15.75" customHeight="1">
      <c r="A378" s="84"/>
      <c r="B378" s="84"/>
      <c r="C378" s="84"/>
      <c r="D378" s="84"/>
      <c r="E378" s="84"/>
      <c r="F378" s="84"/>
    </row>
    <row r="379" ht="15.75" customHeight="1">
      <c r="A379" s="84"/>
      <c r="B379" s="84"/>
      <c r="C379" s="84"/>
      <c r="D379" s="84"/>
      <c r="E379" s="84"/>
      <c r="F379" s="84"/>
    </row>
    <row r="380" ht="15.75" customHeight="1">
      <c r="A380" s="84"/>
      <c r="B380" s="84"/>
      <c r="C380" s="84"/>
      <c r="D380" s="84"/>
      <c r="E380" s="84"/>
      <c r="F380" s="84"/>
    </row>
    <row r="381" ht="15.75" customHeight="1">
      <c r="A381" s="84"/>
      <c r="B381" s="84"/>
      <c r="C381" s="84"/>
      <c r="D381" s="84"/>
      <c r="E381" s="84"/>
      <c r="F381" s="84"/>
    </row>
    <row r="382" ht="15.75" customHeight="1">
      <c r="A382" s="84"/>
      <c r="B382" s="84"/>
      <c r="C382" s="84"/>
      <c r="D382" s="84"/>
      <c r="E382" s="84"/>
      <c r="F382" s="84"/>
    </row>
    <row r="383" ht="15.75" customHeight="1">
      <c r="A383" s="84"/>
      <c r="B383" s="84"/>
      <c r="C383" s="84"/>
      <c r="D383" s="84"/>
      <c r="E383" s="84"/>
      <c r="F383" s="84"/>
    </row>
    <row r="384" ht="15.75" customHeight="1">
      <c r="A384" s="84"/>
      <c r="B384" s="84"/>
      <c r="C384" s="84"/>
      <c r="D384" s="84"/>
      <c r="E384" s="84"/>
      <c r="F384" s="84"/>
    </row>
    <row r="385" ht="15.75" customHeight="1">
      <c r="A385" s="84"/>
      <c r="B385" s="84"/>
      <c r="C385" s="84"/>
      <c r="D385" s="84"/>
      <c r="E385" s="84"/>
      <c r="F385" s="84"/>
    </row>
    <row r="386" ht="15.75" customHeight="1">
      <c r="A386" s="84"/>
      <c r="B386" s="84"/>
      <c r="C386" s="84"/>
      <c r="D386" s="84"/>
      <c r="E386" s="84"/>
      <c r="F386" s="84"/>
    </row>
    <row r="387" ht="15.75" customHeight="1">
      <c r="A387" s="84"/>
      <c r="B387" s="84"/>
      <c r="C387" s="84"/>
      <c r="D387" s="84"/>
      <c r="E387" s="84"/>
      <c r="F387" s="84"/>
    </row>
    <row r="388" ht="15.75" customHeight="1">
      <c r="A388" s="84"/>
      <c r="B388" s="84"/>
      <c r="C388" s="84"/>
      <c r="D388" s="84"/>
      <c r="E388" s="84"/>
      <c r="F388" s="84"/>
    </row>
    <row r="389" ht="15.75" customHeight="1">
      <c r="A389" s="84"/>
      <c r="B389" s="84"/>
      <c r="C389" s="84"/>
      <c r="D389" s="84"/>
      <c r="E389" s="84"/>
      <c r="F389" s="84"/>
    </row>
    <row r="390" ht="15.75" customHeight="1">
      <c r="A390" s="84"/>
      <c r="B390" s="84"/>
      <c r="C390" s="84"/>
      <c r="D390" s="84"/>
      <c r="E390" s="84"/>
      <c r="F390" s="84"/>
    </row>
    <row r="391" ht="15.75" customHeight="1">
      <c r="A391" s="84"/>
      <c r="B391" s="84"/>
      <c r="C391" s="84"/>
      <c r="D391" s="84"/>
      <c r="E391" s="84"/>
      <c r="F391" s="84"/>
    </row>
    <row r="392" ht="15.75" customHeight="1">
      <c r="A392" s="84"/>
      <c r="B392" s="84"/>
      <c r="C392" s="84"/>
      <c r="D392" s="84"/>
      <c r="E392" s="84"/>
      <c r="F392" s="84"/>
    </row>
    <row r="393" ht="15.75" customHeight="1">
      <c r="A393" s="84"/>
      <c r="B393" s="84"/>
      <c r="C393" s="84"/>
      <c r="D393" s="84"/>
      <c r="E393" s="84"/>
      <c r="F393" s="84"/>
    </row>
    <row r="394" ht="15.75" customHeight="1">
      <c r="A394" s="84"/>
      <c r="B394" s="84"/>
      <c r="C394" s="84"/>
      <c r="D394" s="84"/>
      <c r="E394" s="84"/>
      <c r="F394" s="84"/>
    </row>
    <row r="395" ht="15.75" customHeight="1">
      <c r="A395" s="84"/>
      <c r="B395" s="84"/>
      <c r="C395" s="84"/>
      <c r="D395" s="84"/>
      <c r="E395" s="84"/>
      <c r="F395" s="84"/>
    </row>
    <row r="396" ht="15.75" customHeight="1">
      <c r="A396" s="84"/>
      <c r="B396" s="84"/>
      <c r="C396" s="84"/>
      <c r="D396" s="84"/>
      <c r="E396" s="84"/>
      <c r="F396" s="84"/>
    </row>
    <row r="397" ht="15.75" customHeight="1">
      <c r="A397" s="84"/>
      <c r="B397" s="84"/>
      <c r="C397" s="84"/>
      <c r="D397" s="84"/>
      <c r="E397" s="84"/>
      <c r="F397" s="84"/>
    </row>
    <row r="398" ht="15.75" customHeight="1">
      <c r="A398" s="84"/>
      <c r="B398" s="84"/>
      <c r="C398" s="84"/>
      <c r="D398" s="84"/>
      <c r="E398" s="84"/>
      <c r="F398" s="84"/>
    </row>
    <row r="399" ht="15.75" customHeight="1">
      <c r="A399" s="84"/>
      <c r="B399" s="84"/>
      <c r="C399" s="84"/>
      <c r="D399" s="84"/>
      <c r="E399" s="84"/>
      <c r="F399" s="84"/>
    </row>
    <row r="400" ht="15.75" customHeight="1">
      <c r="A400" s="84"/>
      <c r="B400" s="84"/>
      <c r="C400" s="84"/>
      <c r="D400" s="84"/>
      <c r="E400" s="84"/>
      <c r="F400" s="84"/>
    </row>
    <row r="401" ht="15.75" customHeight="1">
      <c r="A401" s="84"/>
      <c r="B401" s="84"/>
      <c r="C401" s="84"/>
      <c r="D401" s="84"/>
      <c r="E401" s="84"/>
      <c r="F401" s="84"/>
    </row>
    <row r="402" ht="15.75" customHeight="1">
      <c r="A402" s="84"/>
      <c r="B402" s="84"/>
      <c r="C402" s="84"/>
      <c r="D402" s="84"/>
      <c r="E402" s="84"/>
      <c r="F402" s="84"/>
    </row>
    <row r="403" ht="15.75" customHeight="1">
      <c r="A403" s="84"/>
      <c r="B403" s="84"/>
      <c r="C403" s="84"/>
      <c r="D403" s="84"/>
      <c r="E403" s="84"/>
      <c r="F403" s="84"/>
    </row>
    <row r="404" ht="15.75" customHeight="1">
      <c r="A404" s="84"/>
      <c r="B404" s="84"/>
      <c r="C404" s="84"/>
      <c r="D404" s="84"/>
      <c r="E404" s="84"/>
      <c r="F404" s="84"/>
    </row>
    <row r="405" ht="15.75" customHeight="1">
      <c r="A405" s="84"/>
      <c r="B405" s="84"/>
      <c r="C405" s="84"/>
      <c r="D405" s="84"/>
      <c r="E405" s="84"/>
      <c r="F405" s="84"/>
    </row>
    <row r="406" ht="15.75" customHeight="1">
      <c r="A406" s="84"/>
      <c r="B406" s="84"/>
      <c r="C406" s="84"/>
      <c r="D406" s="84"/>
      <c r="E406" s="84"/>
      <c r="F406" s="84"/>
    </row>
    <row r="407" ht="15.75" customHeight="1">
      <c r="A407" s="84"/>
      <c r="B407" s="84"/>
      <c r="C407" s="84"/>
      <c r="D407" s="84"/>
      <c r="E407" s="84"/>
      <c r="F407" s="84"/>
    </row>
    <row r="408" ht="15.75" customHeight="1">
      <c r="A408" s="84"/>
      <c r="B408" s="84"/>
      <c r="C408" s="84"/>
      <c r="D408" s="84"/>
      <c r="E408" s="84"/>
      <c r="F408" s="84"/>
    </row>
    <row r="409" ht="15.75" customHeight="1">
      <c r="A409" s="84"/>
      <c r="B409" s="84"/>
      <c r="C409" s="84"/>
      <c r="D409" s="84"/>
      <c r="E409" s="84"/>
      <c r="F409" s="84"/>
    </row>
    <row r="410" ht="15.75" customHeight="1">
      <c r="A410" s="84"/>
      <c r="B410" s="84"/>
      <c r="C410" s="84"/>
      <c r="D410" s="84"/>
      <c r="E410" s="84"/>
      <c r="F410" s="84"/>
    </row>
    <row r="411" ht="15.75" customHeight="1">
      <c r="A411" s="84"/>
      <c r="B411" s="84"/>
      <c r="C411" s="84"/>
      <c r="D411" s="84"/>
      <c r="E411" s="84"/>
      <c r="F411" s="84"/>
    </row>
    <row r="412" ht="15.75" customHeight="1">
      <c r="A412" s="84"/>
      <c r="B412" s="84"/>
      <c r="C412" s="84"/>
      <c r="D412" s="84"/>
      <c r="E412" s="84"/>
      <c r="F412" s="84"/>
    </row>
    <row r="413" ht="15.75" customHeight="1">
      <c r="A413" s="84"/>
      <c r="B413" s="84"/>
      <c r="C413" s="84"/>
      <c r="D413" s="84"/>
      <c r="E413" s="84"/>
      <c r="F413" s="84"/>
    </row>
    <row r="414" ht="15.75" customHeight="1">
      <c r="A414" s="84"/>
      <c r="B414" s="84"/>
      <c r="C414" s="84"/>
      <c r="D414" s="84"/>
      <c r="E414" s="84"/>
      <c r="F414" s="84"/>
    </row>
    <row r="415" ht="15.75" customHeight="1">
      <c r="A415" s="84"/>
      <c r="B415" s="84"/>
      <c r="C415" s="84"/>
      <c r="D415" s="84"/>
      <c r="E415" s="84"/>
      <c r="F415" s="84"/>
    </row>
    <row r="416" ht="15.75" customHeight="1">
      <c r="A416" s="84"/>
      <c r="B416" s="84"/>
      <c r="C416" s="84"/>
      <c r="D416" s="84"/>
      <c r="E416" s="84"/>
      <c r="F416" s="84"/>
    </row>
    <row r="417" ht="15.75" customHeight="1">
      <c r="A417" s="84"/>
      <c r="B417" s="84"/>
      <c r="C417" s="84"/>
      <c r="D417" s="84"/>
      <c r="E417" s="84"/>
      <c r="F417" s="84"/>
    </row>
    <row r="418" ht="15.75" customHeight="1">
      <c r="A418" s="84"/>
      <c r="B418" s="84"/>
      <c r="C418" s="84"/>
      <c r="D418" s="84"/>
      <c r="E418" s="84"/>
      <c r="F418" s="84"/>
    </row>
    <row r="419" ht="15.75" customHeight="1">
      <c r="A419" s="84"/>
      <c r="B419" s="84"/>
      <c r="C419" s="84"/>
      <c r="D419" s="84"/>
      <c r="E419" s="84"/>
      <c r="F419" s="84"/>
    </row>
    <row r="420" ht="15.75" customHeight="1">
      <c r="A420" s="84"/>
      <c r="B420" s="84"/>
      <c r="C420" s="84"/>
      <c r="D420" s="84"/>
      <c r="E420" s="84"/>
      <c r="F420" s="84"/>
    </row>
    <row r="421" ht="15.75" customHeight="1">
      <c r="A421" s="84"/>
      <c r="B421" s="84"/>
      <c r="C421" s="84"/>
      <c r="D421" s="84"/>
      <c r="E421" s="84"/>
      <c r="F421" s="84"/>
    </row>
    <row r="422" ht="15.75" customHeight="1">
      <c r="A422" s="84"/>
      <c r="B422" s="84"/>
      <c r="C422" s="84"/>
      <c r="D422" s="84"/>
      <c r="E422" s="84"/>
      <c r="F422" s="84"/>
    </row>
    <row r="423" ht="15.75" customHeight="1">
      <c r="A423" s="84"/>
      <c r="B423" s="84"/>
      <c r="C423" s="84"/>
      <c r="D423" s="84"/>
      <c r="E423" s="84"/>
      <c r="F423" s="84"/>
    </row>
    <row r="424" ht="15.75" customHeight="1">
      <c r="A424" s="84"/>
      <c r="B424" s="84"/>
      <c r="C424" s="84"/>
      <c r="D424" s="84"/>
      <c r="E424" s="84"/>
      <c r="F424" s="84"/>
    </row>
    <row r="425" ht="15.75" customHeight="1">
      <c r="A425" s="84"/>
      <c r="B425" s="84"/>
      <c r="C425" s="84"/>
      <c r="D425" s="84"/>
      <c r="E425" s="84"/>
      <c r="F425" s="84"/>
    </row>
    <row r="426" ht="15.75" customHeight="1">
      <c r="A426" s="84"/>
      <c r="B426" s="84"/>
      <c r="C426" s="84"/>
      <c r="D426" s="84"/>
      <c r="E426" s="84"/>
      <c r="F426" s="84"/>
    </row>
    <row r="427" ht="15.75" customHeight="1">
      <c r="A427" s="84"/>
      <c r="B427" s="84"/>
      <c r="C427" s="84"/>
      <c r="D427" s="84"/>
      <c r="E427" s="84"/>
      <c r="F427" s="84"/>
    </row>
    <row r="428" ht="15.75" customHeight="1">
      <c r="A428" s="84"/>
      <c r="B428" s="84"/>
      <c r="C428" s="84"/>
      <c r="D428" s="84"/>
      <c r="E428" s="84"/>
      <c r="F428" s="84"/>
    </row>
    <row r="429" ht="15.75" customHeight="1">
      <c r="A429" s="84"/>
      <c r="B429" s="84"/>
      <c r="C429" s="84"/>
      <c r="D429" s="84"/>
      <c r="E429" s="84"/>
      <c r="F429" s="84"/>
    </row>
    <row r="430" ht="15.75" customHeight="1">
      <c r="A430" s="84"/>
      <c r="B430" s="84"/>
      <c r="C430" s="84"/>
      <c r="D430" s="84"/>
      <c r="E430" s="84"/>
      <c r="F430" s="84"/>
    </row>
    <row r="431" ht="15.75" customHeight="1">
      <c r="A431" s="84"/>
      <c r="B431" s="84"/>
      <c r="C431" s="84"/>
      <c r="D431" s="84"/>
      <c r="E431" s="84"/>
      <c r="F431" s="84"/>
    </row>
    <row r="432" ht="15.75" customHeight="1">
      <c r="A432" s="84"/>
      <c r="B432" s="84"/>
      <c r="C432" s="84"/>
      <c r="D432" s="84"/>
      <c r="E432" s="84"/>
      <c r="F432" s="84"/>
    </row>
    <row r="433" ht="15.75" customHeight="1">
      <c r="A433" s="84"/>
      <c r="B433" s="84"/>
      <c r="C433" s="84"/>
      <c r="D433" s="84"/>
      <c r="E433" s="84"/>
      <c r="F433" s="84"/>
    </row>
    <row r="434" ht="15.75" customHeight="1">
      <c r="A434" s="84"/>
      <c r="B434" s="84"/>
      <c r="C434" s="84"/>
      <c r="D434" s="84"/>
      <c r="E434" s="84"/>
      <c r="F434" s="84"/>
    </row>
    <row r="435" ht="15.75" customHeight="1">
      <c r="A435" s="84"/>
      <c r="B435" s="84"/>
      <c r="C435" s="84"/>
      <c r="D435" s="84"/>
      <c r="E435" s="84"/>
      <c r="F435" s="84"/>
    </row>
    <row r="436" ht="15.75" customHeight="1">
      <c r="A436" s="84"/>
      <c r="B436" s="84"/>
      <c r="C436" s="84"/>
      <c r="D436" s="84"/>
      <c r="E436" s="84"/>
      <c r="F436" s="84"/>
    </row>
    <row r="437" ht="15.75" customHeight="1">
      <c r="A437" s="84"/>
      <c r="B437" s="84"/>
      <c r="C437" s="84"/>
      <c r="D437" s="84"/>
      <c r="E437" s="84"/>
      <c r="F437" s="84"/>
    </row>
    <row r="438" ht="15.75" customHeight="1">
      <c r="A438" s="84"/>
      <c r="B438" s="84"/>
      <c r="C438" s="84"/>
      <c r="D438" s="84"/>
      <c r="E438" s="84"/>
      <c r="F438" s="84"/>
    </row>
    <row r="439" ht="15.75" customHeight="1">
      <c r="A439" s="84"/>
      <c r="B439" s="84"/>
      <c r="C439" s="84"/>
      <c r="D439" s="84"/>
      <c r="E439" s="84"/>
      <c r="F439" s="84"/>
    </row>
    <row r="440" ht="15.75" customHeight="1">
      <c r="A440" s="84"/>
      <c r="B440" s="84"/>
      <c r="C440" s="84"/>
      <c r="D440" s="84"/>
      <c r="E440" s="84"/>
      <c r="F440" s="84"/>
    </row>
    <row r="441" ht="15.75" customHeight="1">
      <c r="A441" s="84"/>
      <c r="B441" s="84"/>
      <c r="C441" s="84"/>
      <c r="D441" s="84"/>
      <c r="E441" s="84"/>
      <c r="F441" s="84"/>
    </row>
    <row r="442" ht="15.75" customHeight="1">
      <c r="A442" s="84"/>
      <c r="B442" s="84"/>
      <c r="C442" s="84"/>
      <c r="D442" s="84"/>
      <c r="E442" s="84"/>
      <c r="F442" s="84"/>
    </row>
    <row r="443" ht="15.75" customHeight="1">
      <c r="A443" s="84"/>
      <c r="B443" s="84"/>
      <c r="C443" s="84"/>
      <c r="D443" s="84"/>
      <c r="E443" s="84"/>
      <c r="F443" s="84"/>
    </row>
    <row r="444" ht="15.75" customHeight="1">
      <c r="A444" s="84"/>
      <c r="B444" s="84"/>
      <c r="C444" s="84"/>
      <c r="D444" s="84"/>
      <c r="E444" s="84"/>
      <c r="F444" s="84"/>
    </row>
    <row r="445" ht="15.75" customHeight="1">
      <c r="A445" s="84"/>
      <c r="B445" s="84"/>
      <c r="C445" s="84"/>
      <c r="D445" s="84"/>
      <c r="E445" s="84"/>
      <c r="F445" s="84"/>
    </row>
    <row r="446" ht="15.75" customHeight="1">
      <c r="A446" s="84"/>
      <c r="B446" s="84"/>
      <c r="C446" s="84"/>
      <c r="D446" s="84"/>
      <c r="E446" s="84"/>
      <c r="F446" s="84"/>
    </row>
    <row r="447" ht="15.75" customHeight="1">
      <c r="A447" s="84"/>
      <c r="B447" s="84"/>
      <c r="C447" s="84"/>
      <c r="D447" s="84"/>
      <c r="E447" s="84"/>
      <c r="F447" s="84"/>
    </row>
    <row r="448" ht="15.75" customHeight="1">
      <c r="A448" s="84"/>
      <c r="B448" s="84"/>
      <c r="C448" s="84"/>
      <c r="D448" s="84"/>
      <c r="E448" s="84"/>
      <c r="F448" s="84"/>
    </row>
    <row r="449" ht="15.75" customHeight="1">
      <c r="A449" s="84"/>
      <c r="B449" s="84"/>
      <c r="C449" s="84"/>
      <c r="D449" s="84"/>
      <c r="E449" s="84"/>
      <c r="F449" s="84"/>
    </row>
    <row r="450" ht="15.75" customHeight="1">
      <c r="A450" s="84"/>
      <c r="B450" s="84"/>
      <c r="C450" s="84"/>
      <c r="D450" s="84"/>
      <c r="E450" s="84"/>
      <c r="F450" s="84"/>
    </row>
    <row r="451" ht="15.75" customHeight="1">
      <c r="A451" s="84"/>
      <c r="B451" s="84"/>
      <c r="C451" s="84"/>
      <c r="D451" s="84"/>
      <c r="E451" s="84"/>
      <c r="F451" s="84"/>
    </row>
    <row r="452" ht="15.75" customHeight="1">
      <c r="A452" s="84"/>
      <c r="B452" s="84"/>
      <c r="C452" s="84"/>
      <c r="D452" s="84"/>
      <c r="E452" s="84"/>
      <c r="F452" s="84"/>
    </row>
    <row r="453" ht="15.75" customHeight="1">
      <c r="A453" s="84"/>
      <c r="B453" s="84"/>
      <c r="C453" s="84"/>
      <c r="D453" s="84"/>
      <c r="E453" s="84"/>
      <c r="F453" s="84"/>
    </row>
    <row r="454" ht="15.75" customHeight="1">
      <c r="A454" s="84"/>
      <c r="B454" s="84"/>
      <c r="C454" s="84"/>
      <c r="D454" s="84"/>
      <c r="E454" s="84"/>
      <c r="F454" s="84"/>
    </row>
    <row r="455" ht="15.75" customHeight="1">
      <c r="A455" s="84"/>
      <c r="B455" s="84"/>
      <c r="C455" s="84"/>
      <c r="D455" s="84"/>
      <c r="E455" s="84"/>
      <c r="F455" s="84"/>
    </row>
    <row r="456" ht="15.75" customHeight="1">
      <c r="A456" s="84"/>
      <c r="B456" s="84"/>
      <c r="C456" s="84"/>
      <c r="D456" s="84"/>
      <c r="E456" s="84"/>
      <c r="F456" s="84"/>
    </row>
    <row r="457" ht="15.75" customHeight="1">
      <c r="A457" s="84"/>
      <c r="B457" s="84"/>
      <c r="C457" s="84"/>
      <c r="D457" s="84"/>
      <c r="E457" s="84"/>
      <c r="F457" s="84"/>
    </row>
    <row r="458" ht="15.75" customHeight="1">
      <c r="A458" s="84"/>
      <c r="B458" s="84"/>
      <c r="C458" s="84"/>
      <c r="D458" s="84"/>
      <c r="E458" s="84"/>
      <c r="F458" s="84"/>
    </row>
    <row r="459" ht="15.75" customHeight="1">
      <c r="A459" s="84"/>
      <c r="B459" s="84"/>
      <c r="C459" s="84"/>
      <c r="D459" s="84"/>
      <c r="E459" s="84"/>
      <c r="F459" s="84"/>
    </row>
    <row r="460" ht="15.75" customHeight="1">
      <c r="A460" s="84"/>
      <c r="B460" s="84"/>
      <c r="C460" s="84"/>
      <c r="D460" s="84"/>
      <c r="E460" s="84"/>
      <c r="F460" s="84"/>
    </row>
    <row r="461" ht="15.75" customHeight="1">
      <c r="A461" s="84"/>
      <c r="B461" s="84"/>
      <c r="C461" s="84"/>
      <c r="D461" s="84"/>
      <c r="E461" s="84"/>
      <c r="F461" s="84"/>
    </row>
    <row r="462" ht="15.75" customHeight="1">
      <c r="A462" s="84"/>
      <c r="B462" s="84"/>
      <c r="C462" s="84"/>
      <c r="D462" s="84"/>
      <c r="E462" s="84"/>
      <c r="F462" s="84"/>
    </row>
    <row r="463" ht="15.75" customHeight="1">
      <c r="A463" s="84"/>
      <c r="B463" s="84"/>
      <c r="C463" s="84"/>
      <c r="D463" s="84"/>
      <c r="E463" s="84"/>
      <c r="F463" s="84"/>
    </row>
    <row r="464" ht="15.75" customHeight="1">
      <c r="A464" s="84"/>
      <c r="B464" s="84"/>
      <c r="C464" s="84"/>
      <c r="D464" s="84"/>
      <c r="E464" s="84"/>
      <c r="F464" s="84"/>
    </row>
    <row r="465" ht="15.75" customHeight="1">
      <c r="A465" s="84"/>
      <c r="B465" s="84"/>
      <c r="C465" s="84"/>
      <c r="D465" s="84"/>
      <c r="E465" s="84"/>
      <c r="F465" s="84"/>
    </row>
    <row r="466" ht="15.75" customHeight="1">
      <c r="A466" s="84"/>
      <c r="B466" s="84"/>
      <c r="C466" s="84"/>
      <c r="D466" s="84"/>
      <c r="E466" s="84"/>
      <c r="F466" s="84"/>
    </row>
    <row r="467" ht="15.75" customHeight="1">
      <c r="A467" s="84"/>
      <c r="B467" s="84"/>
      <c r="C467" s="84"/>
      <c r="D467" s="84"/>
      <c r="E467" s="84"/>
      <c r="F467" s="84"/>
    </row>
    <row r="468" ht="15.75" customHeight="1">
      <c r="A468" s="84"/>
      <c r="B468" s="84"/>
      <c r="C468" s="84"/>
      <c r="D468" s="84"/>
      <c r="E468" s="84"/>
      <c r="F468" s="84"/>
    </row>
    <row r="469" ht="15.75" customHeight="1">
      <c r="A469" s="84"/>
      <c r="B469" s="84"/>
      <c r="C469" s="84"/>
      <c r="D469" s="84"/>
      <c r="E469" s="84"/>
      <c r="F469" s="84"/>
    </row>
    <row r="470" ht="15.75" customHeight="1">
      <c r="A470" s="84"/>
      <c r="B470" s="84"/>
      <c r="C470" s="84"/>
      <c r="D470" s="84"/>
      <c r="E470" s="84"/>
      <c r="F470" s="84"/>
    </row>
    <row r="471" ht="15.75" customHeight="1">
      <c r="A471" s="84"/>
      <c r="B471" s="84"/>
      <c r="C471" s="84"/>
      <c r="D471" s="84"/>
      <c r="E471" s="84"/>
      <c r="F471" s="84"/>
    </row>
    <row r="472" ht="15.75" customHeight="1">
      <c r="A472" s="84"/>
      <c r="B472" s="84"/>
      <c r="C472" s="84"/>
      <c r="D472" s="84"/>
      <c r="E472" s="84"/>
      <c r="F472" s="84"/>
    </row>
    <row r="473" ht="15.75" customHeight="1">
      <c r="A473" s="84"/>
      <c r="B473" s="84"/>
      <c r="C473" s="84"/>
      <c r="D473" s="84"/>
      <c r="E473" s="84"/>
      <c r="F473" s="84"/>
    </row>
    <row r="474" ht="15.75" customHeight="1">
      <c r="A474" s="84"/>
      <c r="B474" s="84"/>
      <c r="C474" s="84"/>
      <c r="D474" s="84"/>
      <c r="E474" s="84"/>
      <c r="F474" s="84"/>
    </row>
    <row r="475" ht="15.75" customHeight="1">
      <c r="A475" s="84"/>
      <c r="B475" s="84"/>
      <c r="C475" s="84"/>
      <c r="D475" s="84"/>
      <c r="E475" s="84"/>
      <c r="F475" s="84"/>
    </row>
    <row r="476" ht="15.75" customHeight="1">
      <c r="A476" s="84"/>
      <c r="B476" s="84"/>
      <c r="C476" s="84"/>
      <c r="D476" s="84"/>
      <c r="E476" s="84"/>
      <c r="F476" s="84"/>
    </row>
    <row r="477" ht="15.75" customHeight="1">
      <c r="A477" s="84"/>
      <c r="B477" s="84"/>
      <c r="C477" s="84"/>
      <c r="D477" s="84"/>
      <c r="E477" s="84"/>
      <c r="F477" s="84"/>
    </row>
    <row r="478" ht="15.75" customHeight="1">
      <c r="A478" s="84"/>
      <c r="B478" s="84"/>
      <c r="C478" s="84"/>
      <c r="D478" s="84"/>
      <c r="E478" s="84"/>
      <c r="F478" s="84"/>
    </row>
    <row r="479" ht="15.75" customHeight="1">
      <c r="A479" s="84"/>
      <c r="B479" s="84"/>
      <c r="C479" s="84"/>
      <c r="D479" s="84"/>
      <c r="E479" s="84"/>
      <c r="F479" s="84"/>
    </row>
    <row r="480" ht="15.75" customHeight="1">
      <c r="A480" s="84"/>
      <c r="B480" s="84"/>
      <c r="C480" s="84"/>
      <c r="D480" s="84"/>
      <c r="E480" s="84"/>
      <c r="F480" s="84"/>
    </row>
    <row r="481" ht="15.75" customHeight="1">
      <c r="A481" s="84"/>
      <c r="B481" s="84"/>
      <c r="C481" s="84"/>
      <c r="D481" s="84"/>
      <c r="E481" s="84"/>
      <c r="F481" s="84"/>
    </row>
    <row r="482" ht="15.75" customHeight="1">
      <c r="A482" s="84"/>
      <c r="B482" s="84"/>
      <c r="C482" s="84"/>
      <c r="D482" s="84"/>
      <c r="E482" s="84"/>
      <c r="F482" s="84"/>
    </row>
    <row r="483" ht="15.75" customHeight="1">
      <c r="A483" s="84"/>
      <c r="B483" s="84"/>
      <c r="C483" s="84"/>
      <c r="D483" s="84"/>
      <c r="E483" s="84"/>
      <c r="F483" s="84"/>
    </row>
    <row r="484" ht="15.75" customHeight="1">
      <c r="A484" s="84"/>
      <c r="B484" s="84"/>
      <c r="C484" s="84"/>
      <c r="D484" s="84"/>
      <c r="E484" s="84"/>
      <c r="F484" s="84"/>
    </row>
    <row r="485" ht="15.75" customHeight="1">
      <c r="A485" s="84"/>
      <c r="B485" s="84"/>
      <c r="C485" s="84"/>
      <c r="D485" s="84"/>
      <c r="E485" s="84"/>
      <c r="F485" s="84"/>
    </row>
    <row r="486" ht="15.75" customHeight="1">
      <c r="A486" s="84"/>
      <c r="B486" s="84"/>
      <c r="C486" s="84"/>
      <c r="D486" s="84"/>
      <c r="E486" s="84"/>
      <c r="F486" s="84"/>
    </row>
    <row r="487" ht="15.75" customHeight="1">
      <c r="A487" s="84"/>
      <c r="B487" s="84"/>
      <c r="C487" s="84"/>
      <c r="D487" s="84"/>
      <c r="E487" s="84"/>
      <c r="F487" s="84"/>
    </row>
    <row r="488" ht="15.75" customHeight="1">
      <c r="A488" s="84"/>
      <c r="B488" s="84"/>
      <c r="C488" s="84"/>
      <c r="D488" s="84"/>
      <c r="E488" s="84"/>
      <c r="F488" s="84"/>
    </row>
    <row r="489" ht="15.75" customHeight="1">
      <c r="A489" s="84"/>
      <c r="B489" s="84"/>
      <c r="C489" s="84"/>
      <c r="D489" s="84"/>
      <c r="E489" s="84"/>
      <c r="F489" s="84"/>
    </row>
    <row r="490" ht="15.75" customHeight="1">
      <c r="A490" s="84"/>
      <c r="B490" s="84"/>
      <c r="C490" s="84"/>
      <c r="D490" s="84"/>
      <c r="E490" s="84"/>
      <c r="F490" s="84"/>
    </row>
    <row r="491" ht="15.75" customHeight="1">
      <c r="A491" s="84"/>
      <c r="B491" s="84"/>
      <c r="C491" s="84"/>
      <c r="D491" s="84"/>
      <c r="E491" s="84"/>
      <c r="F491" s="84"/>
    </row>
    <row r="492" ht="15.75" customHeight="1">
      <c r="A492" s="84"/>
      <c r="B492" s="84"/>
      <c r="C492" s="84"/>
      <c r="D492" s="84"/>
      <c r="E492" s="84"/>
      <c r="F492" s="84"/>
    </row>
    <row r="493" ht="15.75" customHeight="1">
      <c r="A493" s="84"/>
      <c r="B493" s="84"/>
      <c r="C493" s="84"/>
      <c r="D493" s="84"/>
      <c r="E493" s="84"/>
      <c r="F493" s="84"/>
    </row>
    <row r="494" ht="15.75" customHeight="1">
      <c r="A494" s="84"/>
      <c r="B494" s="84"/>
      <c r="C494" s="84"/>
      <c r="D494" s="84"/>
      <c r="E494" s="84"/>
      <c r="F494" s="84"/>
    </row>
    <row r="495" ht="15.75" customHeight="1">
      <c r="A495" s="84"/>
      <c r="B495" s="84"/>
      <c r="C495" s="84"/>
      <c r="D495" s="84"/>
      <c r="E495" s="84"/>
      <c r="F495" s="84"/>
    </row>
    <row r="496" ht="15.75" customHeight="1">
      <c r="A496" s="84"/>
      <c r="B496" s="84"/>
      <c r="C496" s="84"/>
      <c r="D496" s="84"/>
      <c r="E496" s="84"/>
      <c r="F496" s="84"/>
    </row>
    <row r="497" ht="15.75" customHeight="1">
      <c r="A497" s="84"/>
      <c r="B497" s="84"/>
      <c r="C497" s="84"/>
      <c r="D497" s="84"/>
      <c r="E497" s="84"/>
      <c r="F497" s="84"/>
    </row>
    <row r="498" ht="15.75" customHeight="1">
      <c r="A498" s="84"/>
      <c r="B498" s="84"/>
      <c r="C498" s="84"/>
      <c r="D498" s="84"/>
      <c r="E498" s="84"/>
      <c r="F498" s="84"/>
    </row>
    <row r="499" ht="15.75" customHeight="1">
      <c r="A499" s="84"/>
      <c r="B499" s="84"/>
      <c r="C499" s="84"/>
      <c r="D499" s="84"/>
      <c r="E499" s="84"/>
      <c r="F499" s="84"/>
    </row>
    <row r="500" ht="15.75" customHeight="1">
      <c r="A500" s="84"/>
      <c r="B500" s="84"/>
      <c r="C500" s="84"/>
      <c r="D500" s="84"/>
      <c r="E500" s="84"/>
      <c r="F500" s="84"/>
    </row>
    <row r="501" ht="15.75" customHeight="1">
      <c r="A501" s="84"/>
      <c r="B501" s="84"/>
      <c r="C501" s="84"/>
      <c r="D501" s="84"/>
      <c r="E501" s="84"/>
      <c r="F501" s="84"/>
    </row>
    <row r="502" ht="15.75" customHeight="1">
      <c r="A502" s="84"/>
      <c r="B502" s="84"/>
      <c r="C502" s="84"/>
      <c r="D502" s="84"/>
      <c r="E502" s="84"/>
      <c r="F502" s="84"/>
    </row>
    <row r="503" ht="15.75" customHeight="1">
      <c r="A503" s="84"/>
      <c r="B503" s="84"/>
      <c r="C503" s="84"/>
      <c r="D503" s="84"/>
      <c r="E503" s="84"/>
      <c r="F503" s="84"/>
    </row>
    <row r="504" ht="15.75" customHeight="1">
      <c r="A504" s="84"/>
      <c r="B504" s="84"/>
      <c r="C504" s="84"/>
      <c r="D504" s="84"/>
      <c r="E504" s="84"/>
      <c r="F504" s="84"/>
    </row>
    <row r="505" ht="15.75" customHeight="1">
      <c r="A505" s="84"/>
      <c r="B505" s="84"/>
      <c r="C505" s="84"/>
      <c r="D505" s="84"/>
      <c r="E505" s="84"/>
      <c r="F505" s="84"/>
    </row>
    <row r="506" ht="15.75" customHeight="1">
      <c r="A506" s="84"/>
      <c r="B506" s="84"/>
      <c r="C506" s="84"/>
      <c r="D506" s="84"/>
      <c r="E506" s="84"/>
      <c r="F506" s="84"/>
    </row>
    <row r="507" ht="15.75" customHeight="1">
      <c r="A507" s="84"/>
      <c r="B507" s="84"/>
      <c r="C507" s="84"/>
      <c r="D507" s="84"/>
      <c r="E507" s="84"/>
      <c r="F507" s="84"/>
    </row>
    <row r="508" ht="15.75" customHeight="1">
      <c r="A508" s="84"/>
      <c r="B508" s="84"/>
      <c r="C508" s="84"/>
      <c r="D508" s="84"/>
      <c r="E508" s="84"/>
      <c r="F508" s="84"/>
    </row>
    <row r="509" ht="15.75" customHeight="1">
      <c r="A509" s="84"/>
      <c r="B509" s="84"/>
      <c r="C509" s="84"/>
      <c r="D509" s="84"/>
      <c r="E509" s="84"/>
      <c r="F509" s="84"/>
    </row>
    <row r="510" ht="15.75" customHeight="1">
      <c r="A510" s="84"/>
      <c r="B510" s="84"/>
      <c r="C510" s="84"/>
      <c r="D510" s="84"/>
      <c r="E510" s="84"/>
      <c r="F510" s="84"/>
    </row>
    <row r="511" ht="15.75" customHeight="1">
      <c r="A511" s="84"/>
      <c r="B511" s="84"/>
      <c r="C511" s="84"/>
      <c r="D511" s="84"/>
      <c r="E511" s="84"/>
      <c r="F511" s="84"/>
    </row>
    <row r="512" ht="15.75" customHeight="1">
      <c r="A512" s="84"/>
      <c r="B512" s="84"/>
      <c r="C512" s="84"/>
      <c r="D512" s="84"/>
      <c r="E512" s="84"/>
      <c r="F512" s="84"/>
    </row>
    <row r="513" ht="15.75" customHeight="1">
      <c r="A513" s="84"/>
      <c r="B513" s="84"/>
      <c r="C513" s="84"/>
      <c r="D513" s="84"/>
      <c r="E513" s="84"/>
      <c r="F513" s="84"/>
    </row>
    <row r="514" ht="15.75" customHeight="1">
      <c r="A514" s="84"/>
      <c r="B514" s="84"/>
      <c r="C514" s="84"/>
      <c r="D514" s="84"/>
      <c r="E514" s="84"/>
      <c r="F514" s="84"/>
    </row>
    <row r="515" ht="15.75" customHeight="1">
      <c r="A515" s="84"/>
      <c r="B515" s="84"/>
      <c r="C515" s="84"/>
      <c r="D515" s="84"/>
      <c r="E515" s="84"/>
      <c r="F515" s="84"/>
    </row>
    <row r="516" ht="15.75" customHeight="1">
      <c r="A516" s="84"/>
      <c r="B516" s="84"/>
      <c r="C516" s="84"/>
      <c r="D516" s="84"/>
      <c r="E516" s="84"/>
      <c r="F516" s="84"/>
    </row>
    <row r="517" ht="15.75" customHeight="1">
      <c r="A517" s="84"/>
      <c r="B517" s="84"/>
      <c r="C517" s="84"/>
      <c r="D517" s="84"/>
      <c r="E517" s="84"/>
      <c r="F517" s="84"/>
    </row>
    <row r="518" ht="15.75" customHeight="1">
      <c r="A518" s="84"/>
      <c r="B518" s="84"/>
      <c r="C518" s="84"/>
      <c r="D518" s="84"/>
      <c r="E518" s="84"/>
      <c r="F518" s="84"/>
    </row>
    <row r="519" ht="15.75" customHeight="1">
      <c r="A519" s="84"/>
      <c r="B519" s="84"/>
      <c r="C519" s="84"/>
      <c r="D519" s="84"/>
      <c r="E519" s="84"/>
      <c r="F519" s="84"/>
    </row>
    <row r="520" ht="15.75" customHeight="1">
      <c r="A520" s="84"/>
      <c r="B520" s="84"/>
      <c r="C520" s="84"/>
      <c r="D520" s="84"/>
      <c r="E520" s="84"/>
      <c r="F520" s="84"/>
    </row>
    <row r="521" ht="15.75" customHeight="1">
      <c r="A521" s="84"/>
      <c r="B521" s="84"/>
      <c r="C521" s="84"/>
      <c r="D521" s="84"/>
      <c r="E521" s="84"/>
      <c r="F521" s="84"/>
    </row>
    <row r="522" ht="15.75" customHeight="1">
      <c r="A522" s="84"/>
      <c r="B522" s="84"/>
      <c r="C522" s="84"/>
      <c r="D522" s="84"/>
      <c r="E522" s="84"/>
      <c r="F522" s="84"/>
    </row>
    <row r="523" ht="15.75" customHeight="1">
      <c r="A523" s="84"/>
      <c r="B523" s="84"/>
      <c r="C523" s="84"/>
      <c r="D523" s="84"/>
      <c r="E523" s="84"/>
      <c r="F523" s="84"/>
    </row>
    <row r="524" ht="15.75" customHeight="1">
      <c r="A524" s="84"/>
      <c r="B524" s="84"/>
      <c r="C524" s="84"/>
      <c r="D524" s="84"/>
      <c r="E524" s="84"/>
      <c r="F524" s="84"/>
    </row>
    <row r="525" ht="15.75" customHeight="1">
      <c r="A525" s="84"/>
      <c r="B525" s="84"/>
      <c r="C525" s="84"/>
      <c r="D525" s="84"/>
      <c r="E525" s="84"/>
      <c r="F525" s="84"/>
    </row>
    <row r="526" ht="15.75" customHeight="1">
      <c r="A526" s="84"/>
      <c r="B526" s="84"/>
      <c r="C526" s="84"/>
      <c r="D526" s="84"/>
      <c r="E526" s="84"/>
      <c r="F526" s="84"/>
    </row>
    <row r="527" ht="15.75" customHeight="1">
      <c r="A527" s="84"/>
      <c r="B527" s="84"/>
      <c r="C527" s="84"/>
      <c r="D527" s="84"/>
      <c r="E527" s="84"/>
      <c r="F527" s="84"/>
    </row>
    <row r="528" ht="15.75" customHeight="1">
      <c r="A528" s="84"/>
      <c r="B528" s="84"/>
      <c r="C528" s="84"/>
      <c r="D528" s="84"/>
      <c r="E528" s="84"/>
      <c r="F528" s="84"/>
    </row>
    <row r="529" ht="15.75" customHeight="1">
      <c r="A529" s="84"/>
      <c r="B529" s="84"/>
      <c r="C529" s="84"/>
      <c r="D529" s="84"/>
      <c r="E529" s="84"/>
      <c r="F529" s="84"/>
    </row>
    <row r="530" ht="15.75" customHeight="1">
      <c r="A530" s="84"/>
      <c r="B530" s="84"/>
      <c r="C530" s="84"/>
      <c r="D530" s="84"/>
      <c r="E530" s="84"/>
      <c r="F530" s="84"/>
    </row>
    <row r="531" ht="15.75" customHeight="1">
      <c r="A531" s="84"/>
      <c r="B531" s="84"/>
      <c r="C531" s="84"/>
      <c r="D531" s="84"/>
      <c r="E531" s="84"/>
      <c r="F531" s="84"/>
    </row>
    <row r="532" ht="15.75" customHeight="1">
      <c r="A532" s="84"/>
      <c r="B532" s="84"/>
      <c r="C532" s="84"/>
      <c r="D532" s="84"/>
      <c r="E532" s="84"/>
      <c r="F532" s="84"/>
    </row>
    <row r="533" ht="15.75" customHeight="1">
      <c r="A533" s="84"/>
      <c r="B533" s="84"/>
      <c r="C533" s="84"/>
      <c r="D533" s="84"/>
      <c r="E533" s="84"/>
      <c r="F533" s="84"/>
    </row>
    <row r="534" ht="15.75" customHeight="1">
      <c r="A534" s="84"/>
      <c r="B534" s="84"/>
      <c r="C534" s="84"/>
      <c r="D534" s="84"/>
      <c r="E534" s="84"/>
      <c r="F534" s="84"/>
    </row>
    <row r="535" ht="15.75" customHeight="1">
      <c r="A535" s="84"/>
      <c r="B535" s="84"/>
      <c r="C535" s="84"/>
      <c r="D535" s="84"/>
      <c r="E535" s="84"/>
      <c r="F535" s="84"/>
    </row>
    <row r="536" ht="15.75" customHeight="1">
      <c r="A536" s="84"/>
      <c r="B536" s="84"/>
      <c r="C536" s="84"/>
      <c r="D536" s="84"/>
      <c r="E536" s="84"/>
      <c r="F536" s="84"/>
    </row>
    <row r="537" ht="15.75" customHeight="1">
      <c r="A537" s="84"/>
      <c r="B537" s="84"/>
      <c r="C537" s="84"/>
      <c r="D537" s="84"/>
      <c r="E537" s="84"/>
      <c r="F537" s="84"/>
    </row>
    <row r="538" ht="15.75" customHeight="1">
      <c r="A538" s="84"/>
      <c r="B538" s="84"/>
      <c r="C538" s="84"/>
      <c r="D538" s="84"/>
      <c r="E538" s="84"/>
      <c r="F538" s="84"/>
    </row>
    <row r="539" ht="15.75" customHeight="1">
      <c r="A539" s="84"/>
      <c r="B539" s="84"/>
      <c r="C539" s="84"/>
      <c r="D539" s="84"/>
      <c r="E539" s="84"/>
      <c r="F539" s="84"/>
    </row>
    <row r="540" ht="15.75" customHeight="1">
      <c r="A540" s="84"/>
      <c r="B540" s="84"/>
      <c r="C540" s="84"/>
      <c r="D540" s="84"/>
      <c r="E540" s="84"/>
      <c r="F540" s="84"/>
    </row>
    <row r="541" ht="15.75" customHeight="1">
      <c r="A541" s="84"/>
      <c r="B541" s="84"/>
      <c r="C541" s="84"/>
      <c r="D541" s="84"/>
      <c r="E541" s="84"/>
      <c r="F541" s="84"/>
    </row>
    <row r="542" ht="15.75" customHeight="1">
      <c r="A542" s="84"/>
      <c r="B542" s="84"/>
      <c r="C542" s="84"/>
      <c r="D542" s="84"/>
      <c r="E542" s="84"/>
      <c r="F542" s="84"/>
    </row>
    <row r="543" ht="15.75" customHeight="1">
      <c r="A543" s="84"/>
      <c r="B543" s="84"/>
      <c r="C543" s="84"/>
      <c r="D543" s="84"/>
      <c r="E543" s="84"/>
      <c r="F543" s="84"/>
    </row>
    <row r="544" ht="15.75" customHeight="1">
      <c r="A544" s="84"/>
      <c r="B544" s="84"/>
      <c r="C544" s="84"/>
      <c r="D544" s="84"/>
      <c r="E544" s="84"/>
      <c r="F544" s="84"/>
    </row>
    <row r="545" ht="15.75" customHeight="1">
      <c r="A545" s="84"/>
      <c r="B545" s="84"/>
      <c r="C545" s="84"/>
      <c r="D545" s="84"/>
      <c r="E545" s="84"/>
      <c r="F545" s="84"/>
    </row>
    <row r="546" ht="15.75" customHeight="1">
      <c r="A546" s="84"/>
      <c r="B546" s="84"/>
      <c r="C546" s="84"/>
      <c r="D546" s="84"/>
      <c r="E546" s="84"/>
      <c r="F546" s="84"/>
    </row>
    <row r="547" ht="15.75" customHeight="1">
      <c r="A547" s="84"/>
      <c r="B547" s="84"/>
      <c r="C547" s="84"/>
      <c r="D547" s="84"/>
      <c r="E547" s="84"/>
      <c r="F547" s="84"/>
    </row>
    <row r="548" ht="15.75" customHeight="1">
      <c r="A548" s="84"/>
      <c r="B548" s="84"/>
      <c r="C548" s="84"/>
      <c r="D548" s="84"/>
      <c r="E548" s="84"/>
      <c r="F548" s="84"/>
    </row>
    <row r="549" ht="15.75" customHeight="1">
      <c r="A549" s="84"/>
      <c r="B549" s="84"/>
      <c r="C549" s="84"/>
      <c r="D549" s="84"/>
      <c r="E549" s="84"/>
      <c r="F549" s="84"/>
    </row>
    <row r="550" ht="15.75" customHeight="1">
      <c r="A550" s="84"/>
      <c r="B550" s="84"/>
      <c r="C550" s="84"/>
      <c r="D550" s="84"/>
      <c r="E550" s="84"/>
      <c r="F550" s="84"/>
    </row>
    <row r="551" ht="15.75" customHeight="1">
      <c r="A551" s="84"/>
      <c r="B551" s="84"/>
      <c r="C551" s="84"/>
      <c r="D551" s="84"/>
      <c r="E551" s="84"/>
      <c r="F551" s="84"/>
    </row>
    <row r="552" ht="15.75" customHeight="1">
      <c r="A552" s="84"/>
      <c r="B552" s="84"/>
      <c r="C552" s="84"/>
      <c r="D552" s="84"/>
      <c r="E552" s="84"/>
      <c r="F552" s="84"/>
    </row>
    <row r="553" ht="15.75" customHeight="1">
      <c r="A553" s="84"/>
      <c r="B553" s="84"/>
      <c r="C553" s="84"/>
      <c r="D553" s="84"/>
      <c r="E553" s="84"/>
      <c r="F553" s="84"/>
    </row>
    <row r="554" ht="15.75" customHeight="1">
      <c r="A554" s="84"/>
      <c r="B554" s="84"/>
      <c r="C554" s="84"/>
      <c r="D554" s="84"/>
      <c r="E554" s="84"/>
      <c r="F554" s="84"/>
    </row>
    <row r="555" ht="15.75" customHeight="1">
      <c r="A555" s="84"/>
      <c r="B555" s="84"/>
      <c r="C555" s="84"/>
      <c r="D555" s="84"/>
      <c r="E555" s="84"/>
      <c r="F555" s="84"/>
    </row>
    <row r="556" ht="15.75" customHeight="1">
      <c r="A556" s="84"/>
      <c r="B556" s="84"/>
      <c r="C556" s="84"/>
      <c r="D556" s="84"/>
      <c r="E556" s="84"/>
      <c r="F556" s="84"/>
    </row>
    <row r="557" ht="15.75" customHeight="1">
      <c r="A557" s="84"/>
      <c r="B557" s="84"/>
      <c r="C557" s="84"/>
      <c r="D557" s="84"/>
      <c r="E557" s="84"/>
      <c r="F557" s="84"/>
    </row>
    <row r="558" ht="15.75" customHeight="1">
      <c r="A558" s="84"/>
      <c r="B558" s="84"/>
      <c r="C558" s="84"/>
      <c r="D558" s="84"/>
      <c r="E558" s="84"/>
      <c r="F558" s="84"/>
    </row>
    <row r="559" ht="15.75" customHeight="1">
      <c r="A559" s="84"/>
      <c r="B559" s="84"/>
      <c r="C559" s="84"/>
      <c r="D559" s="84"/>
      <c r="E559" s="84"/>
      <c r="F559" s="84"/>
    </row>
    <row r="560" ht="15.75" customHeight="1">
      <c r="A560" s="84"/>
      <c r="B560" s="84"/>
      <c r="C560" s="84"/>
      <c r="D560" s="84"/>
      <c r="E560" s="84"/>
      <c r="F560" s="84"/>
    </row>
    <row r="561" ht="15.75" customHeight="1">
      <c r="A561" s="84"/>
      <c r="B561" s="84"/>
      <c r="C561" s="84"/>
      <c r="D561" s="84"/>
      <c r="E561" s="84"/>
      <c r="F561" s="84"/>
    </row>
    <row r="562" ht="15.75" customHeight="1">
      <c r="A562" s="84"/>
      <c r="B562" s="84"/>
      <c r="C562" s="84"/>
      <c r="D562" s="84"/>
      <c r="E562" s="84"/>
      <c r="F562" s="84"/>
    </row>
    <row r="563" ht="15.75" customHeight="1">
      <c r="A563" s="84"/>
      <c r="B563" s="84"/>
      <c r="C563" s="84"/>
      <c r="D563" s="84"/>
      <c r="E563" s="84"/>
      <c r="F563" s="84"/>
    </row>
    <row r="564" ht="15.75" customHeight="1">
      <c r="A564" s="84"/>
      <c r="B564" s="84"/>
      <c r="C564" s="84"/>
      <c r="D564" s="84"/>
      <c r="E564" s="84"/>
      <c r="F564" s="84"/>
    </row>
    <row r="565" ht="15.75" customHeight="1">
      <c r="A565" s="84"/>
      <c r="B565" s="84"/>
      <c r="C565" s="84"/>
      <c r="D565" s="84"/>
      <c r="E565" s="84"/>
      <c r="F565" s="84"/>
    </row>
    <row r="566" ht="15.75" customHeight="1">
      <c r="A566" s="84"/>
      <c r="B566" s="84"/>
      <c r="C566" s="84"/>
      <c r="D566" s="84"/>
      <c r="E566" s="84"/>
      <c r="F566" s="84"/>
    </row>
    <row r="567" ht="15.75" customHeight="1">
      <c r="A567" s="84"/>
      <c r="B567" s="84"/>
      <c r="C567" s="84"/>
      <c r="D567" s="84"/>
      <c r="E567" s="84"/>
      <c r="F567" s="84"/>
    </row>
    <row r="568" ht="15.75" customHeight="1">
      <c r="A568" s="84"/>
      <c r="B568" s="84"/>
      <c r="C568" s="84"/>
      <c r="D568" s="84"/>
      <c r="E568" s="84"/>
      <c r="F568" s="84"/>
    </row>
    <row r="569" ht="15.75" customHeight="1">
      <c r="A569" s="84"/>
      <c r="B569" s="84"/>
      <c r="C569" s="84"/>
      <c r="D569" s="84"/>
      <c r="E569" s="84"/>
      <c r="F569" s="84"/>
    </row>
    <row r="570" ht="15.75" customHeight="1">
      <c r="A570" s="84"/>
      <c r="B570" s="84"/>
      <c r="C570" s="84"/>
      <c r="D570" s="84"/>
      <c r="E570" s="84"/>
      <c r="F570" s="84"/>
    </row>
    <row r="571" ht="15.75" customHeight="1">
      <c r="A571" s="84"/>
      <c r="B571" s="84"/>
      <c r="C571" s="84"/>
      <c r="D571" s="84"/>
      <c r="E571" s="84"/>
      <c r="F571" s="84"/>
    </row>
    <row r="572" ht="15.75" customHeight="1">
      <c r="A572" s="84"/>
      <c r="B572" s="84"/>
      <c r="C572" s="84"/>
      <c r="D572" s="84"/>
      <c r="E572" s="84"/>
      <c r="F572" s="84"/>
    </row>
    <row r="573" ht="15.75" customHeight="1">
      <c r="A573" s="84"/>
      <c r="B573" s="84"/>
      <c r="C573" s="84"/>
      <c r="D573" s="84"/>
      <c r="E573" s="84"/>
      <c r="F573" s="84"/>
    </row>
    <row r="574" ht="15.75" customHeight="1">
      <c r="A574" s="84"/>
      <c r="B574" s="84"/>
      <c r="C574" s="84"/>
      <c r="D574" s="84"/>
      <c r="E574" s="84"/>
      <c r="F574" s="84"/>
    </row>
    <row r="575" ht="15.75" customHeight="1">
      <c r="A575" s="84"/>
      <c r="B575" s="84"/>
      <c r="C575" s="84"/>
      <c r="D575" s="84"/>
      <c r="E575" s="84"/>
      <c r="F575" s="84"/>
    </row>
    <row r="576" ht="15.75" customHeight="1">
      <c r="A576" s="84"/>
      <c r="B576" s="84"/>
      <c r="C576" s="84"/>
      <c r="D576" s="84"/>
      <c r="E576" s="84"/>
      <c r="F576" s="84"/>
    </row>
    <row r="577" ht="15.75" customHeight="1">
      <c r="A577" s="84"/>
      <c r="B577" s="84"/>
      <c r="C577" s="84"/>
      <c r="D577" s="84"/>
      <c r="E577" s="84"/>
      <c r="F577" s="84"/>
    </row>
    <row r="578" ht="15.75" customHeight="1">
      <c r="A578" s="84"/>
      <c r="B578" s="84"/>
      <c r="C578" s="84"/>
      <c r="D578" s="84"/>
      <c r="E578" s="84"/>
      <c r="F578" s="84"/>
    </row>
    <row r="579" ht="15.75" customHeight="1">
      <c r="A579" s="84"/>
      <c r="B579" s="84"/>
      <c r="C579" s="84"/>
      <c r="D579" s="84"/>
      <c r="E579" s="84"/>
      <c r="F579" s="84"/>
    </row>
    <row r="580" ht="15.75" customHeight="1">
      <c r="A580" s="84"/>
      <c r="B580" s="84"/>
      <c r="C580" s="84"/>
      <c r="D580" s="84"/>
      <c r="E580" s="84"/>
      <c r="F580" s="84"/>
    </row>
    <row r="581" ht="15.75" customHeight="1">
      <c r="A581" s="84"/>
      <c r="B581" s="84"/>
      <c r="C581" s="84"/>
      <c r="D581" s="84"/>
      <c r="E581" s="84"/>
      <c r="F581" s="84"/>
    </row>
    <row r="582" ht="15.75" customHeight="1">
      <c r="A582" s="84"/>
      <c r="B582" s="84"/>
      <c r="C582" s="84"/>
      <c r="D582" s="84"/>
      <c r="E582" s="84"/>
      <c r="F582" s="84"/>
    </row>
    <row r="583" ht="15.75" customHeight="1">
      <c r="A583" s="84"/>
      <c r="B583" s="84"/>
      <c r="C583" s="84"/>
      <c r="D583" s="84"/>
      <c r="E583" s="84"/>
      <c r="F583" s="84"/>
    </row>
    <row r="584" ht="15.75" customHeight="1">
      <c r="A584" s="84"/>
      <c r="B584" s="84"/>
      <c r="C584" s="84"/>
      <c r="D584" s="84"/>
      <c r="E584" s="84"/>
      <c r="F584" s="84"/>
    </row>
    <row r="585" ht="15.75" customHeight="1">
      <c r="A585" s="84"/>
      <c r="B585" s="84"/>
      <c r="C585" s="84"/>
      <c r="D585" s="84"/>
      <c r="E585" s="84"/>
      <c r="F585" s="84"/>
    </row>
    <row r="586" ht="15.75" customHeight="1">
      <c r="A586" s="84"/>
      <c r="B586" s="84"/>
      <c r="C586" s="84"/>
      <c r="D586" s="84"/>
      <c r="E586" s="84"/>
      <c r="F586" s="84"/>
    </row>
    <row r="587" ht="15.75" customHeight="1">
      <c r="A587" s="84"/>
      <c r="B587" s="84"/>
      <c r="C587" s="84"/>
      <c r="D587" s="84"/>
      <c r="E587" s="84"/>
      <c r="F587" s="84"/>
    </row>
    <row r="588" ht="15.75" customHeight="1">
      <c r="A588" s="84"/>
      <c r="B588" s="84"/>
      <c r="C588" s="84"/>
      <c r="D588" s="84"/>
      <c r="E588" s="84"/>
      <c r="F588" s="84"/>
    </row>
    <row r="589" ht="15.75" customHeight="1">
      <c r="A589" s="84"/>
      <c r="B589" s="84"/>
      <c r="C589" s="84"/>
      <c r="D589" s="84"/>
      <c r="E589" s="84"/>
      <c r="F589" s="84"/>
    </row>
    <row r="590" ht="15.75" customHeight="1">
      <c r="A590" s="84"/>
      <c r="B590" s="84"/>
      <c r="C590" s="84"/>
      <c r="D590" s="84"/>
      <c r="E590" s="84"/>
      <c r="F590" s="84"/>
    </row>
    <row r="591" ht="15.75" customHeight="1">
      <c r="A591" s="84"/>
      <c r="B591" s="84"/>
      <c r="C591" s="84"/>
      <c r="D591" s="84"/>
      <c r="E591" s="84"/>
      <c r="F591" s="84"/>
    </row>
    <row r="592" ht="15.75" customHeight="1">
      <c r="A592" s="84"/>
      <c r="B592" s="84"/>
      <c r="C592" s="84"/>
      <c r="D592" s="84"/>
      <c r="E592" s="84"/>
      <c r="F592" s="84"/>
    </row>
    <row r="593" ht="15.75" customHeight="1">
      <c r="A593" s="84"/>
      <c r="B593" s="84"/>
      <c r="C593" s="84"/>
      <c r="D593" s="84"/>
      <c r="E593" s="84"/>
      <c r="F593" s="84"/>
    </row>
    <row r="594" ht="15.75" customHeight="1">
      <c r="A594" s="84"/>
      <c r="B594" s="84"/>
      <c r="C594" s="84"/>
      <c r="D594" s="84"/>
      <c r="E594" s="84"/>
      <c r="F594" s="84"/>
    </row>
    <row r="595" ht="15.75" customHeight="1">
      <c r="A595" s="84"/>
      <c r="B595" s="84"/>
      <c r="C595" s="84"/>
      <c r="D595" s="84"/>
      <c r="E595" s="84"/>
      <c r="F595" s="84"/>
    </row>
    <row r="596" ht="15.75" customHeight="1">
      <c r="A596" s="84"/>
      <c r="B596" s="84"/>
      <c r="C596" s="84"/>
      <c r="D596" s="84"/>
      <c r="E596" s="84"/>
      <c r="F596" s="84"/>
    </row>
    <row r="597" ht="15.75" customHeight="1">
      <c r="A597" s="84"/>
      <c r="B597" s="84"/>
      <c r="C597" s="84"/>
      <c r="D597" s="84"/>
      <c r="E597" s="84"/>
      <c r="F597" s="84"/>
    </row>
    <row r="598" ht="15.75" customHeight="1">
      <c r="A598" s="84"/>
      <c r="B598" s="84"/>
      <c r="C598" s="84"/>
      <c r="D598" s="84"/>
      <c r="E598" s="84"/>
      <c r="F598" s="84"/>
    </row>
    <row r="599" ht="15.75" customHeight="1">
      <c r="A599" s="84"/>
      <c r="B599" s="84"/>
      <c r="C599" s="84"/>
      <c r="D599" s="84"/>
      <c r="E599" s="84"/>
      <c r="F599" s="84"/>
    </row>
    <row r="600" ht="15.75" customHeight="1">
      <c r="A600" s="84"/>
      <c r="B600" s="84"/>
      <c r="C600" s="84"/>
      <c r="D600" s="84"/>
      <c r="E600" s="84"/>
      <c r="F600" s="84"/>
    </row>
    <row r="601" ht="15.75" customHeight="1">
      <c r="A601" s="84"/>
      <c r="B601" s="84"/>
      <c r="C601" s="84"/>
      <c r="D601" s="84"/>
      <c r="E601" s="84"/>
      <c r="F601" s="84"/>
    </row>
    <row r="602" ht="15.75" customHeight="1">
      <c r="A602" s="84"/>
      <c r="B602" s="84"/>
      <c r="C602" s="84"/>
      <c r="D602" s="84"/>
      <c r="E602" s="84"/>
      <c r="F602" s="84"/>
    </row>
    <row r="603" ht="15.75" customHeight="1">
      <c r="A603" s="84"/>
      <c r="B603" s="84"/>
      <c r="C603" s="84"/>
      <c r="D603" s="84"/>
      <c r="E603" s="84"/>
      <c r="F603" s="84"/>
    </row>
    <row r="604" ht="15.75" customHeight="1">
      <c r="A604" s="84"/>
      <c r="B604" s="84"/>
      <c r="C604" s="84"/>
      <c r="D604" s="84"/>
      <c r="E604" s="84"/>
      <c r="F604" s="84"/>
    </row>
    <row r="605" ht="15.75" customHeight="1">
      <c r="A605" s="84"/>
      <c r="B605" s="84"/>
      <c r="C605" s="84"/>
      <c r="D605" s="84"/>
      <c r="E605" s="84"/>
      <c r="F605" s="84"/>
    </row>
    <row r="606" ht="15.75" customHeight="1">
      <c r="A606" s="84"/>
      <c r="B606" s="84"/>
      <c r="C606" s="84"/>
      <c r="D606" s="84"/>
      <c r="E606" s="84"/>
      <c r="F606" s="84"/>
    </row>
    <row r="607" ht="15.75" customHeight="1">
      <c r="A607" s="84"/>
      <c r="B607" s="84"/>
      <c r="C607" s="84"/>
      <c r="D607" s="84"/>
      <c r="E607" s="84"/>
      <c r="F607" s="84"/>
    </row>
    <row r="608" ht="15.75" customHeight="1">
      <c r="A608" s="84"/>
      <c r="B608" s="84"/>
      <c r="C608" s="84"/>
      <c r="D608" s="84"/>
      <c r="E608" s="84"/>
      <c r="F608" s="84"/>
    </row>
    <row r="609" ht="15.75" customHeight="1">
      <c r="A609" s="84"/>
      <c r="B609" s="84"/>
      <c r="C609" s="84"/>
      <c r="D609" s="84"/>
      <c r="E609" s="84"/>
      <c r="F609" s="84"/>
    </row>
    <row r="610" ht="15.75" customHeight="1">
      <c r="A610" s="84"/>
      <c r="B610" s="84"/>
      <c r="C610" s="84"/>
      <c r="D610" s="84"/>
      <c r="E610" s="84"/>
      <c r="F610" s="84"/>
    </row>
    <row r="611" ht="15.75" customHeight="1">
      <c r="A611" s="84"/>
      <c r="B611" s="84"/>
      <c r="C611" s="84"/>
      <c r="D611" s="84"/>
      <c r="E611" s="84"/>
      <c r="F611" s="84"/>
    </row>
    <row r="612" ht="15.75" customHeight="1">
      <c r="A612" s="84"/>
      <c r="B612" s="84"/>
      <c r="C612" s="84"/>
      <c r="D612" s="84"/>
      <c r="E612" s="84"/>
      <c r="F612" s="84"/>
    </row>
    <row r="613" ht="15.75" customHeight="1">
      <c r="A613" s="84"/>
      <c r="B613" s="84"/>
      <c r="C613" s="84"/>
      <c r="D613" s="84"/>
      <c r="E613" s="84"/>
      <c r="F613" s="84"/>
    </row>
    <row r="614" ht="15.75" customHeight="1">
      <c r="A614" s="84"/>
      <c r="B614" s="84"/>
      <c r="C614" s="84"/>
      <c r="D614" s="84"/>
      <c r="E614" s="84"/>
      <c r="F614" s="84"/>
    </row>
    <row r="615" ht="15.75" customHeight="1">
      <c r="A615" s="84"/>
      <c r="B615" s="84"/>
      <c r="C615" s="84"/>
      <c r="D615" s="84"/>
      <c r="E615" s="84"/>
      <c r="F615" s="84"/>
    </row>
    <row r="616" ht="15.75" customHeight="1">
      <c r="A616" s="84"/>
      <c r="B616" s="84"/>
      <c r="C616" s="84"/>
      <c r="D616" s="84"/>
      <c r="E616" s="84"/>
      <c r="F616" s="84"/>
    </row>
    <row r="617" ht="15.75" customHeight="1">
      <c r="A617" s="84"/>
      <c r="B617" s="84"/>
      <c r="C617" s="84"/>
      <c r="D617" s="84"/>
      <c r="E617" s="84"/>
      <c r="F617" s="84"/>
    </row>
    <row r="618" ht="15.75" customHeight="1">
      <c r="A618" s="84"/>
      <c r="B618" s="84"/>
      <c r="C618" s="84"/>
      <c r="D618" s="84"/>
      <c r="E618" s="84"/>
      <c r="F618" s="84"/>
    </row>
    <row r="619" ht="15.75" customHeight="1">
      <c r="A619" s="84"/>
      <c r="B619" s="84"/>
      <c r="C619" s="84"/>
      <c r="D619" s="84"/>
      <c r="E619" s="84"/>
      <c r="F619" s="84"/>
    </row>
    <row r="620" ht="15.75" customHeight="1">
      <c r="A620" s="84"/>
      <c r="B620" s="84"/>
      <c r="C620" s="84"/>
      <c r="D620" s="84"/>
      <c r="E620" s="84"/>
      <c r="F620" s="84"/>
    </row>
    <row r="621" ht="15.75" customHeight="1">
      <c r="A621" s="84"/>
      <c r="B621" s="84"/>
      <c r="C621" s="84"/>
      <c r="D621" s="84"/>
      <c r="E621" s="84"/>
      <c r="F621" s="84"/>
    </row>
    <row r="622" ht="15.75" customHeight="1">
      <c r="A622" s="84"/>
      <c r="B622" s="84"/>
      <c r="C622" s="84"/>
      <c r="D622" s="84"/>
      <c r="E622" s="84"/>
      <c r="F622" s="84"/>
    </row>
    <row r="623" ht="15.75" customHeight="1">
      <c r="A623" s="84"/>
      <c r="B623" s="84"/>
      <c r="C623" s="84"/>
      <c r="D623" s="84"/>
      <c r="E623" s="84"/>
      <c r="F623" s="84"/>
    </row>
    <row r="624" ht="15.75" customHeight="1">
      <c r="A624" s="84"/>
      <c r="B624" s="84"/>
      <c r="C624" s="84"/>
      <c r="D624" s="84"/>
      <c r="E624" s="84"/>
      <c r="F624" s="84"/>
    </row>
    <row r="625" ht="15.75" customHeight="1">
      <c r="A625" s="84"/>
      <c r="B625" s="84"/>
      <c r="C625" s="84"/>
      <c r="D625" s="84"/>
      <c r="E625" s="84"/>
      <c r="F625" s="84"/>
    </row>
    <row r="626" ht="15.75" customHeight="1">
      <c r="A626" s="84"/>
      <c r="B626" s="84"/>
      <c r="C626" s="84"/>
      <c r="D626" s="84"/>
      <c r="E626" s="84"/>
      <c r="F626" s="84"/>
    </row>
    <row r="627" ht="15.75" customHeight="1">
      <c r="A627" s="84"/>
      <c r="B627" s="84"/>
      <c r="C627" s="84"/>
      <c r="D627" s="84"/>
      <c r="E627" s="84"/>
      <c r="F627" s="84"/>
    </row>
    <row r="628" ht="15.75" customHeight="1">
      <c r="A628" s="84"/>
      <c r="B628" s="84"/>
      <c r="C628" s="84"/>
      <c r="D628" s="84"/>
      <c r="E628" s="84"/>
      <c r="F628" s="84"/>
    </row>
    <row r="629" ht="15.75" customHeight="1">
      <c r="A629" s="84"/>
      <c r="B629" s="84"/>
      <c r="C629" s="84"/>
      <c r="D629" s="84"/>
      <c r="E629" s="84"/>
      <c r="F629" s="84"/>
    </row>
    <row r="630" ht="15.75" customHeight="1">
      <c r="A630" s="84"/>
      <c r="B630" s="84"/>
      <c r="C630" s="84"/>
      <c r="D630" s="84"/>
      <c r="E630" s="84"/>
      <c r="F630" s="84"/>
    </row>
    <row r="631" ht="15.75" customHeight="1">
      <c r="A631" s="84"/>
      <c r="B631" s="84"/>
      <c r="C631" s="84"/>
      <c r="D631" s="84"/>
      <c r="E631" s="84"/>
      <c r="F631" s="84"/>
    </row>
    <row r="632" ht="15.75" customHeight="1">
      <c r="A632" s="84"/>
      <c r="B632" s="84"/>
      <c r="C632" s="84"/>
      <c r="D632" s="84"/>
      <c r="E632" s="84"/>
      <c r="F632" s="84"/>
    </row>
    <row r="633" ht="15.75" customHeight="1">
      <c r="A633" s="84"/>
      <c r="B633" s="84"/>
      <c r="C633" s="84"/>
      <c r="D633" s="84"/>
      <c r="E633" s="84"/>
      <c r="F633" s="84"/>
    </row>
    <row r="634" ht="15.75" customHeight="1">
      <c r="A634" s="84"/>
      <c r="B634" s="84"/>
      <c r="C634" s="84"/>
      <c r="D634" s="84"/>
      <c r="E634" s="84"/>
      <c r="F634" s="84"/>
    </row>
    <row r="635" ht="15.75" customHeight="1">
      <c r="A635" s="84"/>
      <c r="B635" s="84"/>
      <c r="C635" s="84"/>
      <c r="D635" s="84"/>
      <c r="E635" s="84"/>
      <c r="F635" s="84"/>
    </row>
    <row r="636" ht="15.75" customHeight="1">
      <c r="A636" s="84"/>
      <c r="B636" s="84"/>
      <c r="C636" s="84"/>
      <c r="D636" s="84"/>
      <c r="E636" s="84"/>
      <c r="F636" s="84"/>
    </row>
    <row r="637" ht="15.75" customHeight="1">
      <c r="A637" s="84"/>
      <c r="B637" s="84"/>
      <c r="C637" s="84"/>
      <c r="D637" s="84"/>
      <c r="E637" s="84"/>
      <c r="F637" s="84"/>
    </row>
    <row r="638" ht="15.75" customHeight="1">
      <c r="A638" s="84"/>
      <c r="B638" s="84"/>
      <c r="C638" s="84"/>
      <c r="D638" s="84"/>
      <c r="E638" s="84"/>
      <c r="F638" s="84"/>
    </row>
    <row r="639" ht="15.75" customHeight="1">
      <c r="A639" s="84"/>
      <c r="B639" s="84"/>
      <c r="C639" s="84"/>
      <c r="D639" s="84"/>
      <c r="E639" s="84"/>
      <c r="F639" s="84"/>
    </row>
    <row r="640" ht="15.75" customHeight="1">
      <c r="A640" s="84"/>
      <c r="B640" s="84"/>
      <c r="C640" s="84"/>
      <c r="D640" s="84"/>
      <c r="E640" s="84"/>
      <c r="F640" s="84"/>
    </row>
    <row r="641" ht="15.75" customHeight="1">
      <c r="A641" s="84"/>
      <c r="B641" s="84"/>
      <c r="C641" s="84"/>
      <c r="D641" s="84"/>
      <c r="E641" s="84"/>
      <c r="F641" s="84"/>
    </row>
    <row r="642" ht="15.75" customHeight="1">
      <c r="A642" s="84"/>
      <c r="B642" s="84"/>
      <c r="C642" s="84"/>
      <c r="D642" s="84"/>
      <c r="E642" s="84"/>
      <c r="F642" s="84"/>
    </row>
    <row r="643" ht="15.75" customHeight="1">
      <c r="A643" s="84"/>
      <c r="B643" s="84"/>
      <c r="C643" s="84"/>
      <c r="D643" s="84"/>
      <c r="E643" s="84"/>
      <c r="F643" s="84"/>
    </row>
    <row r="644" ht="15.75" customHeight="1">
      <c r="A644" s="84"/>
      <c r="B644" s="84"/>
      <c r="C644" s="84"/>
      <c r="D644" s="84"/>
      <c r="E644" s="84"/>
      <c r="F644" s="84"/>
    </row>
    <row r="645" ht="15.75" customHeight="1">
      <c r="A645" s="84"/>
      <c r="B645" s="84"/>
      <c r="C645" s="84"/>
      <c r="D645" s="84"/>
      <c r="E645" s="84"/>
      <c r="F645" s="84"/>
    </row>
    <row r="646" ht="15.75" customHeight="1">
      <c r="A646" s="84"/>
      <c r="B646" s="84"/>
      <c r="C646" s="84"/>
      <c r="D646" s="84"/>
      <c r="E646" s="84"/>
      <c r="F646" s="84"/>
    </row>
    <row r="647" ht="15.75" customHeight="1">
      <c r="A647" s="84"/>
      <c r="B647" s="84"/>
      <c r="C647" s="84"/>
      <c r="D647" s="84"/>
      <c r="E647" s="84"/>
      <c r="F647" s="84"/>
    </row>
    <row r="648" ht="15.75" customHeight="1">
      <c r="A648" s="84"/>
      <c r="B648" s="84"/>
      <c r="C648" s="84"/>
      <c r="D648" s="84"/>
      <c r="E648" s="84"/>
      <c r="F648" s="84"/>
    </row>
    <row r="649" ht="15.75" customHeight="1">
      <c r="A649" s="84"/>
      <c r="B649" s="84"/>
      <c r="C649" s="84"/>
      <c r="D649" s="84"/>
      <c r="E649" s="84"/>
      <c r="F649" s="84"/>
    </row>
    <row r="650" ht="15.75" customHeight="1">
      <c r="A650" s="84"/>
      <c r="B650" s="84"/>
      <c r="C650" s="84"/>
      <c r="D650" s="84"/>
      <c r="E650" s="84"/>
      <c r="F650" s="84"/>
    </row>
    <row r="651" ht="15.75" customHeight="1">
      <c r="A651" s="84"/>
      <c r="B651" s="84"/>
      <c r="C651" s="84"/>
      <c r="D651" s="84"/>
      <c r="E651" s="84"/>
      <c r="F651" s="84"/>
    </row>
    <row r="652" ht="15.75" customHeight="1">
      <c r="A652" s="84"/>
      <c r="B652" s="84"/>
      <c r="C652" s="84"/>
      <c r="D652" s="84"/>
      <c r="E652" s="84"/>
      <c r="F652" s="84"/>
    </row>
    <row r="653" ht="15.75" customHeight="1">
      <c r="A653" s="84"/>
      <c r="B653" s="84"/>
      <c r="C653" s="84"/>
      <c r="D653" s="84"/>
      <c r="E653" s="84"/>
      <c r="F653" s="84"/>
    </row>
    <row r="654" ht="15.75" customHeight="1">
      <c r="A654" s="84"/>
      <c r="B654" s="84"/>
      <c r="C654" s="84"/>
      <c r="D654" s="84"/>
      <c r="E654" s="84"/>
      <c r="F654" s="84"/>
    </row>
    <row r="655" ht="15.75" customHeight="1">
      <c r="A655" s="84"/>
      <c r="B655" s="84"/>
      <c r="C655" s="84"/>
      <c r="D655" s="84"/>
      <c r="E655" s="84"/>
      <c r="F655" s="84"/>
    </row>
    <row r="656" ht="15.75" customHeight="1">
      <c r="A656" s="84"/>
      <c r="B656" s="84"/>
      <c r="C656" s="84"/>
      <c r="D656" s="84"/>
      <c r="E656" s="84"/>
      <c r="F656" s="84"/>
    </row>
    <row r="657" ht="15.75" customHeight="1">
      <c r="A657" s="84"/>
      <c r="B657" s="84"/>
      <c r="C657" s="84"/>
      <c r="D657" s="84"/>
      <c r="E657" s="84"/>
      <c r="F657" s="84"/>
    </row>
    <row r="658" ht="15.75" customHeight="1">
      <c r="A658" s="84"/>
      <c r="B658" s="84"/>
      <c r="C658" s="84"/>
      <c r="D658" s="84"/>
      <c r="E658" s="84"/>
      <c r="F658" s="84"/>
    </row>
    <row r="659" ht="15.75" customHeight="1">
      <c r="A659" s="84"/>
      <c r="B659" s="84"/>
      <c r="C659" s="84"/>
      <c r="D659" s="84"/>
      <c r="E659" s="84"/>
      <c r="F659" s="84"/>
    </row>
    <row r="660" ht="15.75" customHeight="1">
      <c r="A660" s="84"/>
      <c r="B660" s="84"/>
      <c r="C660" s="84"/>
      <c r="D660" s="84"/>
      <c r="E660" s="84"/>
      <c r="F660" s="84"/>
    </row>
    <row r="661" ht="15.75" customHeight="1">
      <c r="A661" s="84"/>
      <c r="B661" s="84"/>
      <c r="C661" s="84"/>
      <c r="D661" s="84"/>
      <c r="E661" s="84"/>
      <c r="F661" s="84"/>
    </row>
    <row r="662" ht="15.75" customHeight="1">
      <c r="A662" s="84"/>
      <c r="B662" s="84"/>
      <c r="C662" s="84"/>
      <c r="D662" s="84"/>
      <c r="E662" s="84"/>
      <c r="F662" s="84"/>
    </row>
    <row r="663" ht="15.75" customHeight="1">
      <c r="A663" s="84"/>
      <c r="B663" s="84"/>
      <c r="C663" s="84"/>
      <c r="D663" s="84"/>
      <c r="E663" s="84"/>
      <c r="F663" s="84"/>
    </row>
    <row r="664" ht="15.75" customHeight="1">
      <c r="A664" s="84"/>
      <c r="B664" s="84"/>
      <c r="C664" s="84"/>
      <c r="D664" s="84"/>
      <c r="E664" s="84"/>
      <c r="F664" s="84"/>
    </row>
    <row r="665" ht="15.75" customHeight="1">
      <c r="A665" s="84"/>
      <c r="B665" s="84"/>
      <c r="C665" s="84"/>
      <c r="D665" s="84"/>
      <c r="E665" s="84"/>
      <c r="F665" s="84"/>
    </row>
    <row r="666" ht="15.75" customHeight="1">
      <c r="A666" s="84"/>
      <c r="B666" s="84"/>
      <c r="C666" s="84"/>
      <c r="D666" s="84"/>
      <c r="E666" s="84"/>
      <c r="F666" s="84"/>
    </row>
    <row r="667" ht="15.75" customHeight="1">
      <c r="A667" s="84"/>
      <c r="B667" s="84"/>
      <c r="C667" s="84"/>
      <c r="D667" s="84"/>
      <c r="E667" s="84"/>
      <c r="F667" s="84"/>
    </row>
    <row r="668" ht="15.75" customHeight="1">
      <c r="A668" s="84"/>
      <c r="B668" s="84"/>
      <c r="C668" s="84"/>
      <c r="D668" s="84"/>
      <c r="E668" s="84"/>
      <c r="F668" s="84"/>
    </row>
    <row r="669" ht="15.75" customHeight="1">
      <c r="A669" s="84"/>
      <c r="B669" s="84"/>
      <c r="C669" s="84"/>
      <c r="D669" s="84"/>
      <c r="E669" s="84"/>
      <c r="F669" s="84"/>
    </row>
    <row r="670" ht="15.75" customHeight="1">
      <c r="A670" s="84"/>
      <c r="B670" s="84"/>
      <c r="C670" s="84"/>
      <c r="D670" s="84"/>
      <c r="E670" s="84"/>
      <c r="F670" s="84"/>
    </row>
    <row r="671" ht="15.75" customHeight="1">
      <c r="A671" s="84"/>
      <c r="B671" s="84"/>
      <c r="C671" s="84"/>
      <c r="D671" s="84"/>
      <c r="E671" s="84"/>
      <c r="F671" s="84"/>
    </row>
    <row r="672" ht="15.75" customHeight="1">
      <c r="A672" s="84"/>
      <c r="B672" s="84"/>
      <c r="C672" s="84"/>
      <c r="D672" s="84"/>
      <c r="E672" s="84"/>
      <c r="F672" s="84"/>
    </row>
    <row r="673" ht="15.75" customHeight="1">
      <c r="A673" s="84"/>
      <c r="B673" s="84"/>
      <c r="C673" s="84"/>
      <c r="D673" s="84"/>
      <c r="E673" s="84"/>
      <c r="F673" s="84"/>
    </row>
    <row r="674" ht="15.75" customHeight="1">
      <c r="A674" s="84"/>
      <c r="B674" s="84"/>
      <c r="C674" s="84"/>
      <c r="D674" s="84"/>
      <c r="E674" s="84"/>
      <c r="F674" s="84"/>
    </row>
    <row r="675" ht="15.75" customHeight="1">
      <c r="A675" s="84"/>
      <c r="B675" s="84"/>
      <c r="C675" s="84"/>
      <c r="D675" s="84"/>
      <c r="E675" s="84"/>
      <c r="F675" s="84"/>
    </row>
    <row r="676" ht="15.75" customHeight="1">
      <c r="A676" s="84"/>
      <c r="B676" s="84"/>
      <c r="C676" s="84"/>
      <c r="D676" s="84"/>
      <c r="E676" s="84"/>
      <c r="F676" s="84"/>
    </row>
    <row r="677" ht="15.75" customHeight="1">
      <c r="A677" s="84"/>
      <c r="B677" s="84"/>
      <c r="C677" s="84"/>
      <c r="D677" s="84"/>
      <c r="E677" s="84"/>
      <c r="F677" s="84"/>
    </row>
    <row r="678" ht="15.75" customHeight="1">
      <c r="A678" s="84"/>
      <c r="B678" s="84"/>
      <c r="C678" s="84"/>
      <c r="D678" s="84"/>
      <c r="E678" s="84"/>
      <c r="F678" s="84"/>
    </row>
    <row r="679" ht="15.75" customHeight="1">
      <c r="A679" s="84"/>
      <c r="B679" s="84"/>
      <c r="C679" s="84"/>
      <c r="D679" s="84"/>
      <c r="E679" s="84"/>
      <c r="F679" s="84"/>
    </row>
    <row r="680" ht="15.75" customHeight="1">
      <c r="A680" s="84"/>
      <c r="B680" s="84"/>
      <c r="C680" s="84"/>
      <c r="D680" s="84"/>
      <c r="E680" s="84"/>
      <c r="F680" s="84"/>
    </row>
    <row r="681" ht="15.75" customHeight="1">
      <c r="A681" s="84"/>
      <c r="B681" s="84"/>
      <c r="C681" s="84"/>
      <c r="D681" s="84"/>
      <c r="E681" s="84"/>
      <c r="F681" s="84"/>
    </row>
    <row r="682" ht="15.75" customHeight="1">
      <c r="A682" s="84"/>
      <c r="B682" s="84"/>
      <c r="C682" s="84"/>
      <c r="D682" s="84"/>
      <c r="E682" s="84"/>
      <c r="F682" s="84"/>
    </row>
    <row r="683" ht="15.75" customHeight="1">
      <c r="A683" s="84"/>
      <c r="B683" s="84"/>
      <c r="C683" s="84"/>
      <c r="D683" s="84"/>
      <c r="E683" s="84"/>
      <c r="F683" s="84"/>
    </row>
    <row r="684" ht="15.75" customHeight="1">
      <c r="A684" s="84"/>
      <c r="B684" s="84"/>
      <c r="C684" s="84"/>
      <c r="D684" s="84"/>
      <c r="E684" s="84"/>
      <c r="F684" s="84"/>
    </row>
    <row r="685" ht="15.75" customHeight="1">
      <c r="A685" s="84"/>
      <c r="B685" s="84"/>
      <c r="C685" s="84"/>
      <c r="D685" s="84"/>
      <c r="E685" s="84"/>
      <c r="F685" s="84"/>
    </row>
    <row r="686" ht="15.75" customHeight="1">
      <c r="A686" s="84"/>
      <c r="B686" s="84"/>
      <c r="C686" s="84"/>
      <c r="D686" s="84"/>
      <c r="E686" s="84"/>
      <c r="F686" s="84"/>
    </row>
    <row r="687" ht="15.75" customHeight="1">
      <c r="A687" s="84"/>
      <c r="B687" s="84"/>
      <c r="C687" s="84"/>
      <c r="D687" s="84"/>
      <c r="E687" s="84"/>
      <c r="F687" s="84"/>
    </row>
    <row r="688" ht="15.75" customHeight="1">
      <c r="A688" s="84"/>
      <c r="B688" s="84"/>
      <c r="C688" s="84"/>
      <c r="D688" s="84"/>
      <c r="E688" s="84"/>
      <c r="F688" s="84"/>
    </row>
    <row r="689" ht="15.75" customHeight="1">
      <c r="A689" s="84"/>
      <c r="B689" s="84"/>
      <c r="C689" s="84"/>
      <c r="D689" s="84"/>
      <c r="E689" s="84"/>
      <c r="F689" s="84"/>
    </row>
    <row r="690" ht="15.75" customHeight="1">
      <c r="A690" s="84"/>
      <c r="B690" s="84"/>
      <c r="C690" s="84"/>
      <c r="D690" s="84"/>
      <c r="E690" s="84"/>
      <c r="F690" s="84"/>
    </row>
    <row r="691" ht="15.75" customHeight="1">
      <c r="A691" s="84"/>
      <c r="B691" s="84"/>
      <c r="C691" s="84"/>
      <c r="D691" s="84"/>
      <c r="E691" s="84"/>
      <c r="F691" s="84"/>
    </row>
    <row r="692" ht="15.75" customHeight="1">
      <c r="A692" s="84"/>
      <c r="B692" s="84"/>
      <c r="C692" s="84"/>
      <c r="D692" s="84"/>
      <c r="E692" s="84"/>
      <c r="F692" s="84"/>
    </row>
    <row r="693" ht="15.75" customHeight="1">
      <c r="A693" s="84"/>
      <c r="B693" s="84"/>
      <c r="C693" s="84"/>
      <c r="D693" s="84"/>
      <c r="E693" s="84"/>
      <c r="F693" s="84"/>
    </row>
    <row r="694" ht="15.75" customHeight="1">
      <c r="A694" s="84"/>
      <c r="B694" s="84"/>
      <c r="C694" s="84"/>
      <c r="D694" s="84"/>
      <c r="E694" s="84"/>
      <c r="F694" s="84"/>
    </row>
    <row r="695" ht="15.75" customHeight="1">
      <c r="A695" s="84"/>
      <c r="B695" s="84"/>
      <c r="C695" s="84"/>
      <c r="D695" s="84"/>
      <c r="E695" s="84"/>
      <c r="F695" s="84"/>
    </row>
    <row r="696" ht="15.75" customHeight="1">
      <c r="A696" s="84"/>
      <c r="B696" s="84"/>
      <c r="C696" s="84"/>
      <c r="D696" s="84"/>
      <c r="E696" s="84"/>
      <c r="F696" s="84"/>
    </row>
    <row r="697" ht="15.75" customHeight="1">
      <c r="A697" s="84"/>
      <c r="B697" s="84"/>
      <c r="C697" s="84"/>
      <c r="D697" s="84"/>
      <c r="E697" s="84"/>
      <c r="F697" s="84"/>
    </row>
    <row r="698" ht="15.75" customHeight="1">
      <c r="A698" s="84"/>
      <c r="B698" s="84"/>
      <c r="C698" s="84"/>
      <c r="D698" s="84"/>
      <c r="E698" s="84"/>
      <c r="F698" s="84"/>
    </row>
    <row r="699" ht="15.75" customHeight="1">
      <c r="A699" s="84"/>
      <c r="B699" s="84"/>
      <c r="C699" s="84"/>
      <c r="D699" s="84"/>
      <c r="E699" s="84"/>
      <c r="F699" s="84"/>
    </row>
    <row r="700" ht="15.75" customHeight="1">
      <c r="A700" s="84"/>
      <c r="B700" s="84"/>
      <c r="C700" s="84"/>
      <c r="D700" s="84"/>
      <c r="E700" s="84"/>
      <c r="F700" s="84"/>
    </row>
    <row r="701" ht="15.75" customHeight="1">
      <c r="A701" s="84"/>
      <c r="B701" s="84"/>
      <c r="C701" s="84"/>
      <c r="D701" s="84"/>
      <c r="E701" s="84"/>
      <c r="F701" s="84"/>
    </row>
    <row r="702" ht="15.75" customHeight="1">
      <c r="A702" s="84"/>
      <c r="B702" s="84"/>
      <c r="C702" s="84"/>
      <c r="D702" s="84"/>
      <c r="E702" s="84"/>
      <c r="F702" s="84"/>
    </row>
    <row r="703" ht="15.75" customHeight="1">
      <c r="A703" s="84"/>
      <c r="B703" s="84"/>
      <c r="C703" s="84"/>
      <c r="D703" s="84"/>
      <c r="E703" s="84"/>
      <c r="F703" s="84"/>
    </row>
    <row r="704" ht="15.75" customHeight="1">
      <c r="A704" s="84"/>
      <c r="B704" s="84"/>
      <c r="C704" s="84"/>
      <c r="D704" s="84"/>
      <c r="E704" s="84"/>
      <c r="F704" s="84"/>
    </row>
    <row r="705" ht="15.75" customHeight="1">
      <c r="A705" s="84"/>
      <c r="B705" s="84"/>
      <c r="C705" s="84"/>
      <c r="D705" s="84"/>
      <c r="E705" s="84"/>
      <c r="F705" s="84"/>
    </row>
    <row r="706" ht="15.75" customHeight="1">
      <c r="A706" s="84"/>
      <c r="B706" s="84"/>
      <c r="C706" s="84"/>
      <c r="D706" s="84"/>
      <c r="E706" s="84"/>
      <c r="F706" s="84"/>
    </row>
    <row r="707" ht="15.75" customHeight="1">
      <c r="A707" s="84"/>
      <c r="B707" s="84"/>
      <c r="C707" s="84"/>
      <c r="D707" s="84"/>
      <c r="E707" s="84"/>
      <c r="F707" s="84"/>
    </row>
    <row r="708" ht="15.75" customHeight="1">
      <c r="A708" s="84"/>
      <c r="B708" s="84"/>
      <c r="C708" s="84"/>
      <c r="D708" s="84"/>
      <c r="E708" s="84"/>
      <c r="F708" s="84"/>
    </row>
    <row r="709" ht="15.75" customHeight="1">
      <c r="A709" s="84"/>
      <c r="B709" s="84"/>
      <c r="C709" s="84"/>
      <c r="D709" s="84"/>
      <c r="E709" s="84"/>
      <c r="F709" s="84"/>
    </row>
    <row r="710" ht="15.75" customHeight="1">
      <c r="A710" s="84"/>
      <c r="B710" s="84"/>
      <c r="C710" s="84"/>
      <c r="D710" s="84"/>
      <c r="E710" s="84"/>
      <c r="F710" s="84"/>
    </row>
    <row r="711" ht="15.75" customHeight="1">
      <c r="A711" s="84"/>
      <c r="B711" s="84"/>
      <c r="C711" s="84"/>
      <c r="D711" s="84"/>
      <c r="E711" s="84"/>
      <c r="F711" s="84"/>
    </row>
    <row r="712" ht="15.75" customHeight="1">
      <c r="A712" s="84"/>
      <c r="B712" s="84"/>
      <c r="C712" s="84"/>
      <c r="D712" s="84"/>
      <c r="E712" s="84"/>
      <c r="F712" s="84"/>
    </row>
    <row r="713" ht="15.75" customHeight="1">
      <c r="A713" s="84"/>
      <c r="B713" s="84"/>
      <c r="C713" s="84"/>
      <c r="D713" s="84"/>
      <c r="E713" s="84"/>
      <c r="F713" s="84"/>
    </row>
    <row r="714" ht="15.75" customHeight="1">
      <c r="A714" s="84"/>
      <c r="B714" s="84"/>
      <c r="C714" s="84"/>
      <c r="D714" s="84"/>
      <c r="E714" s="84"/>
      <c r="F714" s="84"/>
    </row>
    <row r="715" ht="15.75" customHeight="1">
      <c r="A715" s="84"/>
      <c r="B715" s="84"/>
      <c r="C715" s="84"/>
      <c r="D715" s="84"/>
      <c r="E715" s="84"/>
      <c r="F715" s="84"/>
    </row>
    <row r="716" ht="15.75" customHeight="1">
      <c r="A716" s="84"/>
      <c r="B716" s="84"/>
      <c r="C716" s="84"/>
      <c r="D716" s="84"/>
      <c r="E716" s="84"/>
      <c r="F716" s="84"/>
    </row>
    <row r="717" ht="15.75" customHeight="1">
      <c r="A717" s="84"/>
      <c r="B717" s="84"/>
      <c r="C717" s="84"/>
      <c r="D717" s="84"/>
      <c r="E717" s="84"/>
      <c r="F717" s="84"/>
    </row>
    <row r="718" ht="15.75" customHeight="1">
      <c r="A718" s="84"/>
      <c r="B718" s="84"/>
      <c r="C718" s="84"/>
      <c r="D718" s="84"/>
      <c r="E718" s="84"/>
      <c r="F718" s="84"/>
    </row>
    <row r="719" ht="15.75" customHeight="1">
      <c r="A719" s="84"/>
      <c r="B719" s="84"/>
      <c r="C719" s="84"/>
      <c r="D719" s="84"/>
      <c r="E719" s="84"/>
      <c r="F719" s="84"/>
    </row>
    <row r="720" ht="15.75" customHeight="1">
      <c r="A720" s="84"/>
      <c r="B720" s="84"/>
      <c r="C720" s="84"/>
      <c r="D720" s="84"/>
      <c r="E720" s="84"/>
      <c r="F720" s="84"/>
    </row>
    <row r="721" ht="15.75" customHeight="1">
      <c r="A721" s="84"/>
      <c r="B721" s="84"/>
      <c r="C721" s="84"/>
      <c r="D721" s="84"/>
      <c r="E721" s="84"/>
      <c r="F721" s="84"/>
    </row>
    <row r="722" ht="15.75" customHeight="1">
      <c r="A722" s="84"/>
      <c r="B722" s="84"/>
      <c r="C722" s="84"/>
      <c r="D722" s="84"/>
      <c r="E722" s="84"/>
      <c r="F722" s="84"/>
    </row>
    <row r="723" ht="15.75" customHeight="1">
      <c r="A723" s="84"/>
      <c r="B723" s="84"/>
      <c r="C723" s="84"/>
      <c r="D723" s="84"/>
      <c r="E723" s="84"/>
      <c r="F723" s="84"/>
    </row>
    <row r="724" ht="15.75" customHeight="1">
      <c r="A724" s="84"/>
      <c r="B724" s="84"/>
      <c r="C724" s="84"/>
      <c r="D724" s="84"/>
      <c r="E724" s="84"/>
      <c r="F724" s="84"/>
    </row>
    <row r="725" ht="15.75" customHeight="1">
      <c r="A725" s="84"/>
      <c r="B725" s="84"/>
      <c r="C725" s="84"/>
      <c r="D725" s="84"/>
      <c r="E725" s="84"/>
      <c r="F725" s="84"/>
    </row>
    <row r="726" ht="15.75" customHeight="1">
      <c r="A726" s="84"/>
      <c r="B726" s="84"/>
      <c r="C726" s="84"/>
      <c r="D726" s="84"/>
      <c r="E726" s="84"/>
      <c r="F726" s="84"/>
    </row>
    <row r="727" ht="15.75" customHeight="1">
      <c r="A727" s="84"/>
      <c r="B727" s="84"/>
      <c r="C727" s="84"/>
      <c r="D727" s="84"/>
      <c r="E727" s="84"/>
      <c r="F727" s="84"/>
    </row>
    <row r="728" ht="15.75" customHeight="1">
      <c r="A728" s="84"/>
      <c r="B728" s="84"/>
      <c r="C728" s="84"/>
      <c r="D728" s="84"/>
      <c r="E728" s="84"/>
      <c r="F728" s="84"/>
    </row>
    <row r="729" ht="15.75" customHeight="1">
      <c r="A729" s="84"/>
      <c r="B729" s="84"/>
      <c r="C729" s="84"/>
      <c r="D729" s="84"/>
      <c r="E729" s="84"/>
      <c r="F729" s="84"/>
    </row>
    <row r="730" ht="15.75" customHeight="1">
      <c r="A730" s="84"/>
      <c r="B730" s="84"/>
      <c r="C730" s="84"/>
      <c r="D730" s="84"/>
      <c r="E730" s="84"/>
      <c r="F730" s="84"/>
    </row>
    <row r="731" ht="15.75" customHeight="1">
      <c r="A731" s="84"/>
      <c r="B731" s="84"/>
      <c r="C731" s="84"/>
      <c r="D731" s="84"/>
      <c r="E731" s="84"/>
      <c r="F731" s="84"/>
    </row>
    <row r="732" ht="15.75" customHeight="1">
      <c r="A732" s="84"/>
      <c r="B732" s="84"/>
      <c r="C732" s="84"/>
      <c r="D732" s="84"/>
      <c r="E732" s="84"/>
      <c r="F732" s="84"/>
    </row>
    <row r="733" ht="15.75" customHeight="1">
      <c r="A733" s="84"/>
      <c r="B733" s="84"/>
      <c r="C733" s="84"/>
      <c r="D733" s="84"/>
      <c r="E733" s="84"/>
      <c r="F733" s="84"/>
    </row>
    <row r="734" ht="15.75" customHeight="1">
      <c r="A734" s="84"/>
      <c r="B734" s="84"/>
      <c r="C734" s="84"/>
      <c r="D734" s="84"/>
      <c r="E734" s="84"/>
      <c r="F734" s="84"/>
    </row>
    <row r="735" ht="15.75" customHeight="1">
      <c r="A735" s="84"/>
      <c r="B735" s="84"/>
      <c r="C735" s="84"/>
      <c r="D735" s="84"/>
      <c r="E735" s="84"/>
      <c r="F735" s="84"/>
    </row>
    <row r="736" ht="15.75" customHeight="1">
      <c r="A736" s="84"/>
      <c r="B736" s="84"/>
      <c r="C736" s="84"/>
      <c r="D736" s="84"/>
      <c r="E736" s="84"/>
      <c r="F736" s="84"/>
    </row>
    <row r="737" ht="15.75" customHeight="1">
      <c r="A737" s="84"/>
      <c r="B737" s="84"/>
      <c r="C737" s="84"/>
      <c r="D737" s="84"/>
      <c r="E737" s="84"/>
      <c r="F737" s="84"/>
    </row>
    <row r="738" ht="15.75" customHeight="1">
      <c r="A738" s="84"/>
      <c r="B738" s="84"/>
      <c r="C738" s="84"/>
      <c r="D738" s="84"/>
      <c r="E738" s="84"/>
      <c r="F738" s="84"/>
    </row>
    <row r="739" ht="15.75" customHeight="1">
      <c r="A739" s="84"/>
      <c r="B739" s="84"/>
      <c r="C739" s="84"/>
      <c r="D739" s="84"/>
      <c r="E739" s="84"/>
      <c r="F739" s="84"/>
    </row>
    <row r="740" ht="15.75" customHeight="1">
      <c r="A740" s="84"/>
      <c r="B740" s="84"/>
      <c r="C740" s="84"/>
      <c r="D740" s="84"/>
      <c r="E740" s="84"/>
      <c r="F740" s="84"/>
    </row>
    <row r="741" ht="15.75" customHeight="1">
      <c r="A741" s="84"/>
      <c r="B741" s="84"/>
      <c r="C741" s="84"/>
      <c r="D741" s="84"/>
      <c r="E741" s="84"/>
      <c r="F741" s="84"/>
    </row>
    <row r="742" ht="15.75" customHeight="1">
      <c r="A742" s="84"/>
      <c r="B742" s="84"/>
      <c r="C742" s="84"/>
      <c r="D742" s="84"/>
      <c r="E742" s="84"/>
      <c r="F742" s="84"/>
    </row>
    <row r="743" ht="15.75" customHeight="1">
      <c r="A743" s="84"/>
      <c r="B743" s="84"/>
      <c r="C743" s="84"/>
      <c r="D743" s="84"/>
      <c r="E743" s="84"/>
      <c r="F743" s="84"/>
    </row>
    <row r="744" ht="15.75" customHeight="1">
      <c r="A744" s="84"/>
      <c r="B744" s="84"/>
      <c r="C744" s="84"/>
      <c r="D744" s="84"/>
      <c r="E744" s="84"/>
      <c r="F744" s="84"/>
    </row>
    <row r="745" ht="15.75" customHeight="1">
      <c r="A745" s="84"/>
      <c r="B745" s="84"/>
      <c r="C745" s="84"/>
      <c r="D745" s="84"/>
      <c r="E745" s="84"/>
      <c r="F745" s="84"/>
    </row>
    <row r="746" ht="15.75" customHeight="1">
      <c r="A746" s="84"/>
      <c r="B746" s="84"/>
      <c r="C746" s="84"/>
      <c r="D746" s="84"/>
      <c r="E746" s="84"/>
      <c r="F746" s="84"/>
    </row>
    <row r="747" ht="15.75" customHeight="1">
      <c r="A747" s="84"/>
      <c r="B747" s="84"/>
      <c r="C747" s="84"/>
      <c r="D747" s="84"/>
      <c r="E747" s="84"/>
      <c r="F747" s="84"/>
    </row>
    <row r="748" ht="15.75" customHeight="1">
      <c r="A748" s="84"/>
      <c r="B748" s="84"/>
      <c r="C748" s="84"/>
      <c r="D748" s="84"/>
      <c r="E748" s="84"/>
      <c r="F748" s="84"/>
    </row>
    <row r="749" ht="15.75" customHeight="1">
      <c r="A749" s="84"/>
      <c r="B749" s="84"/>
      <c r="C749" s="84"/>
      <c r="D749" s="84"/>
      <c r="E749" s="84"/>
      <c r="F749" s="84"/>
    </row>
    <row r="750" ht="15.75" customHeight="1">
      <c r="A750" s="84"/>
      <c r="B750" s="84"/>
      <c r="C750" s="84"/>
      <c r="D750" s="84"/>
      <c r="E750" s="84"/>
      <c r="F750" s="84"/>
    </row>
    <row r="751" ht="15.75" customHeight="1">
      <c r="A751" s="84"/>
      <c r="B751" s="84"/>
      <c r="C751" s="84"/>
      <c r="D751" s="84"/>
      <c r="E751" s="84"/>
      <c r="F751" s="84"/>
    </row>
    <row r="752" ht="15.75" customHeight="1">
      <c r="A752" s="84"/>
      <c r="B752" s="84"/>
      <c r="C752" s="84"/>
      <c r="D752" s="84"/>
      <c r="E752" s="84"/>
      <c r="F752" s="84"/>
    </row>
    <row r="753" ht="15.75" customHeight="1">
      <c r="A753" s="84"/>
      <c r="B753" s="84"/>
      <c r="C753" s="84"/>
      <c r="D753" s="84"/>
      <c r="E753" s="84"/>
      <c r="F753" s="84"/>
    </row>
    <row r="754" ht="15.75" customHeight="1">
      <c r="A754" s="84"/>
      <c r="B754" s="84"/>
      <c r="C754" s="84"/>
      <c r="D754" s="84"/>
      <c r="E754" s="84"/>
      <c r="F754" s="84"/>
    </row>
    <row r="755" ht="15.75" customHeight="1">
      <c r="A755" s="84"/>
      <c r="B755" s="84"/>
      <c r="C755" s="84"/>
      <c r="D755" s="84"/>
      <c r="E755" s="84"/>
      <c r="F755" s="84"/>
    </row>
    <row r="756" ht="15.75" customHeight="1">
      <c r="A756" s="84"/>
      <c r="B756" s="84"/>
      <c r="C756" s="84"/>
      <c r="D756" s="84"/>
      <c r="E756" s="84"/>
      <c r="F756" s="84"/>
    </row>
    <row r="757" ht="15.75" customHeight="1">
      <c r="A757" s="84"/>
      <c r="B757" s="84"/>
      <c r="C757" s="84"/>
      <c r="D757" s="84"/>
      <c r="E757" s="84"/>
      <c r="F757" s="84"/>
    </row>
    <row r="758" ht="15.75" customHeight="1">
      <c r="A758" s="84"/>
      <c r="B758" s="84"/>
      <c r="C758" s="84"/>
      <c r="D758" s="84"/>
      <c r="E758" s="84"/>
      <c r="F758" s="84"/>
    </row>
    <row r="759" ht="15.75" customHeight="1">
      <c r="A759" s="84"/>
      <c r="B759" s="84"/>
      <c r="C759" s="84"/>
      <c r="D759" s="84"/>
      <c r="E759" s="84"/>
      <c r="F759" s="84"/>
    </row>
    <row r="760" ht="15.75" customHeight="1">
      <c r="A760" s="84"/>
      <c r="B760" s="84"/>
      <c r="C760" s="84"/>
      <c r="D760" s="84"/>
      <c r="E760" s="84"/>
      <c r="F760" s="84"/>
    </row>
    <row r="761" ht="15.75" customHeight="1">
      <c r="A761" s="84"/>
      <c r="B761" s="84"/>
      <c r="C761" s="84"/>
      <c r="D761" s="84"/>
      <c r="E761" s="84"/>
      <c r="F761" s="84"/>
    </row>
    <row r="762" ht="15.75" customHeight="1">
      <c r="A762" s="84"/>
      <c r="B762" s="84"/>
      <c r="C762" s="84"/>
      <c r="D762" s="84"/>
      <c r="E762" s="84"/>
      <c r="F762" s="84"/>
    </row>
    <row r="763" ht="15.75" customHeight="1">
      <c r="A763" s="84"/>
      <c r="B763" s="84"/>
      <c r="C763" s="84"/>
      <c r="D763" s="84"/>
      <c r="E763" s="84"/>
      <c r="F763" s="84"/>
    </row>
    <row r="764" ht="15.75" customHeight="1">
      <c r="A764" s="84"/>
      <c r="B764" s="84"/>
      <c r="C764" s="84"/>
      <c r="D764" s="84"/>
      <c r="E764" s="84"/>
      <c r="F764" s="84"/>
    </row>
    <row r="765" ht="15.75" customHeight="1">
      <c r="A765" s="84"/>
      <c r="B765" s="84"/>
      <c r="C765" s="84"/>
      <c r="D765" s="84"/>
      <c r="E765" s="84"/>
      <c r="F765" s="84"/>
    </row>
    <row r="766" ht="15.75" customHeight="1">
      <c r="A766" s="84"/>
      <c r="B766" s="84"/>
      <c r="C766" s="84"/>
      <c r="D766" s="84"/>
      <c r="E766" s="84"/>
      <c r="F766" s="84"/>
    </row>
    <row r="767" ht="15.75" customHeight="1">
      <c r="A767" s="84"/>
      <c r="B767" s="84"/>
      <c r="C767" s="84"/>
      <c r="D767" s="84"/>
      <c r="E767" s="84"/>
      <c r="F767" s="84"/>
    </row>
    <row r="768" ht="15.75" customHeight="1">
      <c r="A768" s="84"/>
      <c r="B768" s="84"/>
      <c r="C768" s="84"/>
      <c r="D768" s="84"/>
      <c r="E768" s="84"/>
      <c r="F768" s="84"/>
    </row>
    <row r="769" ht="15.75" customHeight="1">
      <c r="A769" s="84"/>
      <c r="B769" s="84"/>
      <c r="C769" s="84"/>
      <c r="D769" s="84"/>
      <c r="E769" s="84"/>
      <c r="F769" s="84"/>
    </row>
    <row r="770" ht="15.75" customHeight="1">
      <c r="A770" s="84"/>
      <c r="B770" s="84"/>
      <c r="C770" s="84"/>
      <c r="D770" s="84"/>
      <c r="E770" s="84"/>
      <c r="F770" s="84"/>
    </row>
    <row r="771" ht="15.75" customHeight="1">
      <c r="A771" s="84"/>
      <c r="B771" s="84"/>
      <c r="C771" s="84"/>
      <c r="D771" s="84"/>
      <c r="E771" s="84"/>
      <c r="F771" s="84"/>
    </row>
    <row r="772" ht="15.75" customHeight="1">
      <c r="A772" s="84"/>
      <c r="B772" s="84"/>
      <c r="C772" s="84"/>
      <c r="D772" s="84"/>
      <c r="E772" s="84"/>
      <c r="F772" s="84"/>
    </row>
    <row r="773" ht="15.75" customHeight="1">
      <c r="A773" s="84"/>
      <c r="B773" s="84"/>
      <c r="C773" s="84"/>
      <c r="D773" s="84"/>
      <c r="E773" s="84"/>
      <c r="F773" s="84"/>
    </row>
    <row r="774" ht="15.75" customHeight="1">
      <c r="A774" s="84"/>
      <c r="B774" s="84"/>
      <c r="C774" s="84"/>
      <c r="D774" s="84"/>
      <c r="E774" s="84"/>
      <c r="F774" s="84"/>
    </row>
    <row r="775" ht="15.75" customHeight="1">
      <c r="A775" s="84"/>
      <c r="B775" s="84"/>
      <c r="C775" s="84"/>
      <c r="D775" s="84"/>
      <c r="E775" s="84"/>
      <c r="F775" s="84"/>
    </row>
    <row r="776" ht="15.75" customHeight="1">
      <c r="A776" s="84"/>
      <c r="B776" s="84"/>
      <c r="C776" s="84"/>
      <c r="D776" s="84"/>
      <c r="E776" s="84"/>
      <c r="F776" s="84"/>
    </row>
    <row r="777" ht="15.75" customHeight="1">
      <c r="A777" s="84"/>
      <c r="B777" s="84"/>
      <c r="C777" s="84"/>
      <c r="D777" s="84"/>
      <c r="E777" s="84"/>
      <c r="F777" s="84"/>
    </row>
    <row r="778" ht="15.75" customHeight="1">
      <c r="A778" s="84"/>
      <c r="B778" s="84"/>
      <c r="C778" s="84"/>
      <c r="D778" s="84"/>
      <c r="E778" s="84"/>
      <c r="F778" s="84"/>
    </row>
    <row r="779" ht="15.75" customHeight="1">
      <c r="A779" s="84"/>
      <c r="B779" s="84"/>
      <c r="C779" s="84"/>
      <c r="D779" s="84"/>
      <c r="E779" s="84"/>
      <c r="F779" s="84"/>
    </row>
    <row r="780" ht="15.75" customHeight="1">
      <c r="A780" s="84"/>
      <c r="B780" s="84"/>
      <c r="C780" s="84"/>
      <c r="D780" s="84"/>
      <c r="E780" s="84"/>
      <c r="F780" s="84"/>
    </row>
    <row r="781" ht="15.75" customHeight="1">
      <c r="A781" s="84"/>
      <c r="B781" s="84"/>
      <c r="C781" s="84"/>
      <c r="D781" s="84"/>
      <c r="E781" s="84"/>
      <c r="F781" s="84"/>
    </row>
    <row r="782" ht="15.75" customHeight="1">
      <c r="A782" s="84"/>
      <c r="B782" s="84"/>
      <c r="C782" s="84"/>
      <c r="D782" s="84"/>
      <c r="E782" s="84"/>
      <c r="F782" s="84"/>
    </row>
    <row r="783" ht="15.75" customHeight="1">
      <c r="A783" s="84"/>
      <c r="B783" s="84"/>
      <c r="C783" s="84"/>
      <c r="D783" s="84"/>
      <c r="E783" s="84"/>
      <c r="F783" s="84"/>
    </row>
    <row r="784" ht="15.75" customHeight="1">
      <c r="A784" s="84"/>
      <c r="B784" s="84"/>
      <c r="C784" s="84"/>
      <c r="D784" s="84"/>
      <c r="E784" s="84"/>
      <c r="F784" s="84"/>
    </row>
    <row r="785" ht="15.75" customHeight="1">
      <c r="A785" s="84"/>
      <c r="B785" s="84"/>
      <c r="C785" s="84"/>
      <c r="D785" s="84"/>
      <c r="E785" s="84"/>
      <c r="F785" s="84"/>
    </row>
    <row r="786" ht="15.75" customHeight="1">
      <c r="A786" s="84"/>
      <c r="B786" s="84"/>
      <c r="C786" s="84"/>
      <c r="D786" s="84"/>
      <c r="E786" s="84"/>
      <c r="F786" s="84"/>
    </row>
    <row r="787" ht="15.75" customHeight="1">
      <c r="A787" s="84"/>
      <c r="B787" s="84"/>
      <c r="C787" s="84"/>
      <c r="D787" s="84"/>
      <c r="E787" s="84"/>
      <c r="F787" s="84"/>
    </row>
    <row r="788" ht="15.75" customHeight="1">
      <c r="A788" s="84"/>
      <c r="B788" s="84"/>
      <c r="C788" s="84"/>
      <c r="D788" s="84"/>
      <c r="E788" s="84"/>
      <c r="F788" s="84"/>
    </row>
    <row r="789" ht="15.75" customHeight="1">
      <c r="A789" s="84"/>
      <c r="B789" s="84"/>
      <c r="C789" s="84"/>
      <c r="D789" s="84"/>
      <c r="E789" s="84"/>
      <c r="F789" s="84"/>
    </row>
    <row r="790" ht="15.75" customHeight="1">
      <c r="A790" s="84"/>
      <c r="B790" s="84"/>
      <c r="C790" s="84"/>
      <c r="D790" s="84"/>
      <c r="E790" s="84"/>
      <c r="F790" s="84"/>
    </row>
    <row r="791" ht="15.75" customHeight="1">
      <c r="A791" s="84"/>
      <c r="B791" s="84"/>
      <c r="C791" s="84"/>
      <c r="D791" s="84"/>
      <c r="E791" s="84"/>
      <c r="F791" s="84"/>
    </row>
    <row r="792" ht="15.75" customHeight="1">
      <c r="A792" s="84"/>
      <c r="B792" s="84"/>
      <c r="C792" s="84"/>
      <c r="D792" s="84"/>
      <c r="E792" s="84"/>
      <c r="F792" s="84"/>
    </row>
    <row r="793" ht="15.75" customHeight="1">
      <c r="A793" s="84"/>
      <c r="B793" s="84"/>
      <c r="C793" s="84"/>
      <c r="D793" s="84"/>
      <c r="E793" s="84"/>
      <c r="F793" s="84"/>
    </row>
    <row r="794" ht="15.75" customHeight="1">
      <c r="A794" s="84"/>
      <c r="B794" s="84"/>
      <c r="C794" s="84"/>
      <c r="D794" s="84"/>
      <c r="E794" s="84"/>
      <c r="F794" s="84"/>
    </row>
    <row r="795" ht="15.75" customHeight="1">
      <c r="A795" s="84"/>
      <c r="B795" s="84"/>
      <c r="C795" s="84"/>
      <c r="D795" s="84"/>
      <c r="E795" s="84"/>
      <c r="F795" s="84"/>
    </row>
    <row r="796" ht="15.75" customHeight="1">
      <c r="A796" s="84"/>
      <c r="B796" s="84"/>
      <c r="C796" s="84"/>
      <c r="D796" s="84"/>
      <c r="E796" s="84"/>
      <c r="F796" s="84"/>
    </row>
    <row r="797" ht="15.75" customHeight="1">
      <c r="A797" s="84"/>
      <c r="B797" s="84"/>
      <c r="C797" s="84"/>
      <c r="D797" s="84"/>
      <c r="E797" s="84"/>
      <c r="F797" s="84"/>
    </row>
    <row r="798" ht="15.75" customHeight="1">
      <c r="A798" s="84"/>
      <c r="B798" s="84"/>
      <c r="C798" s="84"/>
      <c r="D798" s="84"/>
      <c r="E798" s="84"/>
      <c r="F798" s="84"/>
    </row>
    <row r="799" ht="15.75" customHeight="1">
      <c r="A799" s="84"/>
      <c r="B799" s="84"/>
      <c r="C799" s="84"/>
      <c r="D799" s="84"/>
      <c r="E799" s="84"/>
      <c r="F799" s="84"/>
    </row>
    <row r="800" ht="15.75" customHeight="1">
      <c r="A800" s="84"/>
      <c r="B800" s="84"/>
      <c r="C800" s="84"/>
      <c r="D800" s="84"/>
      <c r="E800" s="84"/>
      <c r="F800" s="84"/>
    </row>
    <row r="801" ht="15.75" customHeight="1">
      <c r="A801" s="84"/>
      <c r="B801" s="84"/>
      <c r="C801" s="84"/>
      <c r="D801" s="84"/>
      <c r="E801" s="84"/>
      <c r="F801" s="84"/>
    </row>
    <row r="802" ht="15.75" customHeight="1">
      <c r="A802" s="84"/>
      <c r="B802" s="84"/>
      <c r="C802" s="84"/>
      <c r="D802" s="84"/>
      <c r="E802" s="84"/>
      <c r="F802" s="84"/>
    </row>
    <row r="803" ht="15.75" customHeight="1">
      <c r="A803" s="84"/>
      <c r="B803" s="84"/>
      <c r="C803" s="84"/>
      <c r="D803" s="84"/>
      <c r="E803" s="84"/>
      <c r="F803" s="84"/>
    </row>
    <row r="804" ht="15.75" customHeight="1">
      <c r="A804" s="84"/>
      <c r="B804" s="84"/>
      <c r="C804" s="84"/>
      <c r="D804" s="84"/>
      <c r="E804" s="84"/>
      <c r="F804" s="84"/>
    </row>
    <row r="805" ht="15.75" customHeight="1">
      <c r="A805" s="84"/>
      <c r="B805" s="84"/>
      <c r="C805" s="84"/>
      <c r="D805" s="84"/>
      <c r="E805" s="84"/>
      <c r="F805" s="84"/>
    </row>
    <row r="806" ht="15.75" customHeight="1">
      <c r="A806" s="84"/>
      <c r="B806" s="84"/>
      <c r="C806" s="84"/>
      <c r="D806" s="84"/>
      <c r="E806" s="84"/>
      <c r="F806" s="84"/>
    </row>
    <row r="807" ht="15.75" customHeight="1">
      <c r="A807" s="84"/>
      <c r="B807" s="84"/>
      <c r="C807" s="84"/>
      <c r="D807" s="84"/>
      <c r="E807" s="84"/>
      <c r="F807" s="84"/>
    </row>
    <row r="808" ht="15.75" customHeight="1">
      <c r="A808" s="84"/>
      <c r="B808" s="84"/>
      <c r="C808" s="84"/>
      <c r="D808" s="84"/>
      <c r="E808" s="84"/>
      <c r="F808" s="84"/>
    </row>
    <row r="809" ht="15.75" customHeight="1">
      <c r="A809" s="84"/>
      <c r="B809" s="84"/>
      <c r="C809" s="84"/>
      <c r="D809" s="84"/>
      <c r="E809" s="84"/>
      <c r="F809" s="84"/>
    </row>
    <row r="810" ht="15.75" customHeight="1">
      <c r="A810" s="84"/>
      <c r="B810" s="84"/>
      <c r="C810" s="84"/>
      <c r="D810" s="84"/>
      <c r="E810" s="84"/>
      <c r="F810" s="84"/>
    </row>
    <row r="811" ht="15.75" customHeight="1">
      <c r="A811" s="84"/>
      <c r="B811" s="84"/>
      <c r="C811" s="84"/>
      <c r="D811" s="84"/>
      <c r="E811" s="84"/>
      <c r="F811" s="84"/>
    </row>
    <row r="812" ht="15.75" customHeight="1">
      <c r="A812" s="84"/>
      <c r="B812" s="84"/>
      <c r="C812" s="84"/>
      <c r="D812" s="84"/>
      <c r="E812" s="84"/>
      <c r="F812" s="84"/>
    </row>
    <row r="813" ht="15.75" customHeight="1">
      <c r="A813" s="84"/>
      <c r="B813" s="84"/>
      <c r="C813" s="84"/>
      <c r="D813" s="84"/>
      <c r="E813" s="84"/>
      <c r="F813" s="84"/>
    </row>
    <row r="814" ht="15.75" customHeight="1">
      <c r="A814" s="84"/>
      <c r="B814" s="84"/>
      <c r="C814" s="84"/>
      <c r="D814" s="84"/>
      <c r="E814" s="84"/>
      <c r="F814" s="84"/>
    </row>
    <row r="815" ht="15.75" customHeight="1">
      <c r="A815" s="84"/>
      <c r="B815" s="84"/>
      <c r="C815" s="84"/>
      <c r="D815" s="84"/>
      <c r="E815" s="84"/>
      <c r="F815" s="84"/>
    </row>
    <row r="816" ht="15.75" customHeight="1">
      <c r="A816" s="84"/>
      <c r="B816" s="84"/>
      <c r="C816" s="84"/>
      <c r="D816" s="84"/>
      <c r="E816" s="84"/>
      <c r="F816" s="84"/>
    </row>
    <row r="817" ht="15.75" customHeight="1">
      <c r="A817" s="84"/>
      <c r="B817" s="84"/>
      <c r="C817" s="84"/>
      <c r="D817" s="84"/>
      <c r="E817" s="84"/>
      <c r="F817" s="84"/>
    </row>
    <row r="818" ht="15.75" customHeight="1">
      <c r="A818" s="84"/>
      <c r="B818" s="84"/>
      <c r="C818" s="84"/>
      <c r="D818" s="84"/>
      <c r="E818" s="84"/>
      <c r="F818" s="84"/>
    </row>
    <row r="819" ht="15.75" customHeight="1">
      <c r="A819" s="84"/>
      <c r="B819" s="84"/>
      <c r="C819" s="84"/>
      <c r="D819" s="84"/>
      <c r="E819" s="84"/>
      <c r="F819" s="84"/>
    </row>
    <row r="820" ht="15.75" customHeight="1">
      <c r="A820" s="84"/>
      <c r="B820" s="84"/>
      <c r="C820" s="84"/>
      <c r="D820" s="84"/>
      <c r="E820" s="84"/>
      <c r="F820" s="84"/>
    </row>
    <row r="821" ht="15.75" customHeight="1">
      <c r="A821" s="84"/>
      <c r="B821" s="84"/>
      <c r="C821" s="84"/>
      <c r="D821" s="84"/>
      <c r="E821" s="84"/>
      <c r="F821" s="84"/>
    </row>
    <row r="822" ht="15.75" customHeight="1">
      <c r="A822" s="84"/>
      <c r="B822" s="84"/>
      <c r="C822" s="84"/>
      <c r="D822" s="84"/>
      <c r="E822" s="84"/>
      <c r="F822" s="84"/>
    </row>
    <row r="823" ht="15.75" customHeight="1">
      <c r="A823" s="84"/>
      <c r="B823" s="84"/>
      <c r="C823" s="84"/>
      <c r="D823" s="84"/>
      <c r="E823" s="84"/>
      <c r="F823" s="84"/>
    </row>
    <row r="824" ht="15.75" customHeight="1">
      <c r="A824" s="84"/>
      <c r="B824" s="84"/>
      <c r="C824" s="84"/>
      <c r="D824" s="84"/>
      <c r="E824" s="84"/>
      <c r="F824" s="84"/>
    </row>
    <row r="825" ht="15.75" customHeight="1">
      <c r="A825" s="84"/>
      <c r="B825" s="84"/>
      <c r="C825" s="84"/>
      <c r="D825" s="84"/>
      <c r="E825" s="84"/>
      <c r="F825" s="84"/>
    </row>
    <row r="826" ht="15.75" customHeight="1">
      <c r="A826" s="84"/>
      <c r="B826" s="84"/>
      <c r="C826" s="84"/>
      <c r="D826" s="84"/>
      <c r="E826" s="84"/>
      <c r="F826" s="84"/>
    </row>
    <row r="827" ht="15.75" customHeight="1">
      <c r="A827" s="84"/>
      <c r="B827" s="84"/>
      <c r="C827" s="84"/>
      <c r="D827" s="84"/>
      <c r="E827" s="84"/>
      <c r="F827" s="84"/>
    </row>
    <row r="828" ht="15.75" customHeight="1">
      <c r="A828" s="84"/>
      <c r="B828" s="84"/>
      <c r="C828" s="84"/>
      <c r="D828" s="84"/>
      <c r="E828" s="84"/>
      <c r="F828" s="84"/>
    </row>
    <row r="829" ht="15.75" customHeight="1">
      <c r="A829" s="84"/>
      <c r="B829" s="84"/>
      <c r="C829" s="84"/>
      <c r="D829" s="84"/>
      <c r="E829" s="84"/>
      <c r="F829" s="84"/>
    </row>
    <row r="830" ht="15.75" customHeight="1">
      <c r="A830" s="84"/>
      <c r="B830" s="84"/>
      <c r="C830" s="84"/>
      <c r="D830" s="84"/>
      <c r="E830" s="84"/>
      <c r="F830" s="84"/>
    </row>
    <row r="831" ht="15.75" customHeight="1">
      <c r="A831" s="84"/>
      <c r="B831" s="84"/>
      <c r="C831" s="84"/>
      <c r="D831" s="84"/>
      <c r="E831" s="84"/>
      <c r="F831" s="84"/>
    </row>
    <row r="832" ht="15.75" customHeight="1">
      <c r="A832" s="84"/>
      <c r="B832" s="84"/>
      <c r="C832" s="84"/>
      <c r="D832" s="84"/>
      <c r="E832" s="84"/>
      <c r="F832" s="84"/>
    </row>
    <row r="833" ht="15.75" customHeight="1">
      <c r="A833" s="84"/>
      <c r="B833" s="84"/>
      <c r="C833" s="84"/>
      <c r="D833" s="84"/>
      <c r="E833" s="84"/>
      <c r="F833" s="84"/>
    </row>
    <row r="834" ht="15.75" customHeight="1">
      <c r="A834" s="84"/>
      <c r="B834" s="84"/>
      <c r="C834" s="84"/>
      <c r="D834" s="84"/>
      <c r="E834" s="84"/>
      <c r="F834" s="84"/>
    </row>
    <row r="835" ht="15.75" customHeight="1">
      <c r="A835" s="84"/>
      <c r="B835" s="84"/>
      <c r="C835" s="84"/>
      <c r="D835" s="84"/>
      <c r="E835" s="84"/>
      <c r="F835" s="84"/>
    </row>
    <row r="836" ht="15.75" customHeight="1">
      <c r="A836" s="84"/>
      <c r="B836" s="84"/>
      <c r="C836" s="84"/>
      <c r="D836" s="84"/>
      <c r="E836" s="84"/>
      <c r="F836" s="84"/>
    </row>
    <row r="837" ht="15.75" customHeight="1">
      <c r="A837" s="84"/>
      <c r="B837" s="84"/>
      <c r="C837" s="84"/>
      <c r="D837" s="84"/>
      <c r="E837" s="84"/>
      <c r="F837" s="84"/>
    </row>
    <row r="838" ht="15.75" customHeight="1">
      <c r="A838" s="84"/>
      <c r="B838" s="84"/>
      <c r="C838" s="84"/>
      <c r="D838" s="84"/>
      <c r="E838" s="84"/>
      <c r="F838" s="84"/>
    </row>
    <row r="839" ht="15.75" customHeight="1">
      <c r="A839" s="84"/>
      <c r="B839" s="84"/>
      <c r="C839" s="84"/>
      <c r="D839" s="84"/>
      <c r="E839" s="84"/>
      <c r="F839" s="84"/>
    </row>
    <row r="840" ht="15.75" customHeight="1">
      <c r="A840" s="84"/>
      <c r="B840" s="84"/>
      <c r="C840" s="84"/>
      <c r="D840" s="84"/>
      <c r="E840" s="84"/>
      <c r="F840" s="84"/>
    </row>
    <row r="841" ht="15.75" customHeight="1">
      <c r="A841" s="84"/>
      <c r="B841" s="84"/>
      <c r="C841" s="84"/>
      <c r="D841" s="84"/>
      <c r="E841" s="84"/>
      <c r="F841" s="84"/>
    </row>
    <row r="842" ht="15.75" customHeight="1">
      <c r="A842" s="84"/>
      <c r="B842" s="84"/>
      <c r="C842" s="84"/>
      <c r="D842" s="84"/>
      <c r="E842" s="84"/>
      <c r="F842" s="84"/>
    </row>
    <row r="843" ht="15.75" customHeight="1">
      <c r="A843" s="84"/>
      <c r="B843" s="84"/>
      <c r="C843" s="84"/>
      <c r="D843" s="84"/>
      <c r="E843" s="84"/>
      <c r="F843" s="84"/>
    </row>
    <row r="844" ht="15.75" customHeight="1">
      <c r="A844" s="84"/>
      <c r="B844" s="84"/>
      <c r="C844" s="84"/>
      <c r="D844" s="84"/>
      <c r="E844" s="84"/>
      <c r="F844" s="84"/>
    </row>
    <row r="845" ht="15.75" customHeight="1">
      <c r="A845" s="84"/>
      <c r="B845" s="84"/>
      <c r="C845" s="84"/>
      <c r="D845" s="84"/>
      <c r="E845" s="84"/>
      <c r="F845" s="84"/>
    </row>
    <row r="846" ht="15.75" customHeight="1">
      <c r="A846" s="84"/>
      <c r="B846" s="84"/>
      <c r="C846" s="84"/>
      <c r="D846" s="84"/>
      <c r="E846" s="84"/>
      <c r="F846" s="84"/>
    </row>
    <row r="847" ht="15.75" customHeight="1">
      <c r="A847" s="84"/>
      <c r="B847" s="84"/>
      <c r="C847" s="84"/>
      <c r="D847" s="84"/>
      <c r="E847" s="84"/>
      <c r="F847" s="84"/>
    </row>
    <row r="848" ht="15.75" customHeight="1">
      <c r="A848" s="84"/>
      <c r="B848" s="84"/>
      <c r="C848" s="84"/>
      <c r="D848" s="84"/>
      <c r="E848" s="84"/>
      <c r="F848" s="84"/>
    </row>
    <row r="849" ht="15.75" customHeight="1">
      <c r="A849" s="84"/>
      <c r="B849" s="84"/>
      <c r="C849" s="84"/>
      <c r="D849" s="84"/>
      <c r="E849" s="84"/>
      <c r="F849" s="84"/>
    </row>
    <row r="850" ht="15.75" customHeight="1">
      <c r="A850" s="84"/>
      <c r="B850" s="84"/>
      <c r="C850" s="84"/>
      <c r="D850" s="84"/>
      <c r="E850" s="84"/>
      <c r="F850" s="84"/>
    </row>
    <row r="851" ht="15.75" customHeight="1">
      <c r="A851" s="84"/>
      <c r="B851" s="84"/>
      <c r="C851" s="84"/>
      <c r="D851" s="84"/>
      <c r="E851" s="84"/>
      <c r="F851" s="84"/>
    </row>
    <row r="852" ht="15.75" customHeight="1">
      <c r="A852" s="84"/>
      <c r="B852" s="84"/>
      <c r="C852" s="84"/>
      <c r="D852" s="84"/>
      <c r="E852" s="84"/>
      <c r="F852" s="84"/>
    </row>
    <row r="853" ht="15.75" customHeight="1">
      <c r="A853" s="84"/>
      <c r="B853" s="84"/>
      <c r="C853" s="84"/>
      <c r="D853" s="84"/>
      <c r="E853" s="84"/>
      <c r="F853" s="84"/>
    </row>
    <row r="854" ht="15.75" customHeight="1">
      <c r="A854" s="84"/>
      <c r="B854" s="84"/>
      <c r="C854" s="84"/>
      <c r="D854" s="84"/>
      <c r="E854" s="84"/>
      <c r="F854" s="84"/>
    </row>
    <row r="855" ht="15.75" customHeight="1">
      <c r="A855" s="84"/>
      <c r="B855" s="84"/>
      <c r="C855" s="84"/>
      <c r="D855" s="84"/>
      <c r="E855" s="84"/>
      <c r="F855" s="84"/>
    </row>
    <row r="856" ht="15.75" customHeight="1">
      <c r="A856" s="84"/>
      <c r="B856" s="84"/>
      <c r="C856" s="84"/>
      <c r="D856" s="84"/>
      <c r="E856" s="84"/>
      <c r="F856" s="84"/>
    </row>
    <row r="857" ht="15.75" customHeight="1">
      <c r="A857" s="84"/>
      <c r="B857" s="84"/>
      <c r="C857" s="84"/>
      <c r="D857" s="84"/>
      <c r="E857" s="84"/>
      <c r="F857" s="84"/>
    </row>
    <row r="858" ht="15.75" customHeight="1">
      <c r="A858" s="84"/>
      <c r="B858" s="84"/>
      <c r="C858" s="84"/>
      <c r="D858" s="84"/>
      <c r="E858" s="84"/>
      <c r="F858" s="84"/>
    </row>
    <row r="859" ht="15.75" customHeight="1">
      <c r="A859" s="84"/>
      <c r="B859" s="84"/>
      <c r="C859" s="84"/>
      <c r="D859" s="84"/>
      <c r="E859" s="84"/>
      <c r="F859" s="84"/>
    </row>
    <row r="860" ht="15.75" customHeight="1">
      <c r="A860" s="84"/>
      <c r="B860" s="84"/>
      <c r="C860" s="84"/>
      <c r="D860" s="84"/>
      <c r="E860" s="84"/>
      <c r="F860" s="84"/>
    </row>
    <row r="861" ht="15.75" customHeight="1">
      <c r="A861" s="84"/>
      <c r="B861" s="84"/>
      <c r="C861" s="84"/>
      <c r="D861" s="84"/>
      <c r="E861" s="84"/>
      <c r="F861" s="84"/>
    </row>
    <row r="862" ht="15.75" customHeight="1">
      <c r="A862" s="84"/>
      <c r="B862" s="84"/>
      <c r="C862" s="84"/>
      <c r="D862" s="84"/>
      <c r="E862" s="84"/>
      <c r="F862" s="84"/>
    </row>
    <row r="863" ht="15.75" customHeight="1">
      <c r="A863" s="84"/>
      <c r="B863" s="84"/>
      <c r="C863" s="84"/>
      <c r="D863" s="84"/>
      <c r="E863" s="84"/>
      <c r="F863" s="84"/>
    </row>
    <row r="864" ht="15.75" customHeight="1">
      <c r="A864" s="84"/>
      <c r="B864" s="84"/>
      <c r="C864" s="84"/>
      <c r="D864" s="84"/>
      <c r="E864" s="84"/>
      <c r="F864" s="84"/>
    </row>
    <row r="865" ht="15.75" customHeight="1">
      <c r="A865" s="84"/>
      <c r="B865" s="84"/>
      <c r="C865" s="84"/>
      <c r="D865" s="84"/>
      <c r="E865" s="84"/>
      <c r="F865" s="84"/>
    </row>
    <row r="866" ht="15.75" customHeight="1">
      <c r="A866" s="84"/>
      <c r="B866" s="84"/>
      <c r="C866" s="84"/>
      <c r="D866" s="84"/>
      <c r="E866" s="84"/>
      <c r="F866" s="84"/>
    </row>
    <row r="867" ht="15.75" customHeight="1">
      <c r="A867" s="84"/>
      <c r="B867" s="84"/>
      <c r="C867" s="84"/>
      <c r="D867" s="84"/>
      <c r="E867" s="84"/>
      <c r="F867" s="84"/>
    </row>
    <row r="868" ht="15.75" customHeight="1">
      <c r="A868" s="84"/>
      <c r="B868" s="84"/>
      <c r="C868" s="84"/>
      <c r="D868" s="84"/>
      <c r="E868" s="84"/>
      <c r="F868" s="84"/>
    </row>
    <row r="869" ht="15.75" customHeight="1">
      <c r="A869" s="84"/>
      <c r="B869" s="84"/>
      <c r="C869" s="84"/>
      <c r="D869" s="84"/>
      <c r="E869" s="84"/>
      <c r="F869" s="84"/>
    </row>
    <row r="870" ht="15.75" customHeight="1">
      <c r="A870" s="84"/>
      <c r="B870" s="84"/>
      <c r="C870" s="84"/>
      <c r="D870" s="84"/>
      <c r="E870" s="84"/>
      <c r="F870" s="84"/>
    </row>
    <row r="871" ht="15.75" customHeight="1">
      <c r="A871" s="84"/>
      <c r="B871" s="84"/>
      <c r="C871" s="84"/>
      <c r="D871" s="84"/>
      <c r="E871" s="84"/>
      <c r="F871" s="84"/>
    </row>
    <row r="872" ht="15.75" customHeight="1">
      <c r="A872" s="84"/>
      <c r="B872" s="84"/>
      <c r="C872" s="84"/>
      <c r="D872" s="84"/>
      <c r="E872" s="84"/>
      <c r="F872" s="84"/>
    </row>
    <row r="873" ht="15.75" customHeight="1">
      <c r="A873" s="84"/>
      <c r="B873" s="84"/>
      <c r="C873" s="84"/>
      <c r="D873" s="84"/>
      <c r="E873" s="84"/>
      <c r="F873" s="84"/>
    </row>
    <row r="874" ht="15.75" customHeight="1">
      <c r="A874" s="84"/>
      <c r="B874" s="84"/>
      <c r="C874" s="84"/>
      <c r="D874" s="84"/>
      <c r="E874" s="84"/>
      <c r="F874" s="84"/>
    </row>
    <row r="875" ht="15.75" customHeight="1">
      <c r="A875" s="84"/>
      <c r="B875" s="84"/>
      <c r="C875" s="84"/>
      <c r="D875" s="84"/>
      <c r="E875" s="84"/>
      <c r="F875" s="84"/>
    </row>
    <row r="876" ht="15.75" customHeight="1">
      <c r="A876" s="84"/>
      <c r="B876" s="84"/>
      <c r="C876" s="84"/>
      <c r="D876" s="84"/>
      <c r="E876" s="84"/>
      <c r="F876" s="84"/>
    </row>
    <row r="877" ht="15.75" customHeight="1">
      <c r="A877" s="84"/>
      <c r="B877" s="84"/>
      <c r="C877" s="84"/>
      <c r="D877" s="84"/>
      <c r="E877" s="84"/>
      <c r="F877" s="84"/>
    </row>
    <row r="878" ht="15.75" customHeight="1">
      <c r="A878" s="84"/>
      <c r="B878" s="84"/>
      <c r="C878" s="84"/>
      <c r="D878" s="84"/>
      <c r="E878" s="84"/>
      <c r="F878" s="84"/>
    </row>
    <row r="879" ht="15.75" customHeight="1">
      <c r="A879" s="84"/>
      <c r="B879" s="84"/>
      <c r="C879" s="84"/>
      <c r="D879" s="84"/>
      <c r="E879" s="84"/>
      <c r="F879" s="84"/>
    </row>
    <row r="880" ht="15.75" customHeight="1">
      <c r="A880" s="84"/>
      <c r="B880" s="84"/>
      <c r="C880" s="84"/>
      <c r="D880" s="84"/>
      <c r="E880" s="84"/>
      <c r="F880" s="84"/>
    </row>
    <row r="881" ht="15.75" customHeight="1">
      <c r="A881" s="84"/>
      <c r="B881" s="84"/>
      <c r="C881" s="84"/>
      <c r="D881" s="84"/>
      <c r="E881" s="84"/>
      <c r="F881" s="84"/>
    </row>
    <row r="882" ht="15.75" customHeight="1">
      <c r="A882" s="84"/>
      <c r="B882" s="84"/>
      <c r="C882" s="84"/>
      <c r="D882" s="84"/>
      <c r="E882" s="84"/>
      <c r="F882" s="84"/>
    </row>
    <row r="883" ht="15.75" customHeight="1">
      <c r="A883" s="84"/>
      <c r="B883" s="84"/>
      <c r="C883" s="84"/>
      <c r="D883" s="84"/>
      <c r="E883" s="84"/>
      <c r="F883" s="84"/>
    </row>
    <row r="884" ht="15.75" customHeight="1">
      <c r="A884" s="84"/>
      <c r="B884" s="84"/>
      <c r="C884" s="84"/>
      <c r="D884" s="84"/>
      <c r="E884" s="84"/>
      <c r="F884" s="84"/>
    </row>
    <row r="885" ht="15.75" customHeight="1">
      <c r="A885" s="84"/>
      <c r="B885" s="84"/>
      <c r="C885" s="84"/>
      <c r="D885" s="84"/>
      <c r="E885" s="84"/>
      <c r="F885" s="84"/>
    </row>
    <row r="886" ht="15.75" customHeight="1">
      <c r="A886" s="84"/>
      <c r="B886" s="84"/>
      <c r="C886" s="84"/>
      <c r="D886" s="84"/>
      <c r="E886" s="84"/>
      <c r="F886" s="84"/>
    </row>
    <row r="887" ht="15.75" customHeight="1">
      <c r="A887" s="84"/>
      <c r="B887" s="84"/>
      <c r="C887" s="84"/>
      <c r="D887" s="84"/>
      <c r="E887" s="84"/>
      <c r="F887" s="84"/>
    </row>
    <row r="888" ht="15.75" customHeight="1">
      <c r="A888" s="84"/>
      <c r="B888" s="84"/>
      <c r="C888" s="84"/>
      <c r="D888" s="84"/>
      <c r="E888" s="84"/>
      <c r="F888" s="84"/>
    </row>
    <row r="889" ht="15.75" customHeight="1">
      <c r="A889" s="84"/>
      <c r="B889" s="84"/>
      <c r="C889" s="84"/>
      <c r="D889" s="84"/>
      <c r="E889" s="84"/>
      <c r="F889" s="84"/>
    </row>
    <row r="890" ht="15.75" customHeight="1">
      <c r="A890" s="84"/>
      <c r="B890" s="84"/>
      <c r="C890" s="84"/>
      <c r="D890" s="84"/>
      <c r="E890" s="84"/>
      <c r="F890" s="84"/>
    </row>
    <row r="891" ht="15.75" customHeight="1">
      <c r="A891" s="84"/>
      <c r="B891" s="84"/>
      <c r="C891" s="84"/>
      <c r="D891" s="84"/>
      <c r="E891" s="84"/>
      <c r="F891" s="84"/>
    </row>
    <row r="892" ht="15.75" customHeight="1">
      <c r="A892" s="84"/>
      <c r="B892" s="84"/>
      <c r="C892" s="84"/>
      <c r="D892" s="84"/>
      <c r="E892" s="84"/>
      <c r="F892" s="84"/>
    </row>
    <row r="893" ht="15.75" customHeight="1">
      <c r="A893" s="84"/>
      <c r="B893" s="84"/>
      <c r="C893" s="84"/>
      <c r="D893" s="84"/>
      <c r="E893" s="84"/>
      <c r="F893" s="84"/>
    </row>
    <row r="894" ht="15.75" customHeight="1">
      <c r="A894" s="84"/>
      <c r="B894" s="84"/>
      <c r="C894" s="84"/>
      <c r="D894" s="84"/>
      <c r="E894" s="84"/>
      <c r="F894" s="84"/>
    </row>
    <row r="895" ht="15.75" customHeight="1">
      <c r="A895" s="84"/>
      <c r="B895" s="84"/>
      <c r="C895" s="84"/>
      <c r="D895" s="84"/>
      <c r="E895" s="84"/>
      <c r="F895" s="84"/>
    </row>
    <row r="896" ht="15.75" customHeight="1">
      <c r="A896" s="84"/>
      <c r="B896" s="84"/>
      <c r="C896" s="84"/>
      <c r="D896" s="84"/>
      <c r="E896" s="84"/>
      <c r="F896" s="84"/>
    </row>
    <row r="897" ht="15.75" customHeight="1">
      <c r="A897" s="84"/>
      <c r="B897" s="84"/>
      <c r="C897" s="84"/>
      <c r="D897" s="84"/>
      <c r="E897" s="84"/>
      <c r="F897" s="84"/>
    </row>
    <row r="898" ht="15.75" customHeight="1">
      <c r="A898" s="84"/>
      <c r="B898" s="84"/>
      <c r="C898" s="84"/>
      <c r="D898" s="84"/>
      <c r="E898" s="84"/>
      <c r="F898" s="84"/>
    </row>
    <row r="899" ht="15.75" customHeight="1">
      <c r="A899" s="84"/>
      <c r="B899" s="84"/>
      <c r="C899" s="84"/>
      <c r="D899" s="84"/>
      <c r="E899" s="84"/>
      <c r="F899" s="84"/>
    </row>
    <row r="900" ht="15.75" customHeight="1">
      <c r="A900" s="84"/>
      <c r="B900" s="84"/>
      <c r="C900" s="84"/>
      <c r="D900" s="84"/>
      <c r="E900" s="84"/>
      <c r="F900" s="84"/>
    </row>
    <row r="901" ht="15.75" customHeight="1">
      <c r="A901" s="84"/>
      <c r="B901" s="84"/>
      <c r="C901" s="84"/>
      <c r="D901" s="84"/>
      <c r="E901" s="84"/>
      <c r="F901" s="84"/>
    </row>
    <row r="902" ht="15.75" customHeight="1">
      <c r="A902" s="84"/>
      <c r="B902" s="84"/>
      <c r="C902" s="84"/>
      <c r="D902" s="84"/>
      <c r="E902" s="84"/>
      <c r="F902" s="84"/>
    </row>
    <row r="903" ht="15.75" customHeight="1">
      <c r="A903" s="84"/>
      <c r="B903" s="84"/>
      <c r="C903" s="84"/>
      <c r="D903" s="84"/>
      <c r="E903" s="84"/>
      <c r="F903" s="84"/>
    </row>
    <row r="904" ht="15.75" customHeight="1">
      <c r="A904" s="84"/>
      <c r="B904" s="84"/>
      <c r="C904" s="84"/>
      <c r="D904" s="84"/>
      <c r="E904" s="84"/>
      <c r="F904" s="84"/>
    </row>
    <row r="905" ht="15.75" customHeight="1">
      <c r="A905" s="84"/>
      <c r="B905" s="84"/>
      <c r="C905" s="84"/>
      <c r="D905" s="84"/>
      <c r="E905" s="84"/>
      <c r="F905" s="84"/>
    </row>
    <row r="906" ht="15.75" customHeight="1">
      <c r="A906" s="84"/>
      <c r="B906" s="84"/>
      <c r="C906" s="84"/>
      <c r="D906" s="84"/>
      <c r="E906" s="84"/>
      <c r="F906" s="84"/>
    </row>
    <row r="907" ht="15.75" customHeight="1">
      <c r="A907" s="84"/>
      <c r="B907" s="84"/>
      <c r="C907" s="84"/>
      <c r="D907" s="84"/>
      <c r="E907" s="84"/>
      <c r="F907" s="84"/>
    </row>
    <row r="908" ht="15.75" customHeight="1">
      <c r="A908" s="84"/>
      <c r="B908" s="84"/>
      <c r="C908" s="84"/>
      <c r="D908" s="84"/>
      <c r="E908" s="84"/>
      <c r="F908" s="84"/>
    </row>
    <row r="909" ht="15.75" customHeight="1">
      <c r="A909" s="84"/>
      <c r="B909" s="84"/>
      <c r="C909" s="84"/>
      <c r="D909" s="84"/>
      <c r="E909" s="84"/>
      <c r="F909" s="84"/>
    </row>
    <row r="910" ht="15.75" customHeight="1">
      <c r="A910" s="84"/>
      <c r="B910" s="84"/>
      <c r="C910" s="84"/>
      <c r="D910" s="84"/>
      <c r="E910" s="84"/>
      <c r="F910" s="84"/>
    </row>
    <row r="911" ht="15.75" customHeight="1">
      <c r="A911" s="84"/>
      <c r="B911" s="84"/>
      <c r="C911" s="84"/>
      <c r="D911" s="84"/>
      <c r="E911" s="84"/>
      <c r="F911" s="84"/>
    </row>
    <row r="912" ht="15.75" customHeight="1">
      <c r="A912" s="84"/>
      <c r="B912" s="84"/>
      <c r="C912" s="84"/>
      <c r="D912" s="84"/>
      <c r="E912" s="84"/>
      <c r="F912" s="84"/>
    </row>
    <row r="913" ht="15.75" customHeight="1">
      <c r="A913" s="84"/>
      <c r="B913" s="84"/>
      <c r="C913" s="84"/>
      <c r="D913" s="84"/>
      <c r="E913" s="84"/>
      <c r="F913" s="84"/>
    </row>
    <row r="914" ht="15.75" customHeight="1">
      <c r="A914" s="84"/>
      <c r="B914" s="84"/>
      <c r="C914" s="84"/>
      <c r="D914" s="84"/>
      <c r="E914" s="84"/>
      <c r="F914" s="84"/>
    </row>
    <row r="915" ht="15.75" customHeight="1">
      <c r="A915" s="84"/>
      <c r="B915" s="84"/>
      <c r="C915" s="84"/>
      <c r="D915" s="84"/>
      <c r="E915" s="84"/>
      <c r="F915" s="84"/>
    </row>
    <row r="916" ht="15.75" customHeight="1">
      <c r="A916" s="84"/>
      <c r="B916" s="84"/>
      <c r="C916" s="84"/>
      <c r="D916" s="84"/>
      <c r="E916" s="84"/>
      <c r="F916" s="84"/>
    </row>
    <row r="917" ht="15.75" customHeight="1">
      <c r="A917" s="84"/>
      <c r="B917" s="84"/>
      <c r="C917" s="84"/>
      <c r="D917" s="84"/>
      <c r="E917" s="84"/>
      <c r="F917" s="84"/>
    </row>
    <row r="918" ht="15.75" customHeight="1">
      <c r="A918" s="84"/>
      <c r="B918" s="84"/>
      <c r="C918" s="84"/>
      <c r="D918" s="84"/>
      <c r="E918" s="84"/>
      <c r="F918" s="84"/>
    </row>
    <row r="919" ht="15.75" customHeight="1">
      <c r="A919" s="84"/>
      <c r="B919" s="84"/>
      <c r="C919" s="84"/>
      <c r="D919" s="84"/>
      <c r="E919" s="84"/>
      <c r="F919" s="84"/>
    </row>
    <row r="920" ht="15.75" customHeight="1">
      <c r="A920" s="84"/>
      <c r="B920" s="84"/>
      <c r="C920" s="84"/>
      <c r="D920" s="84"/>
      <c r="E920" s="84"/>
      <c r="F920" s="84"/>
    </row>
    <row r="921" ht="15.75" customHeight="1">
      <c r="A921" s="84"/>
      <c r="B921" s="84"/>
      <c r="C921" s="84"/>
      <c r="D921" s="84"/>
      <c r="E921" s="84"/>
      <c r="F921" s="84"/>
    </row>
    <row r="922" ht="15.75" customHeight="1">
      <c r="A922" s="84"/>
      <c r="B922" s="84"/>
      <c r="C922" s="84"/>
      <c r="D922" s="84"/>
      <c r="E922" s="84"/>
      <c r="F922" s="84"/>
    </row>
    <row r="923" ht="15.75" customHeight="1">
      <c r="A923" s="84"/>
      <c r="B923" s="84"/>
      <c r="C923" s="84"/>
      <c r="D923" s="84"/>
      <c r="E923" s="84"/>
      <c r="F923" s="84"/>
    </row>
    <row r="924" ht="15.75" customHeight="1">
      <c r="A924" s="84"/>
      <c r="B924" s="84"/>
      <c r="C924" s="84"/>
      <c r="D924" s="84"/>
      <c r="E924" s="84"/>
      <c r="F924" s="84"/>
    </row>
    <row r="925" ht="15.75" customHeight="1">
      <c r="A925" s="84"/>
      <c r="B925" s="84"/>
      <c r="C925" s="84"/>
      <c r="D925" s="84"/>
      <c r="E925" s="84"/>
      <c r="F925" s="84"/>
    </row>
    <row r="926" ht="15.75" customHeight="1">
      <c r="A926" s="84"/>
      <c r="B926" s="84"/>
      <c r="C926" s="84"/>
      <c r="D926" s="84"/>
      <c r="E926" s="84"/>
      <c r="F926" s="84"/>
    </row>
    <row r="927" ht="15.75" customHeight="1">
      <c r="A927" s="84"/>
      <c r="B927" s="84"/>
      <c r="C927" s="84"/>
      <c r="D927" s="84"/>
      <c r="E927" s="84"/>
      <c r="F927" s="84"/>
    </row>
    <row r="928" ht="15.75" customHeight="1">
      <c r="A928" s="84"/>
      <c r="B928" s="84"/>
      <c r="C928" s="84"/>
      <c r="D928" s="84"/>
      <c r="E928" s="84"/>
      <c r="F928" s="84"/>
    </row>
    <row r="929" ht="15.75" customHeight="1">
      <c r="A929" s="84"/>
      <c r="B929" s="84"/>
      <c r="C929" s="84"/>
      <c r="D929" s="84"/>
      <c r="E929" s="84"/>
      <c r="F929" s="84"/>
    </row>
    <row r="930" ht="15.75" customHeight="1">
      <c r="A930" s="84"/>
      <c r="B930" s="84"/>
      <c r="C930" s="84"/>
      <c r="D930" s="84"/>
      <c r="E930" s="84"/>
      <c r="F930" s="84"/>
    </row>
    <row r="931" ht="15.75" customHeight="1">
      <c r="A931" s="84"/>
      <c r="B931" s="84"/>
      <c r="C931" s="84"/>
      <c r="D931" s="84"/>
      <c r="E931" s="84"/>
      <c r="F931" s="84"/>
    </row>
    <row r="932" ht="15.75" customHeight="1">
      <c r="A932" s="84"/>
      <c r="B932" s="84"/>
      <c r="C932" s="84"/>
      <c r="D932" s="84"/>
      <c r="E932" s="84"/>
      <c r="F932" s="84"/>
    </row>
    <row r="933" ht="15.75" customHeight="1">
      <c r="A933" s="84"/>
      <c r="B933" s="84"/>
      <c r="C933" s="84"/>
      <c r="D933" s="84"/>
      <c r="E933" s="84"/>
      <c r="F933" s="84"/>
    </row>
    <row r="934" ht="15.75" customHeight="1">
      <c r="A934" s="84"/>
      <c r="B934" s="84"/>
      <c r="C934" s="84"/>
      <c r="D934" s="84"/>
      <c r="E934" s="84"/>
      <c r="F934" s="84"/>
    </row>
    <row r="935" ht="15.75" customHeight="1">
      <c r="A935" s="84"/>
      <c r="B935" s="84"/>
      <c r="C935" s="84"/>
      <c r="D935" s="84"/>
      <c r="E935" s="84"/>
      <c r="F935" s="84"/>
    </row>
    <row r="936" ht="15.75" customHeight="1">
      <c r="A936" s="84"/>
      <c r="B936" s="84"/>
      <c r="C936" s="84"/>
      <c r="D936" s="84"/>
      <c r="E936" s="84"/>
      <c r="F936" s="84"/>
    </row>
    <row r="937" ht="15.75" customHeight="1">
      <c r="A937" s="84"/>
      <c r="B937" s="84"/>
      <c r="C937" s="84"/>
      <c r="D937" s="84"/>
      <c r="E937" s="84"/>
      <c r="F937" s="84"/>
    </row>
    <row r="938" ht="15.75" customHeight="1">
      <c r="A938" s="84"/>
      <c r="B938" s="84"/>
      <c r="C938" s="84"/>
      <c r="D938" s="84"/>
      <c r="E938" s="84"/>
      <c r="F938" s="84"/>
    </row>
    <row r="939" ht="15.75" customHeight="1">
      <c r="A939" s="84"/>
      <c r="B939" s="84"/>
      <c r="C939" s="84"/>
      <c r="D939" s="84"/>
      <c r="E939" s="84"/>
      <c r="F939" s="84"/>
    </row>
    <row r="940" ht="15.75" customHeight="1">
      <c r="A940" s="84"/>
      <c r="B940" s="84"/>
      <c r="C940" s="84"/>
      <c r="D940" s="84"/>
      <c r="E940" s="84"/>
      <c r="F940" s="84"/>
    </row>
    <row r="941" ht="15.75" customHeight="1">
      <c r="A941" s="84"/>
      <c r="B941" s="84"/>
      <c r="C941" s="84"/>
      <c r="D941" s="84"/>
      <c r="E941" s="84"/>
      <c r="F941" s="84"/>
    </row>
    <row r="942" ht="15.75" customHeight="1">
      <c r="A942" s="84"/>
      <c r="B942" s="84"/>
      <c r="C942" s="84"/>
      <c r="D942" s="84"/>
      <c r="E942" s="84"/>
      <c r="F942" s="84"/>
    </row>
    <row r="943" ht="15.75" customHeight="1">
      <c r="A943" s="84"/>
      <c r="B943" s="84"/>
      <c r="C943" s="84"/>
      <c r="D943" s="84"/>
      <c r="E943" s="84"/>
      <c r="F943" s="84"/>
    </row>
    <row r="944" ht="15.75" customHeight="1">
      <c r="A944" s="84"/>
      <c r="B944" s="84"/>
      <c r="C944" s="84"/>
      <c r="D944" s="84"/>
      <c r="E944" s="84"/>
      <c r="F944" s="84"/>
    </row>
    <row r="945" ht="15.75" customHeight="1">
      <c r="A945" s="84"/>
      <c r="B945" s="84"/>
      <c r="C945" s="84"/>
      <c r="D945" s="84"/>
      <c r="E945" s="84"/>
      <c r="F945" s="84"/>
    </row>
    <row r="946" ht="15.75" customHeight="1">
      <c r="A946" s="84"/>
      <c r="B946" s="84"/>
      <c r="C946" s="84"/>
      <c r="D946" s="84"/>
      <c r="E946" s="84"/>
      <c r="F946" s="84"/>
    </row>
    <row r="947" ht="15.75" customHeight="1">
      <c r="A947" s="84"/>
      <c r="B947" s="84"/>
      <c r="C947" s="84"/>
      <c r="D947" s="84"/>
      <c r="E947" s="84"/>
      <c r="F947" s="84"/>
    </row>
    <row r="948" ht="15.75" customHeight="1">
      <c r="A948" s="84"/>
      <c r="B948" s="84"/>
      <c r="C948" s="84"/>
      <c r="D948" s="84"/>
      <c r="E948" s="84"/>
      <c r="F948" s="84"/>
    </row>
    <row r="949" ht="15.75" customHeight="1">
      <c r="A949" s="84"/>
      <c r="B949" s="84"/>
      <c r="C949" s="84"/>
      <c r="D949" s="84"/>
      <c r="E949" s="84"/>
      <c r="F949" s="84"/>
    </row>
    <row r="950" ht="15.75" customHeight="1">
      <c r="A950" s="84"/>
      <c r="B950" s="84"/>
      <c r="C950" s="84"/>
      <c r="D950" s="84"/>
      <c r="E950" s="84"/>
      <c r="F950" s="84"/>
    </row>
    <row r="951" ht="15.75" customHeight="1">
      <c r="A951" s="84"/>
      <c r="B951" s="84"/>
      <c r="C951" s="84"/>
      <c r="D951" s="84"/>
      <c r="E951" s="84"/>
      <c r="F951" s="84"/>
    </row>
    <row r="952" ht="15.75" customHeight="1">
      <c r="A952" s="84"/>
      <c r="B952" s="84"/>
      <c r="C952" s="84"/>
      <c r="D952" s="84"/>
      <c r="E952" s="84"/>
      <c r="F952" s="84"/>
    </row>
    <row r="953" ht="15.75" customHeight="1">
      <c r="A953" s="84"/>
      <c r="B953" s="84"/>
      <c r="C953" s="84"/>
      <c r="D953" s="84"/>
      <c r="E953" s="84"/>
      <c r="F953" s="84"/>
    </row>
    <row r="954" ht="15.75" customHeight="1">
      <c r="A954" s="84"/>
      <c r="B954" s="84"/>
      <c r="C954" s="84"/>
      <c r="D954" s="84"/>
      <c r="E954" s="84"/>
      <c r="F954" s="84"/>
    </row>
    <row r="955" ht="15.75" customHeight="1">
      <c r="A955" s="84"/>
      <c r="B955" s="84"/>
      <c r="C955" s="84"/>
      <c r="D955" s="84"/>
      <c r="E955" s="84"/>
      <c r="F955" s="84"/>
    </row>
    <row r="956" ht="15.75" customHeight="1">
      <c r="A956" s="84"/>
      <c r="B956" s="84"/>
      <c r="C956" s="84"/>
      <c r="D956" s="84"/>
      <c r="E956" s="84"/>
      <c r="F956" s="84"/>
    </row>
    <row r="957" ht="15.75" customHeight="1">
      <c r="A957" s="84"/>
      <c r="B957" s="84"/>
      <c r="C957" s="84"/>
      <c r="D957" s="84"/>
      <c r="E957" s="84"/>
      <c r="F957" s="84"/>
    </row>
    <row r="958" ht="15.75" customHeight="1">
      <c r="A958" s="84"/>
      <c r="B958" s="84"/>
      <c r="C958" s="84"/>
      <c r="D958" s="84"/>
      <c r="E958" s="84"/>
      <c r="F958" s="84"/>
    </row>
    <row r="959" ht="15.75" customHeight="1">
      <c r="A959" s="84"/>
      <c r="B959" s="84"/>
      <c r="C959" s="84"/>
      <c r="D959" s="84"/>
      <c r="E959" s="84"/>
      <c r="F959" s="84"/>
    </row>
    <row r="960" ht="15.75" customHeight="1">
      <c r="A960" s="84"/>
      <c r="B960" s="84"/>
      <c r="C960" s="84"/>
      <c r="D960" s="84"/>
      <c r="E960" s="84"/>
      <c r="F960" s="84"/>
    </row>
    <row r="961" ht="15.75" customHeight="1">
      <c r="A961" s="84"/>
      <c r="B961" s="84"/>
      <c r="C961" s="84"/>
      <c r="D961" s="84"/>
      <c r="E961" s="84"/>
      <c r="F961" s="84"/>
    </row>
    <row r="962" ht="15.75" customHeight="1">
      <c r="A962" s="84"/>
      <c r="B962" s="84"/>
      <c r="C962" s="84"/>
      <c r="D962" s="84"/>
      <c r="E962" s="84"/>
      <c r="F962" s="84"/>
    </row>
    <row r="963" ht="15.75" customHeight="1">
      <c r="A963" s="84"/>
      <c r="B963" s="84"/>
      <c r="C963" s="84"/>
      <c r="D963" s="84"/>
      <c r="E963" s="84"/>
      <c r="F963" s="84"/>
    </row>
    <row r="964" ht="15.75" customHeight="1">
      <c r="A964" s="84"/>
      <c r="B964" s="84"/>
      <c r="C964" s="84"/>
      <c r="D964" s="84"/>
      <c r="E964" s="84"/>
      <c r="F964" s="84"/>
    </row>
    <row r="965" ht="15.75" customHeight="1">
      <c r="A965" s="84"/>
      <c r="B965" s="84"/>
      <c r="C965" s="84"/>
      <c r="D965" s="84"/>
      <c r="E965" s="84"/>
      <c r="F965" s="84"/>
    </row>
    <row r="966" ht="15.75" customHeight="1">
      <c r="A966" s="84"/>
      <c r="B966" s="84"/>
      <c r="C966" s="84"/>
      <c r="D966" s="84"/>
      <c r="E966" s="84"/>
      <c r="F966" s="84"/>
    </row>
    <row r="967" ht="15.75" customHeight="1">
      <c r="A967" s="84"/>
      <c r="B967" s="84"/>
      <c r="C967" s="84"/>
      <c r="D967" s="84"/>
      <c r="E967" s="84"/>
      <c r="F967" s="84"/>
    </row>
    <row r="968" ht="15.75" customHeight="1">
      <c r="A968" s="84"/>
      <c r="B968" s="84"/>
      <c r="C968" s="84"/>
      <c r="D968" s="84"/>
      <c r="E968" s="84"/>
      <c r="F968" s="84"/>
    </row>
    <row r="969" ht="15.75" customHeight="1">
      <c r="A969" s="84"/>
      <c r="B969" s="84"/>
      <c r="C969" s="84"/>
      <c r="D969" s="84"/>
      <c r="E969" s="84"/>
      <c r="F969" s="84"/>
    </row>
    <row r="970" ht="15.75" customHeight="1">
      <c r="A970" s="84"/>
      <c r="B970" s="84"/>
      <c r="C970" s="84"/>
      <c r="D970" s="84"/>
      <c r="E970" s="84"/>
      <c r="F970" s="84"/>
    </row>
    <row r="971" ht="15.75" customHeight="1">
      <c r="A971" s="84"/>
      <c r="B971" s="84"/>
      <c r="C971" s="84"/>
      <c r="D971" s="84"/>
      <c r="E971" s="84"/>
      <c r="F971" s="84"/>
    </row>
    <row r="972" ht="15.75" customHeight="1">
      <c r="A972" s="84"/>
      <c r="B972" s="84"/>
      <c r="C972" s="84"/>
      <c r="D972" s="84"/>
      <c r="E972" s="84"/>
      <c r="F972" s="84"/>
    </row>
    <row r="973" ht="15.75" customHeight="1">
      <c r="A973" s="84"/>
      <c r="B973" s="84"/>
      <c r="C973" s="84"/>
      <c r="D973" s="84"/>
      <c r="E973" s="84"/>
      <c r="F973" s="84"/>
    </row>
    <row r="974" ht="15.75" customHeight="1">
      <c r="A974" s="84"/>
      <c r="B974" s="84"/>
      <c r="C974" s="84"/>
      <c r="D974" s="84"/>
      <c r="E974" s="84"/>
      <c r="F974" s="84"/>
    </row>
    <row r="975" ht="15.75" customHeight="1">
      <c r="A975" s="84"/>
      <c r="B975" s="84"/>
      <c r="C975" s="84"/>
      <c r="D975" s="84"/>
      <c r="E975" s="84"/>
      <c r="F975" s="84"/>
    </row>
    <row r="976" ht="15.75" customHeight="1">
      <c r="A976" s="84"/>
      <c r="B976" s="84"/>
      <c r="C976" s="84"/>
      <c r="D976" s="84"/>
      <c r="E976" s="84"/>
      <c r="F976" s="84"/>
    </row>
    <row r="977" ht="15.75" customHeight="1">
      <c r="A977" s="84"/>
      <c r="B977" s="84"/>
      <c r="C977" s="84"/>
      <c r="D977" s="84"/>
      <c r="E977" s="84"/>
      <c r="F977" s="84"/>
    </row>
    <row r="978" ht="15.75" customHeight="1">
      <c r="A978" s="84"/>
      <c r="B978" s="84"/>
      <c r="C978" s="84"/>
      <c r="D978" s="84"/>
      <c r="E978" s="84"/>
      <c r="F978" s="84"/>
    </row>
    <row r="979" ht="15.75" customHeight="1">
      <c r="A979" s="84"/>
      <c r="B979" s="84"/>
      <c r="C979" s="84"/>
      <c r="D979" s="84"/>
      <c r="E979" s="84"/>
      <c r="F979" s="84"/>
    </row>
    <row r="980" ht="15.75" customHeight="1">
      <c r="A980" s="84"/>
      <c r="B980" s="84"/>
      <c r="C980" s="84"/>
      <c r="D980" s="84"/>
      <c r="E980" s="84"/>
      <c r="F980" s="84"/>
    </row>
    <row r="981" ht="15.75" customHeight="1">
      <c r="A981" s="84"/>
      <c r="B981" s="84"/>
      <c r="C981" s="84"/>
      <c r="D981" s="84"/>
      <c r="E981" s="84"/>
      <c r="F981" s="84"/>
    </row>
    <row r="982" ht="15.75" customHeight="1">
      <c r="A982" s="84"/>
      <c r="B982" s="84"/>
      <c r="C982" s="84"/>
      <c r="D982" s="84"/>
      <c r="E982" s="84"/>
      <c r="F982" s="84"/>
    </row>
    <row r="983" ht="15.75" customHeight="1">
      <c r="A983" s="84"/>
      <c r="B983" s="84"/>
      <c r="C983" s="84"/>
      <c r="D983" s="84"/>
      <c r="E983" s="84"/>
      <c r="F983" s="84"/>
    </row>
    <row r="984" ht="15.75" customHeight="1">
      <c r="A984" s="84"/>
      <c r="B984" s="84"/>
      <c r="C984" s="84"/>
      <c r="D984" s="84"/>
      <c r="E984" s="84"/>
      <c r="F984" s="84"/>
    </row>
    <row r="985" ht="15.75" customHeight="1">
      <c r="A985" s="84"/>
      <c r="B985" s="84"/>
      <c r="C985" s="84"/>
      <c r="D985" s="84"/>
      <c r="E985" s="84"/>
      <c r="F985" s="84"/>
    </row>
    <row r="986" ht="15.75" customHeight="1">
      <c r="A986" s="84"/>
      <c r="B986" s="84"/>
      <c r="C986" s="84"/>
      <c r="D986" s="84"/>
      <c r="E986" s="84"/>
      <c r="F986" s="84"/>
    </row>
    <row r="987" ht="15.75" customHeight="1">
      <c r="A987" s="84"/>
      <c r="B987" s="84"/>
      <c r="C987" s="84"/>
      <c r="D987" s="84"/>
      <c r="E987" s="84"/>
      <c r="F987" s="84"/>
    </row>
    <row r="988" ht="15.75" customHeight="1">
      <c r="A988" s="84"/>
      <c r="B988" s="84"/>
      <c r="C988" s="84"/>
      <c r="D988" s="84"/>
      <c r="E988" s="84"/>
      <c r="F988" s="84"/>
    </row>
    <row r="989" ht="15.75" customHeight="1">
      <c r="A989" s="84"/>
      <c r="B989" s="84"/>
      <c r="C989" s="84"/>
      <c r="D989" s="84"/>
      <c r="E989" s="84"/>
      <c r="F989" s="84"/>
    </row>
    <row r="990" ht="15.75" customHeight="1">
      <c r="A990" s="84"/>
      <c r="B990" s="84"/>
      <c r="C990" s="84"/>
      <c r="D990" s="84"/>
      <c r="E990" s="84"/>
      <c r="F990" s="84"/>
    </row>
    <row r="991" ht="15.75" customHeight="1">
      <c r="A991" s="84"/>
      <c r="B991" s="84"/>
      <c r="C991" s="84"/>
      <c r="D991" s="84"/>
      <c r="E991" s="84"/>
      <c r="F991" s="84"/>
    </row>
    <row r="992" ht="15.75" customHeight="1">
      <c r="A992" s="84"/>
      <c r="B992" s="84"/>
      <c r="C992" s="84"/>
      <c r="D992" s="84"/>
      <c r="E992" s="84"/>
      <c r="F992" s="84"/>
    </row>
    <row r="993" ht="15.75" customHeight="1">
      <c r="A993" s="84"/>
      <c r="B993" s="84"/>
      <c r="C993" s="84"/>
      <c r="D993" s="84"/>
      <c r="E993" s="84"/>
      <c r="F993" s="84"/>
    </row>
    <row r="994" ht="15.75" customHeight="1">
      <c r="A994" s="84"/>
      <c r="B994" s="84"/>
      <c r="C994" s="84"/>
      <c r="D994" s="84"/>
      <c r="E994" s="84"/>
      <c r="F994" s="84"/>
    </row>
    <row r="995" ht="15.75" customHeight="1">
      <c r="A995" s="84"/>
      <c r="B995" s="84"/>
      <c r="C995" s="84"/>
      <c r="D995" s="84"/>
      <c r="E995" s="84"/>
      <c r="F995" s="84"/>
    </row>
    <row r="996" ht="15.75" customHeight="1">
      <c r="A996" s="84"/>
      <c r="B996" s="84"/>
      <c r="C996" s="84"/>
      <c r="D996" s="84"/>
      <c r="E996" s="84"/>
      <c r="F996" s="84"/>
    </row>
    <row r="997" ht="15.75" customHeight="1">
      <c r="A997" s="84"/>
      <c r="B997" s="84"/>
      <c r="C997" s="84"/>
      <c r="D997" s="84"/>
      <c r="E997" s="84"/>
      <c r="F997" s="84"/>
    </row>
    <row r="998" ht="15.75" customHeight="1">
      <c r="A998" s="84"/>
      <c r="B998" s="84"/>
      <c r="C998" s="84"/>
      <c r="D998" s="84"/>
      <c r="E998" s="84"/>
      <c r="F998" s="84"/>
    </row>
    <row r="999" ht="15.75" customHeight="1">
      <c r="A999" s="84"/>
      <c r="B999" s="84"/>
      <c r="C999" s="84"/>
      <c r="D999" s="84"/>
      <c r="E999" s="84"/>
      <c r="F999" s="84"/>
    </row>
    <row r="1000" ht="15.75" customHeight="1">
      <c r="A1000" s="84"/>
      <c r="B1000" s="84"/>
      <c r="C1000" s="84"/>
      <c r="D1000" s="84"/>
      <c r="E1000" s="84"/>
      <c r="F1000" s="84"/>
    </row>
  </sheetData>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4.0" topLeftCell="A35" activePane="bottomLeft" state="frozen"/>
      <selection activeCell="B36" sqref="B36" pane="bottomLeft"/>
    </sheetView>
  </sheetViews>
  <sheetFormatPr customHeight="1" defaultColWidth="14.43" defaultRowHeight="15.0"/>
  <cols>
    <col customWidth="1" min="1" max="1" width="10.0"/>
    <col customWidth="1" min="2" max="2" width="28.0"/>
    <col customWidth="1" min="3" max="3" width="100.0"/>
    <col customWidth="1" min="4" max="4" width="22.0"/>
    <col customWidth="1" min="5" max="5" width="30.0"/>
    <col customWidth="1" min="6" max="6" width="13.57"/>
  </cols>
  <sheetData>
    <row r="1" ht="21.0" customHeight="1">
      <c r="A1" s="1" t="s">
        <v>2396</v>
      </c>
      <c r="B1" s="3"/>
      <c r="C1" s="3"/>
      <c r="D1" s="3"/>
      <c r="E1" s="3"/>
      <c r="F1" s="3"/>
      <c r="G1" s="3"/>
      <c r="H1" s="3"/>
      <c r="I1" s="3"/>
      <c r="J1" s="3"/>
      <c r="K1" s="3"/>
      <c r="L1" s="3"/>
      <c r="M1" s="3"/>
      <c r="N1" s="3"/>
      <c r="O1" s="3"/>
      <c r="P1" s="3"/>
      <c r="Q1" s="3"/>
      <c r="R1" s="3"/>
      <c r="S1" s="3"/>
      <c r="T1" s="3"/>
      <c r="U1" s="3"/>
      <c r="V1" s="3"/>
      <c r="W1" s="3"/>
      <c r="X1" s="3"/>
      <c r="Y1" s="3"/>
      <c r="Z1" s="3"/>
    </row>
    <row r="2" ht="15.0" customHeight="1">
      <c r="A2" s="17" t="s">
        <v>2397</v>
      </c>
      <c r="B2" s="3"/>
      <c r="C2" s="3"/>
      <c r="D2" s="3"/>
      <c r="E2" s="3"/>
      <c r="F2" s="3"/>
      <c r="G2" s="3"/>
      <c r="H2" s="3"/>
      <c r="I2" s="3"/>
      <c r="J2" s="3"/>
      <c r="K2" s="3"/>
      <c r="L2" s="3"/>
      <c r="M2" s="3"/>
      <c r="N2" s="3"/>
      <c r="O2" s="3"/>
      <c r="P2" s="3"/>
      <c r="Q2" s="3"/>
      <c r="R2" s="3"/>
      <c r="S2" s="3"/>
      <c r="T2" s="3"/>
      <c r="U2" s="3"/>
      <c r="V2" s="3"/>
      <c r="W2" s="3"/>
      <c r="X2" s="3"/>
      <c r="Y2" s="3"/>
      <c r="Z2" s="3"/>
    </row>
    <row r="3" ht="15.0" customHeight="1">
      <c r="A3" s="3"/>
      <c r="B3" s="3"/>
      <c r="C3" s="3"/>
      <c r="D3" s="3"/>
      <c r="E3" s="3"/>
      <c r="F3" s="3"/>
      <c r="G3" s="3"/>
      <c r="H3" s="3"/>
      <c r="I3" s="3"/>
      <c r="J3" s="3"/>
      <c r="K3" s="3"/>
      <c r="L3" s="3"/>
      <c r="M3" s="3"/>
      <c r="N3" s="3"/>
      <c r="O3" s="3"/>
      <c r="P3" s="3"/>
      <c r="Q3" s="3"/>
      <c r="R3" s="3"/>
      <c r="S3" s="3"/>
      <c r="T3" s="3"/>
      <c r="U3" s="3"/>
      <c r="V3" s="3"/>
      <c r="W3" s="3"/>
      <c r="X3" s="3"/>
      <c r="Y3" s="3"/>
      <c r="Z3" s="3"/>
    </row>
    <row r="4" ht="17.25" customHeight="1">
      <c r="A4" s="237" t="s">
        <v>2398</v>
      </c>
      <c r="B4" s="237" t="s">
        <v>2399</v>
      </c>
      <c r="C4" s="237" t="s">
        <v>1943</v>
      </c>
      <c r="D4" s="237" t="s">
        <v>2400</v>
      </c>
      <c r="E4" s="237" t="s">
        <v>2401</v>
      </c>
      <c r="F4" s="237" t="s">
        <v>1946</v>
      </c>
      <c r="G4" s="15"/>
      <c r="H4" s="15"/>
      <c r="I4" s="15"/>
      <c r="J4" s="15"/>
      <c r="K4" s="15"/>
      <c r="L4" s="15"/>
      <c r="M4" s="15"/>
      <c r="N4" s="15"/>
      <c r="O4" s="15"/>
      <c r="P4" s="15"/>
      <c r="Q4" s="15"/>
      <c r="R4" s="15"/>
      <c r="S4" s="15"/>
      <c r="T4" s="15"/>
      <c r="U4" s="15"/>
      <c r="V4" s="15"/>
      <c r="W4" s="15"/>
      <c r="X4" s="15"/>
      <c r="Y4" s="15"/>
      <c r="Z4" s="15"/>
    </row>
    <row r="5" ht="58.5" customHeight="1">
      <c r="A5" s="18" t="s">
        <v>2402</v>
      </c>
      <c r="B5" s="18" t="s">
        <v>2403</v>
      </c>
      <c r="C5" s="24" t="s">
        <v>2404</v>
      </c>
      <c r="D5" s="24" t="s">
        <v>2405</v>
      </c>
      <c r="E5" s="24" t="s">
        <v>2406</v>
      </c>
      <c r="F5" s="24" t="s">
        <v>1582</v>
      </c>
      <c r="G5" s="15"/>
      <c r="H5" s="15"/>
      <c r="I5" s="15"/>
      <c r="J5" s="15"/>
      <c r="K5" s="15"/>
      <c r="L5" s="15"/>
      <c r="M5" s="15"/>
      <c r="N5" s="15"/>
      <c r="O5" s="15"/>
      <c r="P5" s="15"/>
      <c r="Q5" s="15"/>
      <c r="R5" s="15"/>
      <c r="S5" s="15"/>
      <c r="T5" s="15"/>
      <c r="U5" s="15"/>
      <c r="V5" s="15"/>
      <c r="W5" s="15"/>
      <c r="X5" s="15"/>
      <c r="Y5" s="15"/>
      <c r="Z5" s="15"/>
    </row>
    <row r="6" ht="45.0" customHeight="1">
      <c r="A6" s="18" t="s">
        <v>2407</v>
      </c>
      <c r="B6" s="24" t="s">
        <v>2408</v>
      </c>
      <c r="C6" s="18" t="s">
        <v>2409</v>
      </c>
      <c r="D6" s="24" t="s">
        <v>2405</v>
      </c>
      <c r="E6" s="24" t="s">
        <v>2410</v>
      </c>
      <c r="F6" s="24" t="s">
        <v>1582</v>
      </c>
      <c r="G6" s="15"/>
      <c r="H6" s="15"/>
      <c r="I6" s="15"/>
      <c r="J6" s="15"/>
      <c r="K6" s="15"/>
      <c r="L6" s="15"/>
      <c r="M6" s="15"/>
      <c r="N6" s="15"/>
      <c r="O6" s="15"/>
      <c r="P6" s="15"/>
      <c r="Q6" s="15"/>
      <c r="R6" s="15"/>
      <c r="S6" s="15"/>
      <c r="T6" s="15"/>
      <c r="U6" s="15"/>
      <c r="V6" s="15"/>
      <c r="W6" s="15"/>
      <c r="X6" s="15"/>
      <c r="Y6" s="15"/>
      <c r="Z6" s="15"/>
    </row>
    <row r="7" ht="58.5" customHeight="1">
      <c r="A7" s="202" t="s">
        <v>2411</v>
      </c>
      <c r="B7" s="203" t="s">
        <v>2412</v>
      </c>
      <c r="C7" s="202" t="s">
        <v>2413</v>
      </c>
      <c r="D7" s="202" t="s">
        <v>2414</v>
      </c>
      <c r="E7" s="203" t="s">
        <v>2415</v>
      </c>
      <c r="F7" s="203" t="s">
        <v>2416</v>
      </c>
      <c r="G7" s="15"/>
      <c r="H7" s="15"/>
      <c r="I7" s="15"/>
      <c r="J7" s="15"/>
      <c r="K7" s="15"/>
      <c r="L7" s="15"/>
      <c r="M7" s="15"/>
      <c r="N7" s="15"/>
      <c r="O7" s="15"/>
      <c r="P7" s="15"/>
      <c r="Q7" s="15"/>
      <c r="R7" s="15"/>
      <c r="S7" s="15"/>
      <c r="T7" s="15"/>
      <c r="U7" s="15"/>
      <c r="V7" s="15"/>
      <c r="W7" s="15"/>
      <c r="X7" s="15"/>
      <c r="Y7" s="15"/>
      <c r="Z7" s="15"/>
    </row>
    <row r="8" ht="72.75" customHeight="1">
      <c r="A8" s="221" t="s">
        <v>2417</v>
      </c>
      <c r="B8" s="222" t="s">
        <v>2418</v>
      </c>
      <c r="C8" s="221" t="s">
        <v>2419</v>
      </c>
      <c r="D8" s="222" t="s">
        <v>2420</v>
      </c>
      <c r="E8" s="222" t="s">
        <v>2421</v>
      </c>
      <c r="F8" s="221" t="s">
        <v>2422</v>
      </c>
      <c r="G8" s="15"/>
      <c r="H8" s="15"/>
      <c r="I8" s="15"/>
      <c r="J8" s="15"/>
      <c r="K8" s="15"/>
      <c r="L8" s="15"/>
      <c r="M8" s="15"/>
      <c r="N8" s="15"/>
      <c r="O8" s="15"/>
      <c r="P8" s="15"/>
      <c r="Q8" s="15"/>
      <c r="R8" s="15"/>
      <c r="S8" s="15"/>
      <c r="T8" s="15"/>
      <c r="U8" s="15"/>
      <c r="V8" s="15"/>
      <c r="W8" s="15"/>
      <c r="X8" s="15"/>
      <c r="Y8" s="15"/>
      <c r="Z8" s="15"/>
    </row>
    <row r="9" ht="45.0" customHeight="1">
      <c r="A9" s="221" t="s">
        <v>2423</v>
      </c>
      <c r="B9" s="222" t="s">
        <v>2424</v>
      </c>
      <c r="C9" s="221" t="s">
        <v>2425</v>
      </c>
      <c r="D9" s="222" t="s">
        <v>2426</v>
      </c>
      <c r="E9" s="222" t="s">
        <v>2406</v>
      </c>
      <c r="F9" s="221" t="s">
        <v>2422</v>
      </c>
      <c r="G9" s="15"/>
      <c r="H9" s="15"/>
      <c r="I9" s="15"/>
      <c r="J9" s="15"/>
      <c r="K9" s="15"/>
      <c r="L9" s="15"/>
      <c r="M9" s="15"/>
      <c r="N9" s="15"/>
      <c r="O9" s="15"/>
      <c r="P9" s="15"/>
      <c r="Q9" s="15"/>
      <c r="R9" s="15"/>
      <c r="S9" s="15"/>
      <c r="T9" s="15"/>
      <c r="U9" s="15"/>
      <c r="V9" s="15"/>
      <c r="W9" s="15"/>
      <c r="X9" s="15"/>
      <c r="Y9" s="15"/>
      <c r="Z9" s="15"/>
    </row>
    <row r="10" ht="45.0" customHeight="1">
      <c r="A10" s="202" t="s">
        <v>2427</v>
      </c>
      <c r="B10" s="203" t="s">
        <v>2428</v>
      </c>
      <c r="C10" s="203" t="s">
        <v>2429</v>
      </c>
      <c r="D10" s="202" t="s">
        <v>2430</v>
      </c>
      <c r="E10" s="203" t="s">
        <v>2431</v>
      </c>
      <c r="F10" s="202" t="s">
        <v>2432</v>
      </c>
      <c r="G10" s="15"/>
      <c r="H10" s="15"/>
      <c r="I10" s="15"/>
      <c r="J10" s="15"/>
      <c r="K10" s="15"/>
      <c r="L10" s="15"/>
      <c r="M10" s="15"/>
      <c r="N10" s="15"/>
      <c r="O10" s="15"/>
      <c r="P10" s="15"/>
      <c r="Q10" s="15"/>
      <c r="R10" s="15"/>
      <c r="S10" s="15"/>
      <c r="T10" s="15"/>
      <c r="U10" s="15"/>
      <c r="V10" s="15"/>
      <c r="W10" s="15"/>
      <c r="X10" s="15"/>
      <c r="Y10" s="15"/>
      <c r="Z10" s="15"/>
    </row>
    <row r="11" ht="45.0" customHeight="1">
      <c r="A11" s="202" t="s">
        <v>2433</v>
      </c>
      <c r="B11" s="203" t="s">
        <v>2434</v>
      </c>
      <c r="C11" s="203" t="s">
        <v>2435</v>
      </c>
      <c r="D11" s="202" t="s">
        <v>2436</v>
      </c>
      <c r="E11" s="203" t="s">
        <v>2437</v>
      </c>
      <c r="F11" s="203" t="s">
        <v>2438</v>
      </c>
      <c r="G11" s="15"/>
      <c r="H11" s="15"/>
      <c r="I11" s="15"/>
      <c r="J11" s="15"/>
      <c r="K11" s="15"/>
      <c r="L11" s="15"/>
      <c r="M11" s="15"/>
      <c r="N11" s="15"/>
      <c r="O11" s="15"/>
      <c r="P11" s="15"/>
      <c r="Q11" s="15"/>
      <c r="R11" s="15"/>
      <c r="S11" s="15"/>
      <c r="T11" s="15"/>
      <c r="U11" s="15"/>
      <c r="V11" s="15"/>
      <c r="W11" s="15"/>
      <c r="X11" s="15"/>
      <c r="Y11" s="15"/>
      <c r="Z11" s="15"/>
    </row>
    <row r="12" ht="45.0" customHeight="1">
      <c r="A12" s="46" t="s">
        <v>2439</v>
      </c>
      <c r="B12" s="44" t="s">
        <v>2440</v>
      </c>
      <c r="C12" s="44" t="s">
        <v>2441</v>
      </c>
      <c r="D12" s="46" t="s">
        <v>2442</v>
      </c>
      <c r="E12" s="44" t="s">
        <v>2437</v>
      </c>
      <c r="F12" s="44" t="s">
        <v>1582</v>
      </c>
      <c r="G12" s="15"/>
      <c r="H12" s="15"/>
      <c r="I12" s="15"/>
      <c r="J12" s="15"/>
      <c r="K12" s="15"/>
      <c r="L12" s="15"/>
      <c r="M12" s="15"/>
      <c r="N12" s="15"/>
      <c r="O12" s="15"/>
      <c r="P12" s="15"/>
      <c r="Q12" s="15"/>
      <c r="R12" s="15"/>
      <c r="S12" s="15"/>
      <c r="T12" s="15"/>
      <c r="U12" s="15"/>
      <c r="V12" s="15"/>
      <c r="W12" s="15"/>
      <c r="X12" s="15"/>
      <c r="Y12" s="15"/>
      <c r="Z12" s="15"/>
    </row>
    <row r="13" ht="31.5" customHeight="1">
      <c r="A13" s="46" t="s">
        <v>2443</v>
      </c>
      <c r="B13" s="46" t="s">
        <v>2444</v>
      </c>
      <c r="C13" s="46" t="s">
        <v>2445</v>
      </c>
      <c r="D13" s="44" t="s">
        <v>2405</v>
      </c>
      <c r="E13" s="44" t="s">
        <v>2406</v>
      </c>
      <c r="F13" s="44" t="s">
        <v>1582</v>
      </c>
      <c r="G13" s="15"/>
      <c r="H13" s="15"/>
      <c r="I13" s="15"/>
      <c r="J13" s="15"/>
      <c r="K13" s="15"/>
      <c r="L13" s="15"/>
      <c r="M13" s="15"/>
      <c r="N13" s="15"/>
      <c r="O13" s="15"/>
      <c r="P13" s="15"/>
      <c r="Q13" s="15"/>
      <c r="R13" s="15"/>
      <c r="S13" s="15"/>
      <c r="T13" s="15"/>
      <c r="U13" s="15"/>
      <c r="V13" s="15"/>
      <c r="W13" s="15"/>
      <c r="X13" s="15"/>
      <c r="Y13" s="15"/>
      <c r="Z13" s="15"/>
    </row>
    <row r="14" ht="31.5" customHeight="1">
      <c r="A14" s="46" t="s">
        <v>2446</v>
      </c>
      <c r="B14" s="44" t="s">
        <v>2447</v>
      </c>
      <c r="C14" s="46" t="s">
        <v>2448</v>
      </c>
      <c r="D14" s="46" t="s">
        <v>2430</v>
      </c>
      <c r="E14" s="44" t="s">
        <v>2421</v>
      </c>
      <c r="F14" s="44" t="s">
        <v>1582</v>
      </c>
      <c r="G14" s="15"/>
      <c r="H14" s="15"/>
      <c r="I14" s="15"/>
      <c r="J14" s="15"/>
      <c r="K14" s="15"/>
      <c r="L14" s="15"/>
      <c r="M14" s="15"/>
      <c r="N14" s="15"/>
      <c r="O14" s="15"/>
      <c r="P14" s="15"/>
      <c r="Q14" s="15"/>
      <c r="R14" s="15"/>
      <c r="S14" s="15"/>
      <c r="T14" s="15"/>
      <c r="U14" s="15"/>
      <c r="V14" s="15"/>
      <c r="W14" s="15"/>
      <c r="X14" s="15"/>
      <c r="Y14" s="15"/>
      <c r="Z14" s="15"/>
    </row>
    <row r="15" ht="31.5" customHeight="1">
      <c r="A15" s="46" t="s">
        <v>2449</v>
      </c>
      <c r="B15" s="44" t="s">
        <v>2450</v>
      </c>
      <c r="C15" s="46" t="s">
        <v>2451</v>
      </c>
      <c r="D15" s="44" t="s">
        <v>2452</v>
      </c>
      <c r="E15" s="44" t="s">
        <v>2453</v>
      </c>
      <c r="F15" s="44" t="s">
        <v>1989</v>
      </c>
      <c r="G15" s="15"/>
      <c r="H15" s="15"/>
      <c r="I15" s="15"/>
      <c r="J15" s="15"/>
      <c r="K15" s="15"/>
      <c r="L15" s="15"/>
      <c r="M15" s="15"/>
      <c r="N15" s="15"/>
      <c r="O15" s="15"/>
      <c r="P15" s="15"/>
      <c r="Q15" s="15"/>
      <c r="R15" s="15"/>
      <c r="S15" s="15"/>
      <c r="T15" s="15"/>
      <c r="U15" s="15"/>
      <c r="V15" s="15"/>
      <c r="W15" s="15"/>
      <c r="X15" s="15"/>
      <c r="Y15" s="15"/>
      <c r="Z15" s="15"/>
    </row>
    <row r="16" ht="58.5" customHeight="1">
      <c r="A16" s="202" t="s">
        <v>2454</v>
      </c>
      <c r="B16" s="202" t="s">
        <v>2455</v>
      </c>
      <c r="C16" s="203" t="s">
        <v>2456</v>
      </c>
      <c r="D16" s="203" t="s">
        <v>2457</v>
      </c>
      <c r="E16" s="203" t="s">
        <v>2406</v>
      </c>
      <c r="F16" s="203" t="s">
        <v>2458</v>
      </c>
      <c r="G16" s="15"/>
      <c r="H16" s="15"/>
      <c r="I16" s="15"/>
      <c r="J16" s="15"/>
      <c r="K16" s="15"/>
      <c r="L16" s="15"/>
      <c r="M16" s="15"/>
      <c r="N16" s="15"/>
      <c r="O16" s="15"/>
      <c r="P16" s="15"/>
      <c r="Q16" s="15"/>
      <c r="R16" s="15"/>
      <c r="S16" s="15"/>
      <c r="T16" s="15"/>
      <c r="U16" s="15"/>
      <c r="V16" s="15"/>
      <c r="W16" s="15"/>
      <c r="X16" s="15"/>
      <c r="Y16" s="15"/>
      <c r="Z16" s="15"/>
    </row>
    <row r="17" ht="58.5" customHeight="1">
      <c r="A17" s="202" t="s">
        <v>2459</v>
      </c>
      <c r="B17" s="202" t="s">
        <v>2460</v>
      </c>
      <c r="C17" s="202" t="s">
        <v>2461</v>
      </c>
      <c r="D17" s="203" t="s">
        <v>2457</v>
      </c>
      <c r="E17" s="203" t="s">
        <v>2462</v>
      </c>
      <c r="F17" s="202" t="s">
        <v>2463</v>
      </c>
      <c r="G17" s="15"/>
      <c r="H17" s="15"/>
      <c r="I17" s="15"/>
      <c r="J17" s="15"/>
      <c r="K17" s="15"/>
      <c r="L17" s="15"/>
      <c r="M17" s="15"/>
      <c r="N17" s="15"/>
      <c r="O17" s="15"/>
      <c r="P17" s="15"/>
      <c r="Q17" s="15"/>
      <c r="R17" s="15"/>
      <c r="S17" s="15"/>
      <c r="T17" s="15"/>
      <c r="U17" s="15"/>
      <c r="V17" s="15"/>
      <c r="W17" s="15"/>
      <c r="X17" s="15"/>
      <c r="Y17" s="15"/>
      <c r="Z17" s="15"/>
    </row>
    <row r="18" ht="45.0" customHeight="1">
      <c r="A18" s="202" t="s">
        <v>2464</v>
      </c>
      <c r="B18" s="203" t="s">
        <v>2465</v>
      </c>
      <c r="C18" s="203" t="s">
        <v>2466</v>
      </c>
      <c r="D18" s="202" t="s">
        <v>2430</v>
      </c>
      <c r="E18" s="203" t="s">
        <v>2467</v>
      </c>
      <c r="F18" s="203" t="s">
        <v>2468</v>
      </c>
      <c r="G18" s="15"/>
      <c r="H18" s="15"/>
      <c r="I18" s="15"/>
      <c r="J18" s="15"/>
      <c r="K18" s="15"/>
      <c r="L18" s="15"/>
      <c r="M18" s="15"/>
      <c r="N18" s="15"/>
      <c r="O18" s="15"/>
      <c r="P18" s="15"/>
      <c r="Q18" s="15"/>
      <c r="R18" s="15"/>
      <c r="S18" s="15"/>
      <c r="T18" s="15"/>
      <c r="U18" s="15"/>
      <c r="V18" s="15"/>
      <c r="W18" s="15"/>
      <c r="X18" s="15"/>
      <c r="Y18" s="15"/>
      <c r="Z18" s="15"/>
    </row>
    <row r="19" ht="31.5" customHeight="1">
      <c r="A19" s="46" t="s">
        <v>2469</v>
      </c>
      <c r="B19" s="44" t="s">
        <v>2470</v>
      </c>
      <c r="C19" s="46" t="s">
        <v>2471</v>
      </c>
      <c r="D19" s="46" t="s">
        <v>2442</v>
      </c>
      <c r="E19" s="44" t="s">
        <v>2406</v>
      </c>
      <c r="F19" s="46"/>
      <c r="G19" s="15"/>
      <c r="H19" s="15"/>
      <c r="I19" s="15"/>
      <c r="J19" s="15"/>
      <c r="K19" s="15"/>
      <c r="L19" s="15"/>
      <c r="M19" s="15"/>
      <c r="N19" s="15"/>
      <c r="O19" s="15"/>
      <c r="P19" s="15"/>
      <c r="Q19" s="15"/>
      <c r="R19" s="15"/>
      <c r="S19" s="15"/>
      <c r="T19" s="15"/>
      <c r="U19" s="15"/>
      <c r="V19" s="15"/>
      <c r="W19" s="15"/>
      <c r="X19" s="15"/>
      <c r="Y19" s="15"/>
      <c r="Z19" s="15"/>
    </row>
    <row r="20" ht="58.5" customHeight="1">
      <c r="A20" s="39" t="s">
        <v>2472</v>
      </c>
      <c r="B20" s="39" t="s">
        <v>2473</v>
      </c>
      <c r="C20" s="39" t="s">
        <v>2474</v>
      </c>
      <c r="D20" s="39" t="s">
        <v>2475</v>
      </c>
      <c r="E20" s="42" t="s">
        <v>2410</v>
      </c>
      <c r="F20" s="42" t="s">
        <v>2476</v>
      </c>
      <c r="G20" s="15"/>
      <c r="H20" s="15"/>
      <c r="I20" s="15"/>
      <c r="J20" s="15"/>
      <c r="K20" s="15"/>
      <c r="L20" s="15"/>
      <c r="M20" s="15"/>
      <c r="N20" s="15"/>
      <c r="O20" s="15"/>
      <c r="P20" s="15"/>
      <c r="Q20" s="15"/>
      <c r="R20" s="15"/>
      <c r="S20" s="15"/>
      <c r="T20" s="15"/>
      <c r="U20" s="15"/>
      <c r="V20" s="15"/>
      <c r="W20" s="15"/>
      <c r="X20" s="15"/>
      <c r="Y20" s="15"/>
      <c r="Z20" s="15"/>
    </row>
    <row r="21" ht="58.5" customHeight="1">
      <c r="A21" s="221" t="s">
        <v>2477</v>
      </c>
      <c r="B21" s="222" t="s">
        <v>2478</v>
      </c>
      <c r="C21" s="221" t="s">
        <v>2479</v>
      </c>
      <c r="D21" s="221" t="s">
        <v>2480</v>
      </c>
      <c r="E21" s="222" t="s">
        <v>2406</v>
      </c>
      <c r="F21" s="222" t="s">
        <v>1545</v>
      </c>
      <c r="G21" s="15"/>
      <c r="H21" s="15"/>
      <c r="I21" s="15"/>
      <c r="J21" s="15"/>
      <c r="K21" s="15"/>
      <c r="L21" s="15"/>
      <c r="M21" s="15"/>
      <c r="N21" s="15"/>
      <c r="O21" s="15"/>
      <c r="P21" s="15"/>
      <c r="Q21" s="15"/>
      <c r="R21" s="15"/>
      <c r="S21" s="15"/>
      <c r="T21" s="15"/>
      <c r="U21" s="15"/>
      <c r="V21" s="15"/>
      <c r="W21" s="15"/>
      <c r="X21" s="15"/>
      <c r="Y21" s="15"/>
      <c r="Z21" s="15"/>
    </row>
    <row r="22" ht="17.25" customHeight="1">
      <c r="A22" s="46" t="s">
        <v>2481</v>
      </c>
      <c r="B22" s="44" t="s">
        <v>2482</v>
      </c>
      <c r="C22" s="44" t="s">
        <v>2483</v>
      </c>
      <c r="D22" s="46" t="s">
        <v>2442</v>
      </c>
      <c r="E22" s="44" t="s">
        <v>2410</v>
      </c>
      <c r="F22" s="44" t="s">
        <v>1989</v>
      </c>
      <c r="G22" s="15"/>
      <c r="H22" s="15"/>
      <c r="I22" s="15"/>
      <c r="J22" s="15"/>
      <c r="K22" s="15"/>
      <c r="L22" s="15"/>
      <c r="M22" s="15"/>
      <c r="N22" s="15"/>
      <c r="O22" s="15"/>
      <c r="P22" s="15"/>
      <c r="Q22" s="15"/>
      <c r="R22" s="15"/>
      <c r="S22" s="15"/>
      <c r="T22" s="15"/>
      <c r="U22" s="15"/>
      <c r="V22" s="15"/>
      <c r="W22" s="15"/>
      <c r="X22" s="15"/>
      <c r="Y22" s="15"/>
      <c r="Z22" s="15"/>
    </row>
    <row r="23" ht="17.25" customHeight="1">
      <c r="A23" s="46" t="s">
        <v>289</v>
      </c>
      <c r="B23" s="44" t="s">
        <v>2484</v>
      </c>
      <c r="C23" s="44" t="s">
        <v>2485</v>
      </c>
      <c r="D23" s="46" t="s">
        <v>2442</v>
      </c>
      <c r="E23" s="44" t="s">
        <v>2486</v>
      </c>
      <c r="F23" s="44" t="s">
        <v>1989</v>
      </c>
      <c r="G23" s="15"/>
      <c r="H23" s="15"/>
      <c r="I23" s="15"/>
      <c r="J23" s="15"/>
      <c r="K23" s="15"/>
      <c r="L23" s="15"/>
      <c r="M23" s="15"/>
      <c r="N23" s="15"/>
      <c r="O23" s="15"/>
      <c r="P23" s="15"/>
      <c r="Q23" s="15"/>
      <c r="R23" s="15"/>
      <c r="S23" s="15"/>
      <c r="T23" s="15"/>
      <c r="U23" s="15"/>
      <c r="V23" s="15"/>
      <c r="W23" s="15"/>
      <c r="X23" s="15"/>
      <c r="Y23" s="15"/>
      <c r="Z23" s="15"/>
    </row>
    <row r="24" ht="45.0" customHeight="1">
      <c r="A24" s="221" t="s">
        <v>2487</v>
      </c>
      <c r="B24" s="222" t="s">
        <v>2488</v>
      </c>
      <c r="C24" s="221" t="s">
        <v>2489</v>
      </c>
      <c r="D24" s="222" t="s">
        <v>2405</v>
      </c>
      <c r="E24" s="222" t="s">
        <v>2410</v>
      </c>
      <c r="F24" s="222" t="s">
        <v>1545</v>
      </c>
      <c r="G24" s="15"/>
      <c r="H24" s="15"/>
      <c r="I24" s="15"/>
      <c r="J24" s="15"/>
      <c r="K24" s="15"/>
      <c r="L24" s="15"/>
      <c r="M24" s="15"/>
      <c r="N24" s="15"/>
      <c r="O24" s="15"/>
      <c r="P24" s="15"/>
      <c r="Q24" s="15"/>
      <c r="R24" s="15"/>
      <c r="S24" s="15"/>
      <c r="T24" s="15"/>
      <c r="U24" s="15"/>
      <c r="V24" s="15"/>
      <c r="W24" s="15"/>
      <c r="X24" s="15"/>
      <c r="Y24" s="15"/>
      <c r="Z24" s="15"/>
    </row>
    <row r="25" ht="17.25" customHeight="1">
      <c r="A25" s="46" t="s">
        <v>2490</v>
      </c>
      <c r="B25" s="44" t="s">
        <v>2491</v>
      </c>
      <c r="C25" s="44" t="s">
        <v>2492</v>
      </c>
      <c r="D25" s="46" t="s">
        <v>2442</v>
      </c>
      <c r="E25" s="44" t="s">
        <v>2486</v>
      </c>
      <c r="F25" s="44" t="s">
        <v>1989</v>
      </c>
      <c r="G25" s="15"/>
      <c r="H25" s="15"/>
      <c r="I25" s="15"/>
      <c r="J25" s="15"/>
      <c r="K25" s="15"/>
      <c r="L25" s="15"/>
      <c r="M25" s="15"/>
      <c r="N25" s="15"/>
      <c r="O25" s="15"/>
      <c r="P25" s="15"/>
      <c r="Q25" s="15"/>
      <c r="R25" s="15"/>
      <c r="S25" s="15"/>
      <c r="T25" s="15"/>
      <c r="U25" s="15"/>
      <c r="V25" s="15"/>
      <c r="W25" s="15"/>
      <c r="X25" s="15"/>
      <c r="Y25" s="15"/>
      <c r="Z25" s="15"/>
    </row>
    <row r="26" ht="31.5" customHeight="1">
      <c r="A26" s="46" t="s">
        <v>2493</v>
      </c>
      <c r="B26" s="44" t="s">
        <v>2494</v>
      </c>
      <c r="C26" s="44" t="s">
        <v>2495</v>
      </c>
      <c r="D26" s="46" t="s">
        <v>2442</v>
      </c>
      <c r="E26" s="44" t="s">
        <v>2496</v>
      </c>
      <c r="F26" s="44" t="s">
        <v>1989</v>
      </c>
      <c r="G26" s="15"/>
      <c r="H26" s="15"/>
      <c r="I26" s="15"/>
      <c r="J26" s="15"/>
      <c r="K26" s="15"/>
      <c r="L26" s="15"/>
      <c r="M26" s="15"/>
      <c r="N26" s="15"/>
      <c r="O26" s="15"/>
      <c r="P26" s="15"/>
      <c r="Q26" s="15"/>
      <c r="R26" s="15"/>
      <c r="S26" s="15"/>
      <c r="T26" s="15"/>
      <c r="U26" s="15"/>
      <c r="V26" s="15"/>
      <c r="W26" s="15"/>
      <c r="X26" s="15"/>
      <c r="Y26" s="15"/>
      <c r="Z26" s="15"/>
    </row>
    <row r="27" ht="17.25" customHeight="1">
      <c r="A27" s="46" t="s">
        <v>2498</v>
      </c>
      <c r="B27" s="44" t="s">
        <v>2499</v>
      </c>
      <c r="C27" s="44" t="s">
        <v>2500</v>
      </c>
      <c r="D27" s="44" t="s">
        <v>2457</v>
      </c>
      <c r="E27" s="44" t="s">
        <v>2486</v>
      </c>
      <c r="F27" s="44" t="s">
        <v>1989</v>
      </c>
      <c r="G27" s="15"/>
      <c r="H27" s="15"/>
      <c r="I27" s="15"/>
      <c r="J27" s="15"/>
      <c r="K27" s="15"/>
      <c r="L27" s="15"/>
      <c r="M27" s="15"/>
      <c r="N27" s="15"/>
      <c r="O27" s="15"/>
      <c r="P27" s="15"/>
      <c r="Q27" s="15"/>
      <c r="R27" s="15"/>
      <c r="S27" s="15"/>
      <c r="T27" s="15"/>
      <c r="U27" s="15"/>
      <c r="V27" s="15"/>
      <c r="W27" s="15"/>
      <c r="X27" s="15"/>
      <c r="Y27" s="15"/>
      <c r="Z27" s="15"/>
    </row>
    <row r="28" ht="45.0" customHeight="1">
      <c r="A28" s="61" t="s">
        <v>2502</v>
      </c>
      <c r="B28" s="62" t="s">
        <v>2503</v>
      </c>
      <c r="C28" s="61" t="s">
        <v>2504</v>
      </c>
      <c r="D28" s="61" t="s">
        <v>2475</v>
      </c>
      <c r="E28" s="62" t="s">
        <v>2505</v>
      </c>
      <c r="F28" s="61" t="s">
        <v>2506</v>
      </c>
      <c r="G28" s="15"/>
      <c r="H28" s="15"/>
      <c r="I28" s="15"/>
      <c r="J28" s="15"/>
      <c r="K28" s="15"/>
      <c r="L28" s="15"/>
      <c r="M28" s="15"/>
      <c r="N28" s="15"/>
      <c r="O28" s="15"/>
      <c r="P28" s="15"/>
      <c r="Q28" s="15"/>
      <c r="R28" s="15"/>
      <c r="S28" s="15"/>
      <c r="T28" s="15"/>
      <c r="U28" s="15"/>
      <c r="V28" s="15"/>
      <c r="W28" s="15"/>
      <c r="X28" s="15"/>
      <c r="Y28" s="15"/>
      <c r="Z28" s="15"/>
    </row>
    <row r="29" ht="31.5" customHeight="1">
      <c r="A29" s="61" t="s">
        <v>2507</v>
      </c>
      <c r="B29" s="62" t="s">
        <v>2508</v>
      </c>
      <c r="C29" s="62" t="s">
        <v>2509</v>
      </c>
      <c r="D29" s="61" t="s">
        <v>2475</v>
      </c>
      <c r="E29" s="62" t="s">
        <v>2410</v>
      </c>
      <c r="F29" s="61" t="s">
        <v>2506</v>
      </c>
      <c r="G29" s="15"/>
      <c r="H29" s="15"/>
      <c r="I29" s="15"/>
      <c r="J29" s="15"/>
      <c r="K29" s="15"/>
      <c r="L29" s="15"/>
      <c r="M29" s="15"/>
      <c r="N29" s="15"/>
      <c r="O29" s="15"/>
      <c r="P29" s="15"/>
      <c r="Q29" s="15"/>
      <c r="R29" s="15"/>
      <c r="S29" s="15"/>
      <c r="T29" s="15"/>
      <c r="U29" s="15"/>
      <c r="V29" s="15"/>
      <c r="W29" s="15"/>
      <c r="X29" s="15"/>
      <c r="Y29" s="15"/>
      <c r="Z29" s="15"/>
    </row>
    <row r="30" ht="31.5" customHeight="1">
      <c r="A30" s="61" t="s">
        <v>2511</v>
      </c>
      <c r="B30" s="62" t="s">
        <v>2512</v>
      </c>
      <c r="C30" s="62" t="s">
        <v>2513</v>
      </c>
      <c r="D30" s="61" t="s">
        <v>2475</v>
      </c>
      <c r="E30" s="62" t="s">
        <v>2415</v>
      </c>
      <c r="F30" s="61" t="s">
        <v>2506</v>
      </c>
      <c r="G30" s="15"/>
      <c r="H30" s="15"/>
      <c r="I30" s="15"/>
      <c r="J30" s="15"/>
      <c r="K30" s="15"/>
      <c r="L30" s="15"/>
      <c r="M30" s="15"/>
      <c r="N30" s="15"/>
      <c r="O30" s="15"/>
      <c r="P30" s="15"/>
      <c r="Q30" s="15"/>
      <c r="R30" s="15"/>
      <c r="S30" s="15"/>
      <c r="T30" s="15"/>
      <c r="U30" s="15"/>
      <c r="V30" s="15"/>
      <c r="W30" s="15"/>
      <c r="X30" s="15"/>
      <c r="Y30" s="15"/>
      <c r="Z30" s="15"/>
    </row>
    <row r="31" ht="31.5" customHeight="1">
      <c r="A31" s="61" t="s">
        <v>2515</v>
      </c>
      <c r="B31" s="61" t="s">
        <v>2517</v>
      </c>
      <c r="C31" s="61" t="s">
        <v>2518</v>
      </c>
      <c r="D31" s="62" t="s">
        <v>2457</v>
      </c>
      <c r="E31" s="62" t="s">
        <v>2415</v>
      </c>
      <c r="F31" s="61" t="s">
        <v>2519</v>
      </c>
      <c r="G31" s="15"/>
      <c r="H31" s="15"/>
      <c r="I31" s="15"/>
      <c r="J31" s="15"/>
      <c r="K31" s="15"/>
      <c r="L31" s="15"/>
      <c r="M31" s="15"/>
      <c r="N31" s="15"/>
      <c r="O31" s="15"/>
      <c r="P31" s="15"/>
      <c r="Q31" s="15"/>
      <c r="R31" s="15"/>
      <c r="S31" s="15"/>
      <c r="T31" s="15"/>
      <c r="U31" s="15"/>
      <c r="V31" s="15"/>
      <c r="W31" s="15"/>
      <c r="X31" s="15"/>
      <c r="Y31" s="15"/>
      <c r="Z31" s="15"/>
    </row>
    <row r="32" ht="45.0" customHeight="1">
      <c r="A32" s="61" t="s">
        <v>2521</v>
      </c>
      <c r="B32" s="62" t="s">
        <v>2523</v>
      </c>
      <c r="C32" s="62" t="s">
        <v>2524</v>
      </c>
      <c r="D32" s="61" t="s">
        <v>2442</v>
      </c>
      <c r="E32" s="62" t="s">
        <v>2406</v>
      </c>
      <c r="F32" s="61" t="s">
        <v>2525</v>
      </c>
      <c r="G32" s="15"/>
      <c r="H32" s="15"/>
      <c r="I32" s="15"/>
      <c r="J32" s="15"/>
      <c r="K32" s="15"/>
      <c r="L32" s="15"/>
      <c r="M32" s="15"/>
      <c r="N32" s="15"/>
      <c r="O32" s="15"/>
      <c r="P32" s="15"/>
      <c r="Q32" s="15"/>
      <c r="R32" s="15"/>
      <c r="S32" s="15"/>
      <c r="T32" s="15"/>
      <c r="U32" s="15"/>
      <c r="V32" s="15"/>
      <c r="W32" s="15"/>
      <c r="X32" s="15"/>
      <c r="Y32" s="15"/>
      <c r="Z32" s="15"/>
    </row>
    <row r="33" ht="45.0" customHeight="1">
      <c r="A33" s="61" t="s">
        <v>2526</v>
      </c>
      <c r="B33" s="62" t="s">
        <v>2527</v>
      </c>
      <c r="C33" s="62" t="s">
        <v>2529</v>
      </c>
      <c r="D33" s="61" t="s">
        <v>2414</v>
      </c>
      <c r="E33" s="62" t="s">
        <v>2530</v>
      </c>
      <c r="F33" s="61" t="s">
        <v>2531</v>
      </c>
      <c r="G33" s="15"/>
      <c r="H33" s="15"/>
      <c r="I33" s="15"/>
      <c r="J33" s="15"/>
      <c r="K33" s="15"/>
      <c r="L33" s="15"/>
      <c r="M33" s="15"/>
      <c r="N33" s="15"/>
      <c r="O33" s="15"/>
      <c r="P33" s="15"/>
      <c r="Q33" s="15"/>
      <c r="R33" s="15"/>
      <c r="S33" s="15"/>
      <c r="T33" s="15"/>
      <c r="U33" s="15"/>
      <c r="V33" s="15"/>
      <c r="W33" s="15"/>
      <c r="X33" s="15"/>
      <c r="Y33" s="15"/>
      <c r="Z33" s="15"/>
    </row>
    <row r="34" ht="31.5" customHeight="1">
      <c r="A34" s="211" t="s">
        <v>2533</v>
      </c>
      <c r="B34" s="15"/>
      <c r="C34" s="15"/>
      <c r="D34" s="15"/>
      <c r="E34" s="15"/>
      <c r="F34" s="15"/>
      <c r="G34" s="15"/>
      <c r="H34" s="15"/>
      <c r="I34" s="15"/>
      <c r="J34" s="15"/>
      <c r="K34" s="15"/>
      <c r="L34" s="15"/>
      <c r="M34" s="15"/>
      <c r="N34" s="15"/>
      <c r="O34" s="15"/>
      <c r="P34" s="15"/>
      <c r="Q34" s="15"/>
      <c r="R34" s="15"/>
      <c r="S34" s="15"/>
      <c r="T34" s="15"/>
      <c r="U34" s="15"/>
      <c r="V34" s="15"/>
      <c r="W34" s="15"/>
      <c r="X34" s="15"/>
      <c r="Y34" s="15"/>
      <c r="Z34" s="15"/>
    </row>
    <row r="35" ht="31.5" customHeight="1">
      <c r="A35" s="238" t="s">
        <v>2536</v>
      </c>
      <c r="B35" s="238" t="s">
        <v>2537</v>
      </c>
      <c r="C35" s="238" t="s">
        <v>2538</v>
      </c>
      <c r="D35" s="239"/>
      <c r="E35" s="239"/>
      <c r="F35" s="239"/>
      <c r="G35" s="15"/>
      <c r="H35" s="15"/>
      <c r="I35" s="15"/>
      <c r="J35" s="15"/>
      <c r="K35" s="15"/>
      <c r="L35" s="15"/>
      <c r="M35" s="15"/>
      <c r="N35" s="15"/>
      <c r="O35" s="15"/>
      <c r="P35" s="15"/>
      <c r="Q35" s="15"/>
      <c r="R35" s="15"/>
      <c r="S35" s="15"/>
      <c r="T35" s="15"/>
      <c r="U35" s="15"/>
      <c r="V35" s="15"/>
      <c r="W35" s="15"/>
      <c r="X35" s="15"/>
      <c r="Y35" s="15"/>
      <c r="Z35" s="15"/>
    </row>
    <row r="36" ht="17.25" customHeight="1">
      <c r="A36" s="10" t="s">
        <v>2398</v>
      </c>
      <c r="B36" s="10" t="s">
        <v>2399</v>
      </c>
      <c r="C36" s="10" t="s">
        <v>2543</v>
      </c>
      <c r="D36" s="15"/>
      <c r="E36" s="15"/>
      <c r="F36" s="15"/>
      <c r="G36" s="15"/>
      <c r="H36" s="15"/>
      <c r="I36" s="15"/>
      <c r="J36" s="15"/>
      <c r="K36" s="15"/>
      <c r="L36" s="15"/>
      <c r="M36" s="15"/>
      <c r="N36" s="15"/>
      <c r="O36" s="15"/>
      <c r="P36" s="15"/>
      <c r="Q36" s="15"/>
      <c r="R36" s="15"/>
      <c r="S36" s="15"/>
      <c r="T36" s="15"/>
      <c r="U36" s="15"/>
      <c r="V36" s="15"/>
      <c r="W36" s="15"/>
      <c r="X36" s="15"/>
      <c r="Y36" s="15"/>
      <c r="Z36" s="15"/>
    </row>
    <row r="37" ht="31.5" customHeight="1">
      <c r="A37" s="46" t="s">
        <v>2544</v>
      </c>
      <c r="B37" s="44" t="s">
        <v>2546</v>
      </c>
      <c r="C37" s="46" t="s">
        <v>2548</v>
      </c>
      <c r="D37" s="15"/>
      <c r="E37" s="15"/>
      <c r="F37" s="15"/>
      <c r="G37" s="15"/>
      <c r="H37" s="15"/>
      <c r="I37" s="15"/>
      <c r="J37" s="15"/>
      <c r="K37" s="15"/>
      <c r="L37" s="15"/>
      <c r="M37" s="15"/>
      <c r="N37" s="15"/>
      <c r="O37" s="15"/>
      <c r="P37" s="15"/>
      <c r="Q37" s="15"/>
      <c r="R37" s="15"/>
      <c r="S37" s="15"/>
      <c r="T37" s="15"/>
      <c r="U37" s="15"/>
      <c r="V37" s="15"/>
      <c r="W37" s="15"/>
      <c r="X37" s="15"/>
      <c r="Y37" s="15"/>
      <c r="Z37" s="15"/>
    </row>
    <row r="38" ht="31.5" customHeight="1">
      <c r="A38" s="46" t="s">
        <v>2549</v>
      </c>
      <c r="B38" s="46" t="s">
        <v>2551</v>
      </c>
      <c r="C38" s="46" t="s">
        <v>2553</v>
      </c>
      <c r="D38" s="15"/>
      <c r="E38" s="15"/>
      <c r="F38" s="15"/>
      <c r="G38" s="15"/>
      <c r="H38" s="15"/>
      <c r="I38" s="15"/>
      <c r="J38" s="15"/>
      <c r="K38" s="15"/>
      <c r="L38" s="15"/>
      <c r="M38" s="15"/>
      <c r="N38" s="15"/>
      <c r="O38" s="15"/>
      <c r="P38" s="15"/>
      <c r="Q38" s="15"/>
      <c r="R38" s="15"/>
      <c r="S38" s="15"/>
      <c r="T38" s="15"/>
      <c r="U38" s="15"/>
      <c r="V38" s="15"/>
      <c r="W38" s="15"/>
      <c r="X38" s="15"/>
      <c r="Y38" s="15"/>
      <c r="Z38" s="15"/>
    </row>
    <row r="39" ht="17.25" customHeight="1">
      <c r="A39" s="46" t="s">
        <v>2554</v>
      </c>
      <c r="B39" s="44" t="s">
        <v>2555</v>
      </c>
      <c r="C39" s="44" t="s">
        <v>2557</v>
      </c>
      <c r="D39" s="15"/>
      <c r="E39" s="15"/>
      <c r="F39" s="15"/>
      <c r="G39" s="15"/>
      <c r="H39" s="15"/>
      <c r="I39" s="15"/>
      <c r="J39" s="15"/>
      <c r="K39" s="15"/>
      <c r="L39" s="15"/>
      <c r="M39" s="15"/>
      <c r="N39" s="15"/>
      <c r="O39" s="15"/>
      <c r="P39" s="15"/>
      <c r="Q39" s="15"/>
      <c r="R39" s="15"/>
      <c r="S39" s="15"/>
      <c r="T39" s="15"/>
      <c r="U39" s="15"/>
      <c r="V39" s="15"/>
      <c r="W39" s="15"/>
      <c r="X39" s="15"/>
      <c r="Y39" s="15"/>
      <c r="Z39" s="15"/>
    </row>
    <row r="40" ht="17.25" customHeight="1">
      <c r="A40" s="46" t="s">
        <v>2559</v>
      </c>
      <c r="B40" s="44" t="s">
        <v>2560</v>
      </c>
      <c r="C40" s="46" t="s">
        <v>2561</v>
      </c>
      <c r="D40" s="15"/>
      <c r="E40" s="15"/>
      <c r="F40" s="15"/>
      <c r="G40" s="15"/>
      <c r="H40" s="15"/>
      <c r="I40" s="15"/>
      <c r="J40" s="15"/>
      <c r="K40" s="15"/>
      <c r="L40" s="15"/>
      <c r="M40" s="15"/>
      <c r="N40" s="15"/>
      <c r="O40" s="15"/>
      <c r="P40" s="15"/>
      <c r="Q40" s="15"/>
      <c r="R40" s="15"/>
      <c r="S40" s="15"/>
      <c r="T40" s="15"/>
      <c r="U40" s="15"/>
      <c r="V40" s="15"/>
      <c r="W40" s="15"/>
      <c r="X40" s="15"/>
      <c r="Y40" s="15"/>
      <c r="Z40" s="15"/>
    </row>
    <row r="41" ht="17.25" customHeight="1">
      <c r="A41" s="44" t="s">
        <v>2563</v>
      </c>
      <c r="B41" s="44" t="s">
        <v>2564</v>
      </c>
      <c r="C41" s="46" t="s">
        <v>2565</v>
      </c>
      <c r="D41" s="15"/>
      <c r="E41" s="15"/>
      <c r="F41" s="15"/>
      <c r="G41" s="15"/>
      <c r="H41" s="15"/>
      <c r="I41" s="15"/>
      <c r="J41" s="15"/>
      <c r="K41" s="15"/>
      <c r="L41" s="15"/>
      <c r="M41" s="15"/>
      <c r="N41" s="15"/>
      <c r="O41" s="15"/>
      <c r="P41" s="15"/>
      <c r="Q41" s="15"/>
      <c r="R41" s="15"/>
      <c r="S41" s="15"/>
      <c r="T41" s="15"/>
      <c r="U41" s="15"/>
      <c r="V41" s="15"/>
      <c r="W41" s="15"/>
      <c r="X41" s="15"/>
      <c r="Y41" s="15"/>
      <c r="Z41" s="15"/>
    </row>
    <row r="42" ht="17.25" customHeight="1">
      <c r="A42" s="44" t="s">
        <v>2566</v>
      </c>
      <c r="B42" s="44" t="s">
        <v>2567</v>
      </c>
      <c r="C42" s="46" t="s">
        <v>2569</v>
      </c>
      <c r="D42" s="15"/>
      <c r="E42" s="15"/>
      <c r="F42" s="15"/>
      <c r="G42" s="15"/>
      <c r="H42" s="15"/>
      <c r="I42" s="15"/>
      <c r="J42" s="15"/>
      <c r="K42" s="15"/>
      <c r="L42" s="15"/>
      <c r="M42" s="15"/>
      <c r="N42" s="15"/>
      <c r="O42" s="15"/>
      <c r="P42" s="15"/>
      <c r="Q42" s="15"/>
      <c r="R42" s="15"/>
      <c r="S42" s="15"/>
      <c r="T42" s="15"/>
      <c r="U42" s="15"/>
      <c r="V42" s="15"/>
      <c r="W42" s="15"/>
      <c r="X42" s="15"/>
      <c r="Y42" s="15"/>
      <c r="Z42" s="15"/>
    </row>
    <row r="43" ht="17.25" customHeight="1">
      <c r="A43" s="44" t="s">
        <v>2570</v>
      </c>
      <c r="B43" s="46" t="s">
        <v>2571</v>
      </c>
      <c r="C43" s="46" t="s">
        <v>2572</v>
      </c>
      <c r="D43" s="15"/>
      <c r="E43" s="15"/>
      <c r="F43" s="15"/>
      <c r="G43" s="15"/>
      <c r="H43" s="15"/>
      <c r="I43" s="15"/>
      <c r="J43" s="15"/>
      <c r="K43" s="15"/>
      <c r="L43" s="15"/>
      <c r="M43" s="15"/>
      <c r="N43" s="15"/>
      <c r="O43" s="15"/>
      <c r="P43" s="15"/>
      <c r="Q43" s="15"/>
      <c r="R43" s="15"/>
      <c r="S43" s="15"/>
      <c r="T43" s="15"/>
      <c r="U43" s="15"/>
      <c r="V43" s="15"/>
      <c r="W43" s="15"/>
      <c r="X43" s="15"/>
      <c r="Y43" s="15"/>
      <c r="Z43" s="15"/>
    </row>
    <row r="44" ht="17.25" customHeight="1">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ht="17.25" customHeight="1">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ht="17.25" customHeight="1">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ht="17.2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ht="17.25" customHeight="1">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ht="17.25"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ht="17.25"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ht="17.25" customHeight="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ht="17.25"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ht="17.25"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ht="17.25"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ht="17.25" customHeight="1">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ht="17.25" customHeight="1">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ht="17.25" customHeight="1">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ht="17.25" customHeight="1">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ht="17.25" customHeight="1">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ht="17.25" customHeight="1">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ht="17.25" customHeight="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ht="17.25" customHeight="1">
      <c r="A62" s="18" t="s">
        <v>2596</v>
      </c>
      <c r="B62" s="18" t="s">
        <v>931</v>
      </c>
      <c r="C62" s="18" t="s">
        <v>2597</v>
      </c>
      <c r="D62" s="15"/>
      <c r="E62" s="15"/>
      <c r="F62" s="15"/>
      <c r="G62" s="15"/>
      <c r="H62" s="15"/>
      <c r="I62" s="15"/>
      <c r="J62" s="15"/>
      <c r="K62" s="15"/>
      <c r="L62" s="15"/>
      <c r="M62" s="15"/>
      <c r="N62" s="15"/>
      <c r="O62" s="15"/>
      <c r="P62" s="15"/>
      <c r="Q62" s="15"/>
      <c r="R62" s="15"/>
      <c r="S62" s="15"/>
      <c r="T62" s="15"/>
      <c r="U62" s="15"/>
      <c r="V62" s="15"/>
      <c r="W62" s="15"/>
      <c r="X62" s="15"/>
      <c r="Y62" s="15"/>
      <c r="Z62" s="15"/>
    </row>
    <row r="63" ht="31.5" customHeight="1">
      <c r="A63" s="18" t="s">
        <v>2600</v>
      </c>
      <c r="B63" s="18" t="s">
        <v>931</v>
      </c>
      <c r="C63" s="18" t="s">
        <v>2601</v>
      </c>
      <c r="D63" s="15"/>
      <c r="E63" s="15"/>
      <c r="F63" s="15"/>
      <c r="G63" s="15"/>
      <c r="H63" s="15"/>
      <c r="I63" s="15"/>
      <c r="J63" s="15"/>
      <c r="K63" s="15"/>
      <c r="L63" s="15"/>
      <c r="M63" s="15"/>
      <c r="N63" s="15"/>
      <c r="O63" s="15"/>
      <c r="P63" s="15"/>
      <c r="Q63" s="15"/>
      <c r="R63" s="15"/>
      <c r="S63" s="15"/>
      <c r="T63" s="15"/>
      <c r="U63" s="15"/>
      <c r="V63" s="15"/>
      <c r="W63" s="15"/>
      <c r="X63" s="15"/>
      <c r="Y63" s="15"/>
      <c r="Z63" s="15"/>
    </row>
    <row r="64" ht="31.5" customHeight="1">
      <c r="A64" s="18" t="s">
        <v>2604</v>
      </c>
      <c r="B64" s="18" t="s">
        <v>931</v>
      </c>
      <c r="C64" s="18" t="s">
        <v>2605</v>
      </c>
      <c r="D64" s="15"/>
      <c r="E64" s="15"/>
      <c r="F64" s="15"/>
      <c r="G64" s="15"/>
      <c r="H64" s="15"/>
      <c r="I64" s="15"/>
      <c r="J64" s="15"/>
      <c r="K64" s="15"/>
      <c r="L64" s="15"/>
      <c r="M64" s="15"/>
      <c r="N64" s="15"/>
      <c r="O64" s="15"/>
      <c r="P64" s="15"/>
      <c r="Q64" s="15"/>
      <c r="R64" s="15"/>
      <c r="S64" s="15"/>
      <c r="T64" s="15"/>
      <c r="U64" s="15"/>
      <c r="V64" s="15"/>
      <c r="W64" s="15"/>
      <c r="X64" s="15"/>
      <c r="Y64" s="15"/>
      <c r="Z64" s="15"/>
    </row>
    <row r="65" ht="17.25" customHeight="1">
      <c r="A65" s="18" t="s">
        <v>2606</v>
      </c>
      <c r="B65" s="18" t="s">
        <v>931</v>
      </c>
      <c r="C65" s="18" t="s">
        <v>2608</v>
      </c>
      <c r="D65" s="15"/>
      <c r="E65" s="15"/>
      <c r="F65" s="15"/>
      <c r="G65" s="15"/>
      <c r="H65" s="15"/>
      <c r="I65" s="15"/>
      <c r="J65" s="15"/>
      <c r="K65" s="15"/>
      <c r="L65" s="15"/>
      <c r="M65" s="15"/>
      <c r="N65" s="15"/>
      <c r="O65" s="15"/>
      <c r="P65" s="15"/>
      <c r="Q65" s="15"/>
      <c r="R65" s="15"/>
      <c r="S65" s="15"/>
      <c r="T65" s="15"/>
      <c r="U65" s="15"/>
      <c r="V65" s="15"/>
      <c r="W65" s="15"/>
      <c r="X65" s="15"/>
      <c r="Y65" s="15"/>
      <c r="Z65" s="15"/>
    </row>
    <row r="66" ht="17.25" customHeight="1">
      <c r="A66" s="18" t="s">
        <v>2610</v>
      </c>
      <c r="B66" s="18" t="s">
        <v>931</v>
      </c>
      <c r="C66" s="18" t="s">
        <v>2611</v>
      </c>
      <c r="D66" s="15"/>
      <c r="E66" s="15"/>
      <c r="F66" s="15"/>
      <c r="G66" s="15"/>
      <c r="H66" s="15"/>
      <c r="I66" s="15"/>
      <c r="J66" s="15"/>
      <c r="K66" s="15"/>
      <c r="L66" s="15"/>
      <c r="M66" s="15"/>
      <c r="N66" s="15"/>
      <c r="O66" s="15"/>
      <c r="P66" s="15"/>
      <c r="Q66" s="15"/>
      <c r="R66" s="15"/>
      <c r="S66" s="15"/>
      <c r="T66" s="15"/>
      <c r="U66" s="15"/>
      <c r="V66" s="15"/>
      <c r="W66" s="15"/>
      <c r="X66" s="15"/>
      <c r="Y66" s="15"/>
      <c r="Z66" s="15"/>
    </row>
    <row r="67" ht="45.0" customHeight="1">
      <c r="A67" s="32" t="s">
        <v>2614</v>
      </c>
      <c r="B67" s="32" t="s">
        <v>931</v>
      </c>
      <c r="C67" s="32" t="s">
        <v>2615</v>
      </c>
      <c r="D67" s="180"/>
      <c r="E67" s="15"/>
      <c r="F67" s="15"/>
      <c r="G67" s="15"/>
      <c r="H67" s="15"/>
      <c r="I67" s="15"/>
      <c r="J67" s="15"/>
      <c r="K67" s="15"/>
      <c r="L67" s="15"/>
      <c r="M67" s="15"/>
      <c r="N67" s="15"/>
      <c r="O67" s="15"/>
      <c r="P67" s="15"/>
      <c r="Q67" s="15"/>
      <c r="R67" s="15"/>
      <c r="S67" s="15"/>
      <c r="T67" s="15"/>
      <c r="U67" s="15"/>
      <c r="V67" s="15"/>
      <c r="W67" s="15"/>
      <c r="X67" s="15"/>
      <c r="Y67" s="15"/>
      <c r="Z67" s="15"/>
    </row>
    <row r="68" ht="17.25" customHeight="1">
      <c r="A68" s="18" t="s">
        <v>2618</v>
      </c>
      <c r="B68" s="18" t="s">
        <v>931</v>
      </c>
      <c r="C68" s="18" t="s">
        <v>2619</v>
      </c>
      <c r="D68" s="15"/>
      <c r="E68" s="15"/>
      <c r="F68" s="15"/>
      <c r="G68" s="15"/>
      <c r="H68" s="15"/>
      <c r="I68" s="15"/>
      <c r="J68" s="15"/>
      <c r="K68" s="15"/>
      <c r="L68" s="15"/>
      <c r="M68" s="15"/>
      <c r="N68" s="15"/>
      <c r="O68" s="15"/>
      <c r="P68" s="15"/>
      <c r="Q68" s="15"/>
      <c r="R68" s="15"/>
      <c r="S68" s="15"/>
      <c r="T68" s="15"/>
      <c r="U68" s="15"/>
      <c r="V68" s="15"/>
      <c r="W68" s="15"/>
      <c r="X68" s="15"/>
      <c r="Y68" s="15"/>
      <c r="Z68" s="15"/>
    </row>
    <row r="69" ht="17.25" customHeight="1">
      <c r="A69" s="18" t="s">
        <v>2622</v>
      </c>
      <c r="B69" s="18" t="s">
        <v>931</v>
      </c>
      <c r="C69" s="18" t="s">
        <v>2623</v>
      </c>
      <c r="D69" s="15"/>
      <c r="E69" s="15"/>
      <c r="F69" s="15"/>
      <c r="G69" s="15"/>
      <c r="H69" s="15"/>
      <c r="I69" s="15"/>
      <c r="J69" s="15"/>
      <c r="K69" s="15"/>
      <c r="L69" s="15"/>
      <c r="M69" s="15"/>
      <c r="N69" s="15"/>
      <c r="O69" s="15"/>
      <c r="P69" s="15"/>
      <c r="Q69" s="15"/>
      <c r="R69" s="15"/>
      <c r="S69" s="15"/>
      <c r="T69" s="15"/>
      <c r="U69" s="15"/>
      <c r="V69" s="15"/>
      <c r="W69" s="15"/>
      <c r="X69" s="15"/>
      <c r="Y69" s="15"/>
      <c r="Z69" s="15"/>
    </row>
    <row r="70" ht="45.0" customHeight="1">
      <c r="A70" s="18" t="s">
        <v>2625</v>
      </c>
      <c r="B70" s="18" t="s">
        <v>931</v>
      </c>
      <c r="C70" s="18" t="s">
        <v>2627</v>
      </c>
      <c r="D70" s="18"/>
      <c r="E70" s="18"/>
      <c r="F70" s="18"/>
      <c r="G70" s="15"/>
      <c r="H70" s="15"/>
      <c r="I70" s="15"/>
      <c r="J70" s="15"/>
      <c r="K70" s="15"/>
      <c r="L70" s="15"/>
      <c r="M70" s="15"/>
      <c r="N70" s="15"/>
      <c r="O70" s="15"/>
      <c r="P70" s="15"/>
      <c r="Q70" s="15"/>
      <c r="R70" s="15"/>
      <c r="S70" s="15"/>
      <c r="T70" s="15"/>
      <c r="U70" s="15"/>
      <c r="V70" s="15"/>
      <c r="W70" s="15"/>
      <c r="X70" s="15"/>
      <c r="Y70" s="15"/>
      <c r="Z70" s="15"/>
    </row>
    <row r="71" ht="15.75" customHeight="1">
      <c r="A71" s="84"/>
      <c r="B71" s="84"/>
      <c r="C71" s="84"/>
      <c r="D71" s="84"/>
      <c r="E71" s="84"/>
      <c r="F71" s="84"/>
      <c r="G71" s="84"/>
      <c r="H71" s="84"/>
      <c r="I71" s="84"/>
      <c r="J71" s="84"/>
      <c r="K71" s="84"/>
      <c r="L71" s="84"/>
      <c r="M71" s="84"/>
      <c r="N71" s="84"/>
      <c r="O71" s="84"/>
      <c r="P71" s="84"/>
      <c r="Q71" s="84"/>
      <c r="R71" s="84"/>
      <c r="S71" s="84"/>
      <c r="T71" s="84"/>
      <c r="U71" s="84"/>
      <c r="V71" s="84"/>
      <c r="W71" s="84"/>
      <c r="X71" s="84"/>
      <c r="Y71" s="84"/>
      <c r="Z71" s="84"/>
    </row>
    <row r="72" ht="15.75" customHeight="1">
      <c r="A72" s="84"/>
      <c r="B72" s="84"/>
      <c r="C72" s="84"/>
      <c r="D72" s="84"/>
      <c r="E72" s="84"/>
      <c r="F72" s="84"/>
      <c r="G72" s="84"/>
      <c r="H72" s="84"/>
      <c r="I72" s="84"/>
      <c r="J72" s="84"/>
      <c r="K72" s="84"/>
      <c r="L72" s="84"/>
      <c r="M72" s="84"/>
      <c r="N72" s="84"/>
      <c r="O72" s="84"/>
      <c r="P72" s="84"/>
      <c r="Q72" s="84"/>
      <c r="R72" s="84"/>
      <c r="S72" s="84"/>
      <c r="T72" s="84"/>
      <c r="U72" s="84"/>
      <c r="V72" s="84"/>
      <c r="W72" s="84"/>
      <c r="X72" s="84"/>
      <c r="Y72" s="84"/>
      <c r="Z72" s="84"/>
    </row>
    <row r="73" ht="15.75" customHeight="1">
      <c r="A73" s="84"/>
      <c r="B73" s="84"/>
      <c r="C73" s="84"/>
      <c r="D73" s="84"/>
      <c r="E73" s="84"/>
      <c r="F73" s="84"/>
      <c r="G73" s="84"/>
      <c r="H73" s="84"/>
      <c r="I73" s="84"/>
      <c r="J73" s="84"/>
      <c r="K73" s="84"/>
      <c r="L73" s="84"/>
      <c r="M73" s="84"/>
      <c r="N73" s="84"/>
      <c r="O73" s="84"/>
      <c r="P73" s="84"/>
      <c r="Q73" s="84"/>
      <c r="R73" s="84"/>
      <c r="S73" s="84"/>
      <c r="T73" s="84"/>
      <c r="U73" s="84"/>
      <c r="V73" s="84"/>
      <c r="W73" s="84"/>
      <c r="X73" s="84"/>
      <c r="Y73" s="84"/>
      <c r="Z73" s="84"/>
    </row>
    <row r="74" ht="15.75" customHeight="1">
      <c r="A74" s="84"/>
      <c r="B74" s="84"/>
      <c r="C74" s="84"/>
      <c r="D74" s="84"/>
      <c r="E74" s="84"/>
      <c r="F74" s="84"/>
      <c r="G74" s="84"/>
      <c r="H74" s="84"/>
      <c r="I74" s="84"/>
      <c r="J74" s="84"/>
      <c r="K74" s="84"/>
      <c r="L74" s="84"/>
      <c r="M74" s="84"/>
      <c r="N74" s="84"/>
      <c r="O74" s="84"/>
      <c r="P74" s="84"/>
      <c r="Q74" s="84"/>
      <c r="R74" s="84"/>
      <c r="S74" s="84"/>
      <c r="T74" s="84"/>
      <c r="U74" s="84"/>
      <c r="V74" s="84"/>
      <c r="W74" s="84"/>
      <c r="X74" s="84"/>
      <c r="Y74" s="84"/>
      <c r="Z74" s="84"/>
    </row>
    <row r="75" ht="15.75" customHeight="1">
      <c r="A75" s="84"/>
      <c r="B75" s="84"/>
      <c r="C75" s="84"/>
      <c r="D75" s="84"/>
      <c r="E75" s="84"/>
      <c r="F75" s="84"/>
      <c r="G75" s="84"/>
      <c r="H75" s="84"/>
      <c r="I75" s="84"/>
      <c r="J75" s="84"/>
      <c r="K75" s="84"/>
      <c r="L75" s="84"/>
      <c r="M75" s="84"/>
      <c r="N75" s="84"/>
      <c r="O75" s="84"/>
      <c r="P75" s="84"/>
      <c r="Q75" s="84"/>
      <c r="R75" s="84"/>
      <c r="S75" s="84"/>
      <c r="T75" s="84"/>
      <c r="U75" s="84"/>
      <c r="V75" s="84"/>
      <c r="W75" s="84"/>
      <c r="X75" s="84"/>
      <c r="Y75" s="84"/>
      <c r="Z75" s="84"/>
    </row>
    <row r="76" ht="15.75" customHeight="1">
      <c r="A76" s="84"/>
      <c r="B76" s="84"/>
      <c r="C76" s="84"/>
      <c r="D76" s="84"/>
      <c r="E76" s="84"/>
      <c r="F76" s="84"/>
      <c r="G76" s="84"/>
      <c r="H76" s="84"/>
      <c r="I76" s="84"/>
      <c r="J76" s="84"/>
      <c r="K76" s="84"/>
      <c r="L76" s="84"/>
      <c r="M76" s="84"/>
      <c r="N76" s="84"/>
      <c r="O76" s="84"/>
      <c r="P76" s="84"/>
      <c r="Q76" s="84"/>
      <c r="R76" s="84"/>
      <c r="S76" s="84"/>
      <c r="T76" s="84"/>
      <c r="U76" s="84"/>
      <c r="V76" s="84"/>
      <c r="W76" s="84"/>
      <c r="X76" s="84"/>
      <c r="Y76" s="84"/>
      <c r="Z76" s="84"/>
    </row>
    <row r="77" ht="15.75" customHeight="1">
      <c r="A77" s="84"/>
      <c r="B77" s="84"/>
      <c r="C77" s="84"/>
      <c r="D77" s="84"/>
      <c r="E77" s="84"/>
      <c r="F77" s="84"/>
      <c r="G77" s="84"/>
      <c r="H77" s="84"/>
      <c r="I77" s="84"/>
      <c r="J77" s="84"/>
      <c r="K77" s="84"/>
      <c r="L77" s="84"/>
      <c r="M77" s="84"/>
      <c r="N77" s="84"/>
      <c r="O77" s="84"/>
      <c r="P77" s="84"/>
      <c r="Q77" s="84"/>
      <c r="R77" s="84"/>
      <c r="S77" s="84"/>
      <c r="T77" s="84"/>
      <c r="U77" s="84"/>
      <c r="V77" s="84"/>
      <c r="W77" s="84"/>
      <c r="X77" s="84"/>
      <c r="Y77" s="84"/>
      <c r="Z77" s="84"/>
    </row>
    <row r="78" ht="15.75" customHeight="1">
      <c r="A78" s="84"/>
      <c r="B78" s="84"/>
      <c r="C78" s="84"/>
      <c r="D78" s="84"/>
      <c r="E78" s="84"/>
      <c r="F78" s="84"/>
      <c r="G78" s="84"/>
      <c r="H78" s="84"/>
      <c r="I78" s="84"/>
      <c r="J78" s="84"/>
      <c r="K78" s="84"/>
      <c r="L78" s="84"/>
      <c r="M78" s="84"/>
      <c r="N78" s="84"/>
      <c r="O78" s="84"/>
      <c r="P78" s="84"/>
      <c r="Q78" s="84"/>
      <c r="R78" s="84"/>
      <c r="S78" s="84"/>
      <c r="T78" s="84"/>
      <c r="U78" s="84"/>
      <c r="V78" s="84"/>
      <c r="W78" s="84"/>
      <c r="X78" s="84"/>
      <c r="Y78" s="84"/>
      <c r="Z78" s="84"/>
    </row>
    <row r="79" ht="15.75" customHeight="1">
      <c r="A79" s="84"/>
      <c r="B79" s="84"/>
      <c r="C79" s="84"/>
      <c r="D79" s="84"/>
      <c r="E79" s="84"/>
      <c r="F79" s="84"/>
      <c r="G79" s="84"/>
      <c r="H79" s="84"/>
      <c r="I79" s="84"/>
      <c r="J79" s="84"/>
      <c r="K79" s="84"/>
      <c r="L79" s="84"/>
      <c r="M79" s="84"/>
      <c r="N79" s="84"/>
      <c r="O79" s="84"/>
      <c r="P79" s="84"/>
      <c r="Q79" s="84"/>
      <c r="R79" s="84"/>
      <c r="S79" s="84"/>
      <c r="T79" s="84"/>
      <c r="U79" s="84"/>
      <c r="V79" s="84"/>
      <c r="W79" s="84"/>
      <c r="X79" s="84"/>
      <c r="Y79" s="84"/>
      <c r="Z79" s="84"/>
    </row>
    <row r="80" ht="15.75" customHeight="1">
      <c r="A80" s="84"/>
      <c r="B80" s="84"/>
      <c r="C80" s="84"/>
      <c r="D80" s="84"/>
      <c r="E80" s="84"/>
      <c r="F80" s="84"/>
      <c r="G80" s="84"/>
      <c r="H80" s="84"/>
      <c r="I80" s="84"/>
      <c r="J80" s="84"/>
      <c r="K80" s="84"/>
      <c r="L80" s="84"/>
      <c r="M80" s="84"/>
      <c r="N80" s="84"/>
      <c r="O80" s="84"/>
      <c r="P80" s="84"/>
      <c r="Q80" s="84"/>
      <c r="R80" s="84"/>
      <c r="S80" s="84"/>
      <c r="T80" s="84"/>
      <c r="U80" s="84"/>
      <c r="V80" s="84"/>
      <c r="W80" s="84"/>
      <c r="X80" s="84"/>
      <c r="Y80" s="84"/>
      <c r="Z80" s="84"/>
    </row>
    <row r="81" ht="15.75" customHeight="1">
      <c r="A81" s="84"/>
      <c r="B81" s="84"/>
      <c r="C81" s="84"/>
      <c r="D81" s="84"/>
      <c r="E81" s="84"/>
      <c r="F81" s="84"/>
      <c r="G81" s="84"/>
      <c r="H81" s="84"/>
      <c r="I81" s="84"/>
      <c r="J81" s="84"/>
      <c r="K81" s="84"/>
      <c r="L81" s="84"/>
      <c r="M81" s="84"/>
      <c r="N81" s="84"/>
      <c r="O81" s="84"/>
      <c r="P81" s="84"/>
      <c r="Q81" s="84"/>
      <c r="R81" s="84"/>
      <c r="S81" s="84"/>
      <c r="T81" s="84"/>
      <c r="U81" s="84"/>
      <c r="V81" s="84"/>
      <c r="W81" s="84"/>
      <c r="X81" s="84"/>
      <c r="Y81" s="84"/>
      <c r="Z81" s="84"/>
    </row>
    <row r="82" ht="15.75" customHeight="1">
      <c r="A82" s="84"/>
      <c r="B82" s="84"/>
      <c r="C82" s="84"/>
      <c r="D82" s="84"/>
      <c r="E82" s="84"/>
      <c r="F82" s="84"/>
      <c r="G82" s="84"/>
      <c r="H82" s="84"/>
      <c r="I82" s="84"/>
      <c r="J82" s="84"/>
      <c r="K82" s="84"/>
      <c r="L82" s="84"/>
      <c r="M82" s="84"/>
      <c r="N82" s="84"/>
      <c r="O82" s="84"/>
      <c r="P82" s="84"/>
      <c r="Q82" s="84"/>
      <c r="R82" s="84"/>
      <c r="S82" s="84"/>
      <c r="T82" s="84"/>
      <c r="U82" s="84"/>
      <c r="V82" s="84"/>
      <c r="W82" s="84"/>
      <c r="X82" s="84"/>
      <c r="Y82" s="84"/>
      <c r="Z82" s="84"/>
    </row>
    <row r="83" ht="15.75" customHeight="1">
      <c r="A83" s="84"/>
      <c r="B83" s="84"/>
      <c r="C83" s="84"/>
      <c r="D83" s="84"/>
      <c r="E83" s="84"/>
      <c r="F83" s="84"/>
      <c r="G83" s="84"/>
      <c r="H83" s="84"/>
      <c r="I83" s="84"/>
      <c r="J83" s="84"/>
      <c r="K83" s="84"/>
      <c r="L83" s="84"/>
      <c r="M83" s="84"/>
      <c r="N83" s="84"/>
      <c r="O83" s="84"/>
      <c r="P83" s="84"/>
      <c r="Q83" s="84"/>
      <c r="R83" s="84"/>
      <c r="S83" s="84"/>
      <c r="T83" s="84"/>
      <c r="U83" s="84"/>
      <c r="V83" s="84"/>
      <c r="W83" s="84"/>
      <c r="X83" s="84"/>
      <c r="Y83" s="84"/>
      <c r="Z83" s="84"/>
    </row>
    <row r="84" ht="15.75" customHeight="1">
      <c r="A84" s="84"/>
      <c r="B84" s="84"/>
      <c r="C84" s="84"/>
      <c r="D84" s="84"/>
      <c r="E84" s="84"/>
      <c r="F84" s="84"/>
      <c r="G84" s="84"/>
      <c r="H84" s="84"/>
      <c r="I84" s="84"/>
      <c r="J84" s="84"/>
      <c r="K84" s="84"/>
      <c r="L84" s="84"/>
      <c r="M84" s="84"/>
      <c r="N84" s="84"/>
      <c r="O84" s="84"/>
      <c r="P84" s="84"/>
      <c r="Q84" s="84"/>
      <c r="R84" s="84"/>
      <c r="S84" s="84"/>
      <c r="T84" s="84"/>
      <c r="U84" s="84"/>
      <c r="V84" s="84"/>
      <c r="W84" s="84"/>
      <c r="X84" s="84"/>
      <c r="Y84" s="84"/>
      <c r="Z84" s="84"/>
    </row>
    <row r="85" ht="15.75" customHeight="1">
      <c r="A85" s="84"/>
      <c r="B85" s="84"/>
      <c r="C85" s="84"/>
      <c r="D85" s="84"/>
      <c r="E85" s="84"/>
      <c r="F85" s="84"/>
      <c r="G85" s="84"/>
      <c r="H85" s="84"/>
      <c r="I85" s="84"/>
      <c r="J85" s="84"/>
      <c r="K85" s="84"/>
      <c r="L85" s="84"/>
      <c r="M85" s="84"/>
      <c r="N85" s="84"/>
      <c r="O85" s="84"/>
      <c r="P85" s="84"/>
      <c r="Q85" s="84"/>
      <c r="R85" s="84"/>
      <c r="S85" s="84"/>
      <c r="T85" s="84"/>
      <c r="U85" s="84"/>
      <c r="V85" s="84"/>
      <c r="W85" s="84"/>
      <c r="X85" s="84"/>
      <c r="Y85" s="84"/>
      <c r="Z85" s="84"/>
    </row>
    <row r="86" ht="15.75" customHeight="1">
      <c r="A86" s="84"/>
      <c r="B86" s="84"/>
      <c r="C86" s="84"/>
      <c r="D86" s="84"/>
      <c r="E86" s="84"/>
      <c r="F86" s="84"/>
      <c r="G86" s="84"/>
      <c r="H86" s="84"/>
      <c r="I86" s="84"/>
      <c r="J86" s="84"/>
      <c r="K86" s="84"/>
      <c r="L86" s="84"/>
      <c r="M86" s="84"/>
      <c r="N86" s="84"/>
      <c r="O86" s="84"/>
      <c r="P86" s="84"/>
      <c r="Q86" s="84"/>
      <c r="R86" s="84"/>
      <c r="S86" s="84"/>
      <c r="T86" s="84"/>
      <c r="U86" s="84"/>
      <c r="V86" s="84"/>
      <c r="W86" s="84"/>
      <c r="X86" s="84"/>
      <c r="Y86" s="84"/>
      <c r="Z86" s="84"/>
    </row>
    <row r="87" ht="15.75" customHeight="1">
      <c r="A87" s="84"/>
      <c r="B87" s="84"/>
      <c r="C87" s="84"/>
      <c r="D87" s="84"/>
      <c r="E87" s="84"/>
      <c r="F87" s="84"/>
      <c r="G87" s="84"/>
      <c r="H87" s="84"/>
      <c r="I87" s="84"/>
      <c r="J87" s="84"/>
      <c r="K87" s="84"/>
      <c r="L87" s="84"/>
      <c r="M87" s="84"/>
      <c r="N87" s="84"/>
      <c r="O87" s="84"/>
      <c r="P87" s="84"/>
      <c r="Q87" s="84"/>
      <c r="R87" s="84"/>
      <c r="S87" s="84"/>
      <c r="T87" s="84"/>
      <c r="U87" s="84"/>
      <c r="V87" s="84"/>
      <c r="W87" s="84"/>
      <c r="X87" s="84"/>
      <c r="Y87" s="84"/>
      <c r="Z87" s="84"/>
    </row>
    <row r="88" ht="15.75" customHeight="1">
      <c r="A88" s="84"/>
      <c r="B88" s="84"/>
      <c r="C88" s="84"/>
      <c r="D88" s="84"/>
      <c r="E88" s="84"/>
      <c r="F88" s="84"/>
      <c r="G88" s="84"/>
      <c r="H88" s="84"/>
      <c r="I88" s="84"/>
      <c r="J88" s="84"/>
      <c r="K88" s="84"/>
      <c r="L88" s="84"/>
      <c r="M88" s="84"/>
      <c r="N88" s="84"/>
      <c r="O88" s="84"/>
      <c r="P88" s="84"/>
      <c r="Q88" s="84"/>
      <c r="R88" s="84"/>
      <c r="S88" s="84"/>
      <c r="T88" s="84"/>
      <c r="U88" s="84"/>
      <c r="V88" s="84"/>
      <c r="W88" s="84"/>
      <c r="X88" s="84"/>
      <c r="Y88" s="84"/>
      <c r="Z88" s="84"/>
    </row>
    <row r="89" ht="15.75" customHeight="1">
      <c r="A89" s="84"/>
      <c r="B89" s="84"/>
      <c r="C89" s="84"/>
      <c r="D89" s="84"/>
      <c r="E89" s="84"/>
      <c r="F89" s="84"/>
      <c r="G89" s="84"/>
      <c r="H89" s="84"/>
      <c r="I89" s="84"/>
      <c r="J89" s="84"/>
      <c r="K89" s="84"/>
      <c r="L89" s="84"/>
      <c r="M89" s="84"/>
      <c r="N89" s="84"/>
      <c r="O89" s="84"/>
      <c r="P89" s="84"/>
      <c r="Q89" s="84"/>
      <c r="R89" s="84"/>
      <c r="S89" s="84"/>
      <c r="T89" s="84"/>
      <c r="U89" s="84"/>
      <c r="V89" s="84"/>
      <c r="W89" s="84"/>
      <c r="X89" s="84"/>
      <c r="Y89" s="84"/>
      <c r="Z89" s="84"/>
    </row>
    <row r="90" ht="15.75" customHeight="1">
      <c r="A90" s="84"/>
      <c r="B90" s="84"/>
      <c r="C90" s="84"/>
      <c r="D90" s="84"/>
      <c r="E90" s="84"/>
      <c r="F90" s="84"/>
      <c r="G90" s="84"/>
      <c r="H90" s="84"/>
      <c r="I90" s="84"/>
      <c r="J90" s="84"/>
      <c r="K90" s="84"/>
      <c r="L90" s="84"/>
      <c r="M90" s="84"/>
      <c r="N90" s="84"/>
      <c r="O90" s="84"/>
      <c r="P90" s="84"/>
      <c r="Q90" s="84"/>
      <c r="R90" s="84"/>
      <c r="S90" s="84"/>
      <c r="T90" s="84"/>
      <c r="U90" s="84"/>
      <c r="V90" s="84"/>
      <c r="W90" s="84"/>
      <c r="X90" s="84"/>
      <c r="Y90" s="84"/>
      <c r="Z90" s="84"/>
    </row>
    <row r="91" ht="15.75" customHeight="1">
      <c r="A91" s="84"/>
      <c r="B91" s="84"/>
      <c r="C91" s="84"/>
      <c r="D91" s="84"/>
      <c r="E91" s="84"/>
      <c r="F91" s="84"/>
      <c r="G91" s="84"/>
      <c r="H91" s="84"/>
      <c r="I91" s="84"/>
      <c r="J91" s="84"/>
      <c r="K91" s="84"/>
      <c r="L91" s="84"/>
      <c r="M91" s="84"/>
      <c r="N91" s="84"/>
      <c r="O91" s="84"/>
      <c r="P91" s="84"/>
      <c r="Q91" s="84"/>
      <c r="R91" s="84"/>
      <c r="S91" s="84"/>
      <c r="T91" s="84"/>
      <c r="U91" s="84"/>
      <c r="V91" s="84"/>
      <c r="W91" s="84"/>
      <c r="X91" s="84"/>
      <c r="Y91" s="84"/>
      <c r="Z91" s="84"/>
    </row>
    <row r="92" ht="15.75" customHeight="1">
      <c r="A92" s="84"/>
      <c r="B92" s="84"/>
      <c r="C92" s="84"/>
      <c r="D92" s="84"/>
      <c r="E92" s="84"/>
      <c r="F92" s="84"/>
      <c r="G92" s="84"/>
      <c r="H92" s="84"/>
      <c r="I92" s="84"/>
      <c r="J92" s="84"/>
      <c r="K92" s="84"/>
      <c r="L92" s="84"/>
      <c r="M92" s="84"/>
      <c r="N92" s="84"/>
      <c r="O92" s="84"/>
      <c r="P92" s="84"/>
      <c r="Q92" s="84"/>
      <c r="R92" s="84"/>
      <c r="S92" s="84"/>
      <c r="T92" s="84"/>
      <c r="U92" s="84"/>
      <c r="V92" s="84"/>
      <c r="W92" s="84"/>
      <c r="X92" s="84"/>
      <c r="Y92" s="84"/>
      <c r="Z92" s="84"/>
    </row>
    <row r="93" ht="15.75" customHeight="1">
      <c r="A93" s="84"/>
      <c r="B93" s="84"/>
      <c r="C93" s="84"/>
      <c r="D93" s="84"/>
      <c r="E93" s="84"/>
      <c r="F93" s="84"/>
      <c r="G93" s="84"/>
      <c r="H93" s="84"/>
      <c r="I93" s="84"/>
      <c r="J93" s="84"/>
      <c r="K93" s="84"/>
      <c r="L93" s="84"/>
      <c r="M93" s="84"/>
      <c r="N93" s="84"/>
      <c r="O93" s="84"/>
      <c r="P93" s="84"/>
      <c r="Q93" s="84"/>
      <c r="R93" s="84"/>
      <c r="S93" s="84"/>
      <c r="T93" s="84"/>
      <c r="U93" s="84"/>
      <c r="V93" s="84"/>
      <c r="W93" s="84"/>
      <c r="X93" s="84"/>
      <c r="Y93" s="84"/>
      <c r="Z93" s="84"/>
    </row>
    <row r="94" ht="15.75" customHeight="1">
      <c r="A94" s="84"/>
      <c r="B94" s="84"/>
      <c r="C94" s="84"/>
      <c r="D94" s="84"/>
      <c r="E94" s="84"/>
      <c r="F94" s="84"/>
      <c r="G94" s="84"/>
      <c r="H94" s="84"/>
      <c r="I94" s="84"/>
      <c r="J94" s="84"/>
      <c r="K94" s="84"/>
      <c r="L94" s="84"/>
      <c r="M94" s="84"/>
      <c r="N94" s="84"/>
      <c r="O94" s="84"/>
      <c r="P94" s="84"/>
      <c r="Q94" s="84"/>
      <c r="R94" s="84"/>
      <c r="S94" s="84"/>
      <c r="T94" s="84"/>
      <c r="U94" s="84"/>
      <c r="V94" s="84"/>
      <c r="W94" s="84"/>
      <c r="X94" s="84"/>
      <c r="Y94" s="84"/>
      <c r="Z94" s="84"/>
    </row>
    <row r="95" ht="15.75" customHeight="1">
      <c r="A95" s="84"/>
      <c r="B95" s="84"/>
      <c r="C95" s="84"/>
      <c r="D95" s="84"/>
      <c r="E95" s="84"/>
      <c r="F95" s="84"/>
      <c r="G95" s="84"/>
      <c r="H95" s="84"/>
      <c r="I95" s="84"/>
      <c r="J95" s="84"/>
      <c r="K95" s="84"/>
      <c r="L95" s="84"/>
      <c r="M95" s="84"/>
      <c r="N95" s="84"/>
      <c r="O95" s="84"/>
      <c r="P95" s="84"/>
      <c r="Q95" s="84"/>
      <c r="R95" s="84"/>
      <c r="S95" s="84"/>
      <c r="T95" s="84"/>
      <c r="U95" s="84"/>
      <c r="V95" s="84"/>
      <c r="W95" s="84"/>
      <c r="X95" s="84"/>
      <c r="Y95" s="84"/>
      <c r="Z95" s="84"/>
    </row>
    <row r="96" ht="15.75" customHeight="1">
      <c r="A96" s="84"/>
      <c r="B96" s="84"/>
      <c r="C96" s="84"/>
      <c r="D96" s="84"/>
      <c r="E96" s="84"/>
      <c r="F96" s="84"/>
      <c r="G96" s="84"/>
      <c r="H96" s="84"/>
      <c r="I96" s="84"/>
      <c r="J96" s="84"/>
      <c r="K96" s="84"/>
      <c r="L96" s="84"/>
      <c r="M96" s="84"/>
      <c r="N96" s="84"/>
      <c r="O96" s="84"/>
      <c r="P96" s="84"/>
      <c r="Q96" s="84"/>
      <c r="R96" s="84"/>
      <c r="S96" s="84"/>
      <c r="T96" s="84"/>
      <c r="U96" s="84"/>
      <c r="V96" s="84"/>
      <c r="W96" s="84"/>
      <c r="X96" s="84"/>
      <c r="Y96" s="84"/>
      <c r="Z96" s="84"/>
    </row>
    <row r="97" ht="15.75" customHeight="1">
      <c r="A97" s="84"/>
      <c r="B97" s="84"/>
      <c r="C97" s="84"/>
      <c r="D97" s="84"/>
      <c r="E97" s="84"/>
      <c r="F97" s="84"/>
      <c r="G97" s="84"/>
      <c r="H97" s="84"/>
      <c r="I97" s="84"/>
      <c r="J97" s="84"/>
      <c r="K97" s="84"/>
      <c r="L97" s="84"/>
      <c r="M97" s="84"/>
      <c r="N97" s="84"/>
      <c r="O97" s="84"/>
      <c r="P97" s="84"/>
      <c r="Q97" s="84"/>
      <c r="R97" s="84"/>
      <c r="S97" s="84"/>
      <c r="T97" s="84"/>
      <c r="U97" s="84"/>
      <c r="V97" s="84"/>
      <c r="W97" s="84"/>
      <c r="X97" s="84"/>
      <c r="Y97" s="84"/>
      <c r="Z97" s="84"/>
    </row>
    <row r="98" ht="15.75" customHeight="1">
      <c r="A98" s="84"/>
      <c r="B98" s="84"/>
      <c r="C98" s="84"/>
      <c r="D98" s="84"/>
      <c r="E98" s="84"/>
      <c r="F98" s="84"/>
      <c r="G98" s="84"/>
      <c r="H98" s="84"/>
      <c r="I98" s="84"/>
      <c r="J98" s="84"/>
      <c r="K98" s="84"/>
      <c r="L98" s="84"/>
      <c r="M98" s="84"/>
      <c r="N98" s="84"/>
      <c r="O98" s="84"/>
      <c r="P98" s="84"/>
      <c r="Q98" s="84"/>
      <c r="R98" s="84"/>
      <c r="S98" s="84"/>
      <c r="T98" s="84"/>
      <c r="U98" s="84"/>
      <c r="V98" s="84"/>
      <c r="W98" s="84"/>
      <c r="X98" s="84"/>
      <c r="Y98" s="84"/>
      <c r="Z98" s="84"/>
    </row>
    <row r="99" ht="15.75" customHeight="1">
      <c r="A99" s="84"/>
      <c r="B99" s="84"/>
      <c r="C99" s="84"/>
      <c r="D99" s="84"/>
      <c r="E99" s="84"/>
      <c r="F99" s="84"/>
      <c r="G99" s="84"/>
      <c r="H99" s="84"/>
      <c r="I99" s="84"/>
      <c r="J99" s="84"/>
      <c r="K99" s="84"/>
      <c r="L99" s="84"/>
      <c r="M99" s="84"/>
      <c r="N99" s="84"/>
      <c r="O99" s="84"/>
      <c r="P99" s="84"/>
      <c r="Q99" s="84"/>
      <c r="R99" s="84"/>
      <c r="S99" s="84"/>
      <c r="T99" s="84"/>
      <c r="U99" s="84"/>
      <c r="V99" s="84"/>
      <c r="W99" s="84"/>
      <c r="X99" s="84"/>
      <c r="Y99" s="84"/>
      <c r="Z99" s="84"/>
    </row>
    <row r="100" ht="15.75" customHeight="1">
      <c r="A100" s="84"/>
      <c r="B100" s="84"/>
      <c r="C100" s="84"/>
      <c r="D100" s="84"/>
      <c r="E100" s="84"/>
      <c r="F100" s="84"/>
      <c r="G100" s="84"/>
      <c r="H100" s="84"/>
      <c r="I100" s="84"/>
      <c r="J100" s="84"/>
      <c r="K100" s="84"/>
      <c r="L100" s="84"/>
      <c r="M100" s="84"/>
      <c r="N100" s="84"/>
      <c r="O100" s="84"/>
      <c r="P100" s="84"/>
      <c r="Q100" s="84"/>
      <c r="R100" s="84"/>
      <c r="S100" s="84"/>
      <c r="T100" s="84"/>
      <c r="U100" s="84"/>
      <c r="V100" s="84"/>
      <c r="W100" s="84"/>
      <c r="X100" s="84"/>
      <c r="Y100" s="84"/>
      <c r="Z100" s="84"/>
    </row>
    <row r="101" ht="15.75" customHeight="1">
      <c r="A101" s="84"/>
      <c r="B101" s="84"/>
      <c r="C101" s="84"/>
      <c r="D101" s="84"/>
      <c r="E101" s="84"/>
      <c r="F101" s="84"/>
      <c r="G101" s="84"/>
      <c r="H101" s="84"/>
      <c r="I101" s="84"/>
      <c r="J101" s="84"/>
      <c r="K101" s="84"/>
      <c r="L101" s="84"/>
      <c r="M101" s="84"/>
      <c r="N101" s="84"/>
      <c r="O101" s="84"/>
      <c r="P101" s="84"/>
      <c r="Q101" s="84"/>
      <c r="R101" s="84"/>
      <c r="S101" s="84"/>
      <c r="T101" s="84"/>
      <c r="U101" s="84"/>
      <c r="V101" s="84"/>
      <c r="W101" s="84"/>
      <c r="X101" s="84"/>
      <c r="Y101" s="84"/>
      <c r="Z101" s="84"/>
    </row>
    <row r="102" ht="15.75" customHeight="1">
      <c r="A102" s="84"/>
      <c r="B102" s="84"/>
      <c r="C102" s="84"/>
      <c r="D102" s="84"/>
      <c r="E102" s="84"/>
      <c r="F102" s="84"/>
      <c r="G102" s="84"/>
      <c r="H102" s="84"/>
      <c r="I102" s="84"/>
      <c r="J102" s="84"/>
      <c r="K102" s="84"/>
      <c r="L102" s="84"/>
      <c r="M102" s="84"/>
      <c r="N102" s="84"/>
      <c r="O102" s="84"/>
      <c r="P102" s="84"/>
      <c r="Q102" s="84"/>
      <c r="R102" s="84"/>
      <c r="S102" s="84"/>
      <c r="T102" s="84"/>
      <c r="U102" s="84"/>
      <c r="V102" s="84"/>
      <c r="W102" s="84"/>
      <c r="X102" s="84"/>
      <c r="Y102" s="84"/>
      <c r="Z102" s="84"/>
    </row>
    <row r="103" ht="15.75" customHeight="1">
      <c r="A103" s="84"/>
      <c r="B103" s="84"/>
      <c r="C103" s="84"/>
      <c r="D103" s="84"/>
      <c r="E103" s="84"/>
      <c r="F103" s="84"/>
      <c r="G103" s="84"/>
      <c r="H103" s="84"/>
      <c r="I103" s="84"/>
      <c r="J103" s="84"/>
      <c r="K103" s="84"/>
      <c r="L103" s="84"/>
      <c r="M103" s="84"/>
      <c r="N103" s="84"/>
      <c r="O103" s="84"/>
      <c r="P103" s="84"/>
      <c r="Q103" s="84"/>
      <c r="R103" s="84"/>
      <c r="S103" s="84"/>
      <c r="T103" s="84"/>
      <c r="U103" s="84"/>
      <c r="V103" s="84"/>
      <c r="W103" s="84"/>
      <c r="X103" s="84"/>
      <c r="Y103" s="84"/>
      <c r="Z103" s="84"/>
    </row>
    <row r="104" ht="15.75" customHeight="1">
      <c r="A104" s="84"/>
      <c r="B104" s="84"/>
      <c r="C104" s="84"/>
      <c r="D104" s="84"/>
      <c r="E104" s="84"/>
      <c r="F104" s="84"/>
      <c r="G104" s="84"/>
      <c r="H104" s="84"/>
      <c r="I104" s="84"/>
      <c r="J104" s="84"/>
      <c r="K104" s="84"/>
      <c r="L104" s="84"/>
      <c r="M104" s="84"/>
      <c r="N104" s="84"/>
      <c r="O104" s="84"/>
      <c r="P104" s="84"/>
      <c r="Q104" s="84"/>
      <c r="R104" s="84"/>
      <c r="S104" s="84"/>
      <c r="T104" s="84"/>
      <c r="U104" s="84"/>
      <c r="V104" s="84"/>
      <c r="W104" s="84"/>
      <c r="X104" s="84"/>
      <c r="Y104" s="84"/>
      <c r="Z104" s="84"/>
    </row>
    <row r="105" ht="15.75" customHeight="1">
      <c r="A105" s="84"/>
      <c r="B105" s="84"/>
      <c r="C105" s="84"/>
      <c r="D105" s="84"/>
      <c r="E105" s="84"/>
      <c r="F105" s="84"/>
      <c r="G105" s="84"/>
      <c r="H105" s="84"/>
      <c r="I105" s="84"/>
      <c r="J105" s="84"/>
      <c r="K105" s="84"/>
      <c r="L105" s="84"/>
      <c r="M105" s="84"/>
      <c r="N105" s="84"/>
      <c r="O105" s="84"/>
      <c r="P105" s="84"/>
      <c r="Q105" s="84"/>
      <c r="R105" s="84"/>
      <c r="S105" s="84"/>
      <c r="T105" s="84"/>
      <c r="U105" s="84"/>
      <c r="V105" s="84"/>
      <c r="W105" s="84"/>
      <c r="X105" s="84"/>
      <c r="Y105" s="84"/>
      <c r="Z105" s="84"/>
    </row>
    <row r="106" ht="15.75" customHeight="1">
      <c r="A106" s="84"/>
      <c r="B106" s="84"/>
      <c r="C106" s="84"/>
      <c r="D106" s="84"/>
      <c r="E106" s="84"/>
      <c r="F106" s="84"/>
      <c r="G106" s="84"/>
      <c r="H106" s="84"/>
      <c r="I106" s="84"/>
      <c r="J106" s="84"/>
      <c r="K106" s="84"/>
      <c r="L106" s="84"/>
      <c r="M106" s="84"/>
      <c r="N106" s="84"/>
      <c r="O106" s="84"/>
      <c r="P106" s="84"/>
      <c r="Q106" s="84"/>
      <c r="R106" s="84"/>
      <c r="S106" s="84"/>
      <c r="T106" s="84"/>
      <c r="U106" s="84"/>
      <c r="V106" s="84"/>
      <c r="W106" s="84"/>
      <c r="X106" s="84"/>
      <c r="Y106" s="84"/>
      <c r="Z106" s="84"/>
    </row>
    <row r="107" ht="15.75" customHeight="1">
      <c r="A107" s="84"/>
      <c r="B107" s="84"/>
      <c r="C107" s="84"/>
      <c r="D107" s="84"/>
      <c r="E107" s="84"/>
      <c r="F107" s="84"/>
      <c r="G107" s="84"/>
      <c r="H107" s="84"/>
      <c r="I107" s="84"/>
      <c r="J107" s="84"/>
      <c r="K107" s="84"/>
      <c r="L107" s="84"/>
      <c r="M107" s="84"/>
      <c r="N107" s="84"/>
      <c r="O107" s="84"/>
      <c r="P107" s="84"/>
      <c r="Q107" s="84"/>
      <c r="R107" s="84"/>
      <c r="S107" s="84"/>
      <c r="T107" s="84"/>
      <c r="U107" s="84"/>
      <c r="V107" s="84"/>
      <c r="W107" s="84"/>
      <c r="X107" s="84"/>
      <c r="Y107" s="84"/>
      <c r="Z107" s="84"/>
    </row>
    <row r="108" ht="15.75" customHeight="1">
      <c r="A108" s="84"/>
      <c r="B108" s="84"/>
      <c r="C108" s="84"/>
      <c r="D108" s="84"/>
      <c r="E108" s="84"/>
      <c r="F108" s="84"/>
      <c r="G108" s="84"/>
      <c r="H108" s="84"/>
      <c r="I108" s="84"/>
      <c r="J108" s="84"/>
      <c r="K108" s="84"/>
      <c r="L108" s="84"/>
      <c r="M108" s="84"/>
      <c r="N108" s="84"/>
      <c r="O108" s="84"/>
      <c r="P108" s="84"/>
      <c r="Q108" s="84"/>
      <c r="R108" s="84"/>
      <c r="S108" s="84"/>
      <c r="T108" s="84"/>
      <c r="U108" s="84"/>
      <c r="V108" s="84"/>
      <c r="W108" s="84"/>
      <c r="X108" s="84"/>
      <c r="Y108" s="84"/>
      <c r="Z108" s="84"/>
    </row>
    <row r="109" ht="15.75" customHeight="1">
      <c r="A109" s="84"/>
      <c r="B109" s="84"/>
      <c r="C109" s="84"/>
      <c r="D109" s="84"/>
      <c r="E109" s="84"/>
      <c r="F109" s="84"/>
      <c r="G109" s="84"/>
      <c r="H109" s="84"/>
      <c r="I109" s="84"/>
      <c r="J109" s="84"/>
      <c r="K109" s="84"/>
      <c r="L109" s="84"/>
      <c r="M109" s="84"/>
      <c r="N109" s="84"/>
      <c r="O109" s="84"/>
      <c r="P109" s="84"/>
      <c r="Q109" s="84"/>
      <c r="R109" s="84"/>
      <c r="S109" s="84"/>
      <c r="T109" s="84"/>
      <c r="U109" s="84"/>
      <c r="V109" s="84"/>
      <c r="W109" s="84"/>
      <c r="X109" s="84"/>
      <c r="Y109" s="84"/>
      <c r="Z109" s="84"/>
    </row>
    <row r="110" ht="15.75" customHeight="1">
      <c r="A110" s="84"/>
      <c r="B110" s="84"/>
      <c r="C110" s="84"/>
      <c r="D110" s="84"/>
      <c r="E110" s="84"/>
      <c r="F110" s="84"/>
      <c r="G110" s="84"/>
      <c r="H110" s="84"/>
      <c r="I110" s="84"/>
      <c r="J110" s="84"/>
      <c r="K110" s="84"/>
      <c r="L110" s="84"/>
      <c r="M110" s="84"/>
      <c r="N110" s="84"/>
      <c r="O110" s="84"/>
      <c r="P110" s="84"/>
      <c r="Q110" s="84"/>
      <c r="R110" s="84"/>
      <c r="S110" s="84"/>
      <c r="T110" s="84"/>
      <c r="U110" s="84"/>
      <c r="V110" s="84"/>
      <c r="W110" s="84"/>
      <c r="X110" s="84"/>
      <c r="Y110" s="84"/>
      <c r="Z110" s="84"/>
    </row>
    <row r="111" ht="15.75" customHeight="1">
      <c r="A111" s="84"/>
      <c r="B111" s="84"/>
      <c r="C111" s="84"/>
      <c r="D111" s="84"/>
      <c r="E111" s="84"/>
      <c r="F111" s="84"/>
      <c r="G111" s="84"/>
      <c r="H111" s="84"/>
      <c r="I111" s="84"/>
      <c r="J111" s="84"/>
      <c r="K111" s="84"/>
      <c r="L111" s="84"/>
      <c r="M111" s="84"/>
      <c r="N111" s="84"/>
      <c r="O111" s="84"/>
      <c r="P111" s="84"/>
      <c r="Q111" s="84"/>
      <c r="R111" s="84"/>
      <c r="S111" s="84"/>
      <c r="T111" s="84"/>
      <c r="U111" s="84"/>
      <c r="V111" s="84"/>
      <c r="W111" s="84"/>
      <c r="X111" s="84"/>
      <c r="Y111" s="84"/>
      <c r="Z111" s="84"/>
    </row>
    <row r="112" ht="15.75" customHeight="1">
      <c r="A112" s="84"/>
      <c r="B112" s="84"/>
      <c r="C112" s="84"/>
      <c r="D112" s="84"/>
      <c r="E112" s="84"/>
      <c r="F112" s="84"/>
      <c r="G112" s="84"/>
      <c r="H112" s="84"/>
      <c r="I112" s="84"/>
      <c r="J112" s="84"/>
      <c r="K112" s="84"/>
      <c r="L112" s="84"/>
      <c r="M112" s="84"/>
      <c r="N112" s="84"/>
      <c r="O112" s="84"/>
      <c r="P112" s="84"/>
      <c r="Q112" s="84"/>
      <c r="R112" s="84"/>
      <c r="S112" s="84"/>
      <c r="T112" s="84"/>
      <c r="U112" s="84"/>
      <c r="V112" s="84"/>
      <c r="W112" s="84"/>
      <c r="X112" s="84"/>
      <c r="Y112" s="84"/>
      <c r="Z112" s="84"/>
    </row>
    <row r="113" ht="15.75" customHeight="1">
      <c r="A113" s="84"/>
      <c r="B113" s="84"/>
      <c r="C113" s="84"/>
      <c r="D113" s="84"/>
      <c r="E113" s="84"/>
      <c r="F113" s="84"/>
      <c r="G113" s="84"/>
      <c r="H113" s="84"/>
      <c r="I113" s="84"/>
      <c r="J113" s="84"/>
      <c r="K113" s="84"/>
      <c r="L113" s="84"/>
      <c r="M113" s="84"/>
      <c r="N113" s="84"/>
      <c r="O113" s="84"/>
      <c r="P113" s="84"/>
      <c r="Q113" s="84"/>
      <c r="R113" s="84"/>
      <c r="S113" s="84"/>
      <c r="T113" s="84"/>
      <c r="U113" s="84"/>
      <c r="V113" s="84"/>
      <c r="W113" s="84"/>
      <c r="X113" s="84"/>
      <c r="Y113" s="84"/>
      <c r="Z113" s="84"/>
    </row>
    <row r="114" ht="15.75" customHeight="1">
      <c r="A114" s="84"/>
      <c r="B114" s="84"/>
      <c r="C114" s="84"/>
      <c r="D114" s="84"/>
      <c r="E114" s="84"/>
      <c r="F114" s="84"/>
      <c r="G114" s="84"/>
      <c r="H114" s="84"/>
      <c r="I114" s="84"/>
      <c r="J114" s="84"/>
      <c r="K114" s="84"/>
      <c r="L114" s="84"/>
      <c r="M114" s="84"/>
      <c r="N114" s="84"/>
      <c r="O114" s="84"/>
      <c r="P114" s="84"/>
      <c r="Q114" s="84"/>
      <c r="R114" s="84"/>
      <c r="S114" s="84"/>
      <c r="T114" s="84"/>
      <c r="U114" s="84"/>
      <c r="V114" s="84"/>
      <c r="W114" s="84"/>
      <c r="X114" s="84"/>
      <c r="Y114" s="84"/>
      <c r="Z114" s="84"/>
    </row>
    <row r="115" ht="15.75" customHeight="1">
      <c r="A115" s="84"/>
      <c r="B115" s="84"/>
      <c r="C115" s="84"/>
      <c r="D115" s="84"/>
      <c r="E115" s="84"/>
      <c r="F115" s="84"/>
      <c r="G115" s="84"/>
      <c r="H115" s="84"/>
      <c r="I115" s="84"/>
      <c r="J115" s="84"/>
      <c r="K115" s="84"/>
      <c r="L115" s="84"/>
      <c r="M115" s="84"/>
      <c r="N115" s="84"/>
      <c r="O115" s="84"/>
      <c r="P115" s="84"/>
      <c r="Q115" s="84"/>
      <c r="R115" s="84"/>
      <c r="S115" s="84"/>
      <c r="T115" s="84"/>
      <c r="U115" s="84"/>
      <c r="V115" s="84"/>
      <c r="W115" s="84"/>
      <c r="X115" s="84"/>
      <c r="Y115" s="84"/>
      <c r="Z115" s="84"/>
    </row>
    <row r="116" ht="15.75" customHeight="1">
      <c r="A116" s="84"/>
      <c r="B116" s="84"/>
      <c r="C116" s="84"/>
      <c r="D116" s="84"/>
      <c r="E116" s="84"/>
      <c r="F116" s="84"/>
      <c r="G116" s="84"/>
      <c r="H116" s="84"/>
      <c r="I116" s="84"/>
      <c r="J116" s="84"/>
      <c r="K116" s="84"/>
      <c r="L116" s="84"/>
      <c r="M116" s="84"/>
      <c r="N116" s="84"/>
      <c r="O116" s="84"/>
      <c r="P116" s="84"/>
      <c r="Q116" s="84"/>
      <c r="R116" s="84"/>
      <c r="S116" s="84"/>
      <c r="T116" s="84"/>
      <c r="U116" s="84"/>
      <c r="V116" s="84"/>
      <c r="W116" s="84"/>
      <c r="X116" s="84"/>
      <c r="Y116" s="84"/>
      <c r="Z116" s="84"/>
    </row>
    <row r="117" ht="15.75" customHeight="1">
      <c r="A117" s="84"/>
      <c r="B117" s="84"/>
      <c r="C117" s="84"/>
      <c r="D117" s="84"/>
      <c r="E117" s="84"/>
      <c r="F117" s="84"/>
      <c r="G117" s="84"/>
      <c r="H117" s="84"/>
      <c r="I117" s="84"/>
      <c r="J117" s="84"/>
      <c r="K117" s="84"/>
      <c r="L117" s="84"/>
      <c r="M117" s="84"/>
      <c r="N117" s="84"/>
      <c r="O117" s="84"/>
      <c r="P117" s="84"/>
      <c r="Q117" s="84"/>
      <c r="R117" s="84"/>
      <c r="S117" s="84"/>
      <c r="T117" s="84"/>
      <c r="U117" s="84"/>
      <c r="V117" s="84"/>
      <c r="W117" s="84"/>
      <c r="X117" s="84"/>
      <c r="Y117" s="84"/>
      <c r="Z117" s="84"/>
    </row>
    <row r="118" ht="15.75" customHeight="1">
      <c r="A118" s="84"/>
      <c r="B118" s="84"/>
      <c r="C118" s="84"/>
      <c r="D118" s="84"/>
      <c r="E118" s="84"/>
      <c r="F118" s="84"/>
      <c r="G118" s="84"/>
      <c r="H118" s="84"/>
      <c r="I118" s="84"/>
      <c r="J118" s="84"/>
      <c r="K118" s="84"/>
      <c r="L118" s="84"/>
      <c r="M118" s="84"/>
      <c r="N118" s="84"/>
      <c r="O118" s="84"/>
      <c r="P118" s="84"/>
      <c r="Q118" s="84"/>
      <c r="R118" s="84"/>
      <c r="S118" s="84"/>
      <c r="T118" s="84"/>
      <c r="U118" s="84"/>
      <c r="V118" s="84"/>
      <c r="W118" s="84"/>
      <c r="X118" s="84"/>
      <c r="Y118" s="84"/>
      <c r="Z118" s="84"/>
    </row>
    <row r="119" ht="15.75" customHeight="1">
      <c r="A119" s="84"/>
      <c r="B119" s="84"/>
      <c r="C119" s="84"/>
      <c r="D119" s="84"/>
      <c r="E119" s="84"/>
      <c r="F119" s="84"/>
      <c r="G119" s="84"/>
      <c r="H119" s="84"/>
      <c r="I119" s="84"/>
      <c r="J119" s="84"/>
      <c r="K119" s="84"/>
      <c r="L119" s="84"/>
      <c r="M119" s="84"/>
      <c r="N119" s="84"/>
      <c r="O119" s="84"/>
      <c r="P119" s="84"/>
      <c r="Q119" s="84"/>
      <c r="R119" s="84"/>
      <c r="S119" s="84"/>
      <c r="T119" s="84"/>
      <c r="U119" s="84"/>
      <c r="V119" s="84"/>
      <c r="W119" s="84"/>
      <c r="X119" s="84"/>
      <c r="Y119" s="84"/>
      <c r="Z119" s="84"/>
    </row>
    <row r="120" ht="15.75" customHeight="1">
      <c r="A120" s="84"/>
      <c r="B120" s="84"/>
      <c r="C120" s="84"/>
      <c r="D120" s="84"/>
      <c r="E120" s="84"/>
      <c r="F120" s="84"/>
      <c r="G120" s="84"/>
      <c r="H120" s="84"/>
      <c r="I120" s="84"/>
      <c r="J120" s="84"/>
      <c r="K120" s="84"/>
      <c r="L120" s="84"/>
      <c r="M120" s="84"/>
      <c r="N120" s="84"/>
      <c r="O120" s="84"/>
      <c r="P120" s="84"/>
      <c r="Q120" s="84"/>
      <c r="R120" s="84"/>
      <c r="S120" s="84"/>
      <c r="T120" s="84"/>
      <c r="U120" s="84"/>
      <c r="V120" s="84"/>
      <c r="W120" s="84"/>
      <c r="X120" s="84"/>
      <c r="Y120" s="84"/>
      <c r="Z120" s="84"/>
    </row>
    <row r="121" ht="15.75" customHeight="1">
      <c r="A121" s="84"/>
      <c r="B121" s="84"/>
      <c r="C121" s="84"/>
      <c r="D121" s="84"/>
      <c r="E121" s="84"/>
      <c r="F121" s="84"/>
      <c r="G121" s="84"/>
      <c r="H121" s="84"/>
      <c r="I121" s="84"/>
      <c r="J121" s="84"/>
      <c r="K121" s="84"/>
      <c r="L121" s="84"/>
      <c r="M121" s="84"/>
      <c r="N121" s="84"/>
      <c r="O121" s="84"/>
      <c r="P121" s="84"/>
      <c r="Q121" s="84"/>
      <c r="R121" s="84"/>
      <c r="S121" s="84"/>
      <c r="T121" s="84"/>
      <c r="U121" s="84"/>
      <c r="V121" s="84"/>
      <c r="W121" s="84"/>
      <c r="X121" s="84"/>
      <c r="Y121" s="84"/>
      <c r="Z121" s="84"/>
    </row>
    <row r="122" ht="15.75" customHeight="1">
      <c r="A122" s="84"/>
      <c r="B122" s="84"/>
      <c r="C122" s="84"/>
      <c r="D122" s="84"/>
      <c r="E122" s="84"/>
      <c r="F122" s="84"/>
      <c r="G122" s="84"/>
      <c r="H122" s="84"/>
      <c r="I122" s="84"/>
      <c r="J122" s="84"/>
      <c r="K122" s="84"/>
      <c r="L122" s="84"/>
      <c r="M122" s="84"/>
      <c r="N122" s="84"/>
      <c r="O122" s="84"/>
      <c r="P122" s="84"/>
      <c r="Q122" s="84"/>
      <c r="R122" s="84"/>
      <c r="S122" s="84"/>
      <c r="T122" s="84"/>
      <c r="U122" s="84"/>
      <c r="V122" s="84"/>
      <c r="W122" s="84"/>
      <c r="X122" s="84"/>
      <c r="Y122" s="84"/>
      <c r="Z122" s="84"/>
    </row>
    <row r="123" ht="15.75" customHeight="1">
      <c r="A123" s="84"/>
      <c r="B123" s="84"/>
      <c r="C123" s="84"/>
      <c r="D123" s="84"/>
      <c r="E123" s="84"/>
      <c r="F123" s="84"/>
      <c r="G123" s="84"/>
      <c r="H123" s="84"/>
      <c r="I123" s="84"/>
      <c r="J123" s="84"/>
      <c r="K123" s="84"/>
      <c r="L123" s="84"/>
      <c r="M123" s="84"/>
      <c r="N123" s="84"/>
      <c r="O123" s="84"/>
      <c r="P123" s="84"/>
      <c r="Q123" s="84"/>
      <c r="R123" s="84"/>
      <c r="S123" s="84"/>
      <c r="T123" s="84"/>
      <c r="U123" s="84"/>
      <c r="V123" s="84"/>
      <c r="W123" s="84"/>
      <c r="X123" s="84"/>
      <c r="Y123" s="84"/>
      <c r="Z123" s="84"/>
    </row>
    <row r="124" ht="15.75" customHeight="1">
      <c r="A124" s="84"/>
      <c r="B124" s="84"/>
      <c r="C124" s="84"/>
      <c r="D124" s="84"/>
      <c r="E124" s="84"/>
      <c r="F124" s="84"/>
      <c r="G124" s="84"/>
      <c r="H124" s="84"/>
      <c r="I124" s="84"/>
      <c r="J124" s="84"/>
      <c r="K124" s="84"/>
      <c r="L124" s="84"/>
      <c r="M124" s="84"/>
      <c r="N124" s="84"/>
      <c r="O124" s="84"/>
      <c r="P124" s="84"/>
      <c r="Q124" s="84"/>
      <c r="R124" s="84"/>
      <c r="S124" s="84"/>
      <c r="T124" s="84"/>
      <c r="U124" s="84"/>
      <c r="V124" s="84"/>
      <c r="W124" s="84"/>
      <c r="X124" s="84"/>
      <c r="Y124" s="84"/>
      <c r="Z124" s="84"/>
    </row>
    <row r="125" ht="15.75" customHeight="1">
      <c r="A125" s="84"/>
      <c r="B125" s="84"/>
      <c r="C125" s="84"/>
      <c r="D125" s="84"/>
      <c r="E125" s="84"/>
      <c r="F125" s="84"/>
      <c r="G125" s="84"/>
      <c r="H125" s="84"/>
      <c r="I125" s="84"/>
      <c r="J125" s="84"/>
      <c r="K125" s="84"/>
      <c r="L125" s="84"/>
      <c r="M125" s="84"/>
      <c r="N125" s="84"/>
      <c r="O125" s="84"/>
      <c r="P125" s="84"/>
      <c r="Q125" s="84"/>
      <c r="R125" s="84"/>
      <c r="S125" s="84"/>
      <c r="T125" s="84"/>
      <c r="U125" s="84"/>
      <c r="V125" s="84"/>
      <c r="W125" s="84"/>
      <c r="X125" s="84"/>
      <c r="Y125" s="84"/>
      <c r="Z125" s="84"/>
    </row>
    <row r="126" ht="15.75" customHeight="1">
      <c r="A126" s="84"/>
      <c r="B126" s="84"/>
      <c r="C126" s="84"/>
      <c r="D126" s="84"/>
      <c r="E126" s="84"/>
      <c r="F126" s="84"/>
      <c r="G126" s="84"/>
      <c r="H126" s="84"/>
      <c r="I126" s="84"/>
      <c r="J126" s="84"/>
      <c r="K126" s="84"/>
      <c r="L126" s="84"/>
      <c r="M126" s="84"/>
      <c r="N126" s="84"/>
      <c r="O126" s="84"/>
      <c r="P126" s="84"/>
      <c r="Q126" s="84"/>
      <c r="R126" s="84"/>
      <c r="S126" s="84"/>
      <c r="T126" s="84"/>
      <c r="U126" s="84"/>
      <c r="V126" s="84"/>
      <c r="W126" s="84"/>
      <c r="X126" s="84"/>
      <c r="Y126" s="84"/>
      <c r="Z126" s="84"/>
    </row>
    <row r="127" ht="15.75" customHeight="1">
      <c r="A127" s="84"/>
      <c r="B127" s="84"/>
      <c r="C127" s="84"/>
      <c r="D127" s="84"/>
      <c r="E127" s="84"/>
      <c r="F127" s="84"/>
      <c r="G127" s="84"/>
      <c r="H127" s="84"/>
      <c r="I127" s="84"/>
      <c r="J127" s="84"/>
      <c r="K127" s="84"/>
      <c r="L127" s="84"/>
      <c r="M127" s="84"/>
      <c r="N127" s="84"/>
      <c r="O127" s="84"/>
      <c r="P127" s="84"/>
      <c r="Q127" s="84"/>
      <c r="R127" s="84"/>
      <c r="S127" s="84"/>
      <c r="T127" s="84"/>
      <c r="U127" s="84"/>
      <c r="V127" s="84"/>
      <c r="W127" s="84"/>
      <c r="X127" s="84"/>
      <c r="Y127" s="84"/>
      <c r="Z127" s="84"/>
    </row>
    <row r="128" ht="15.75" customHeight="1">
      <c r="A128" s="84"/>
      <c r="B128" s="84"/>
      <c r="C128" s="84"/>
      <c r="D128" s="84"/>
      <c r="E128" s="84"/>
      <c r="F128" s="84"/>
      <c r="G128" s="84"/>
      <c r="H128" s="84"/>
      <c r="I128" s="84"/>
      <c r="J128" s="84"/>
      <c r="K128" s="84"/>
      <c r="L128" s="84"/>
      <c r="M128" s="84"/>
      <c r="N128" s="84"/>
      <c r="O128" s="84"/>
      <c r="P128" s="84"/>
      <c r="Q128" s="84"/>
      <c r="R128" s="84"/>
      <c r="S128" s="84"/>
      <c r="T128" s="84"/>
      <c r="U128" s="84"/>
      <c r="V128" s="84"/>
      <c r="W128" s="84"/>
      <c r="X128" s="84"/>
      <c r="Y128" s="84"/>
      <c r="Z128" s="84"/>
    </row>
    <row r="129" ht="15.75" customHeight="1">
      <c r="A129" s="84"/>
      <c r="B129" s="84"/>
      <c r="C129" s="84"/>
      <c r="D129" s="84"/>
      <c r="E129" s="84"/>
      <c r="F129" s="84"/>
      <c r="G129" s="84"/>
      <c r="H129" s="84"/>
      <c r="I129" s="84"/>
      <c r="J129" s="84"/>
      <c r="K129" s="84"/>
      <c r="L129" s="84"/>
      <c r="M129" s="84"/>
      <c r="N129" s="84"/>
      <c r="O129" s="84"/>
      <c r="P129" s="84"/>
      <c r="Q129" s="84"/>
      <c r="R129" s="84"/>
      <c r="S129" s="84"/>
      <c r="T129" s="84"/>
      <c r="U129" s="84"/>
      <c r="V129" s="84"/>
      <c r="W129" s="84"/>
      <c r="X129" s="84"/>
      <c r="Y129" s="84"/>
      <c r="Z129" s="84"/>
    </row>
    <row r="130" ht="15.75" customHeight="1">
      <c r="A130" s="84"/>
      <c r="B130" s="84"/>
      <c r="C130" s="84"/>
      <c r="D130" s="84"/>
      <c r="E130" s="84"/>
      <c r="F130" s="84"/>
      <c r="G130" s="84"/>
      <c r="H130" s="84"/>
      <c r="I130" s="84"/>
      <c r="J130" s="84"/>
      <c r="K130" s="84"/>
      <c r="L130" s="84"/>
      <c r="M130" s="84"/>
      <c r="N130" s="84"/>
      <c r="O130" s="84"/>
      <c r="P130" s="84"/>
      <c r="Q130" s="84"/>
      <c r="R130" s="84"/>
      <c r="S130" s="84"/>
      <c r="T130" s="84"/>
      <c r="U130" s="84"/>
      <c r="V130" s="84"/>
      <c r="W130" s="84"/>
      <c r="X130" s="84"/>
      <c r="Y130" s="84"/>
      <c r="Z130" s="84"/>
    </row>
    <row r="131" ht="15.75" customHeight="1">
      <c r="A131" s="84"/>
      <c r="B131" s="84"/>
      <c r="C131" s="84"/>
      <c r="D131" s="84"/>
      <c r="E131" s="84"/>
      <c r="F131" s="84"/>
      <c r="G131" s="84"/>
      <c r="H131" s="84"/>
      <c r="I131" s="84"/>
      <c r="J131" s="84"/>
      <c r="K131" s="84"/>
      <c r="L131" s="84"/>
      <c r="M131" s="84"/>
      <c r="N131" s="84"/>
      <c r="O131" s="84"/>
      <c r="P131" s="84"/>
      <c r="Q131" s="84"/>
      <c r="R131" s="84"/>
      <c r="S131" s="84"/>
      <c r="T131" s="84"/>
      <c r="U131" s="84"/>
      <c r="V131" s="84"/>
      <c r="W131" s="84"/>
      <c r="X131" s="84"/>
      <c r="Y131" s="84"/>
      <c r="Z131" s="84"/>
    </row>
    <row r="132" ht="15.75" customHeight="1">
      <c r="A132" s="84"/>
      <c r="B132" s="84"/>
      <c r="C132" s="84"/>
      <c r="D132" s="84"/>
      <c r="E132" s="84"/>
      <c r="F132" s="84"/>
      <c r="G132" s="84"/>
      <c r="H132" s="84"/>
      <c r="I132" s="84"/>
      <c r="J132" s="84"/>
      <c r="K132" s="84"/>
      <c r="L132" s="84"/>
      <c r="M132" s="84"/>
      <c r="N132" s="84"/>
      <c r="O132" s="84"/>
      <c r="P132" s="84"/>
      <c r="Q132" s="84"/>
      <c r="R132" s="84"/>
      <c r="S132" s="84"/>
      <c r="T132" s="84"/>
      <c r="U132" s="84"/>
      <c r="V132" s="84"/>
      <c r="W132" s="84"/>
      <c r="X132" s="84"/>
      <c r="Y132" s="84"/>
      <c r="Z132" s="84"/>
    </row>
    <row r="133" ht="15.75" customHeight="1">
      <c r="A133" s="84"/>
      <c r="B133" s="84"/>
      <c r="C133" s="84"/>
      <c r="D133" s="84"/>
      <c r="E133" s="84"/>
      <c r="F133" s="84"/>
      <c r="G133" s="84"/>
      <c r="H133" s="84"/>
      <c r="I133" s="84"/>
      <c r="J133" s="84"/>
      <c r="K133" s="84"/>
      <c r="L133" s="84"/>
      <c r="M133" s="84"/>
      <c r="N133" s="84"/>
      <c r="O133" s="84"/>
      <c r="P133" s="84"/>
      <c r="Q133" s="84"/>
      <c r="R133" s="84"/>
      <c r="S133" s="84"/>
      <c r="T133" s="84"/>
      <c r="U133" s="84"/>
      <c r="V133" s="84"/>
      <c r="W133" s="84"/>
      <c r="X133" s="84"/>
      <c r="Y133" s="84"/>
      <c r="Z133" s="84"/>
    </row>
    <row r="134" ht="15.75" customHeight="1">
      <c r="A134" s="84"/>
      <c r="B134" s="84"/>
      <c r="C134" s="84"/>
      <c r="D134" s="84"/>
      <c r="E134" s="84"/>
      <c r="F134" s="84"/>
      <c r="G134" s="84"/>
      <c r="H134" s="84"/>
      <c r="I134" s="84"/>
      <c r="J134" s="84"/>
      <c r="K134" s="84"/>
      <c r="L134" s="84"/>
      <c r="M134" s="84"/>
      <c r="N134" s="84"/>
      <c r="O134" s="84"/>
      <c r="P134" s="84"/>
      <c r="Q134" s="84"/>
      <c r="R134" s="84"/>
      <c r="S134" s="84"/>
      <c r="T134" s="84"/>
      <c r="U134" s="84"/>
      <c r="V134" s="84"/>
      <c r="W134" s="84"/>
      <c r="X134" s="84"/>
      <c r="Y134" s="84"/>
      <c r="Z134" s="84"/>
    </row>
    <row r="135" ht="15.75" customHeight="1">
      <c r="A135" s="84"/>
      <c r="B135" s="84"/>
      <c r="C135" s="84"/>
      <c r="D135" s="84"/>
      <c r="E135" s="84"/>
      <c r="F135" s="84"/>
      <c r="G135" s="84"/>
      <c r="H135" s="84"/>
      <c r="I135" s="84"/>
      <c r="J135" s="84"/>
      <c r="K135" s="84"/>
      <c r="L135" s="84"/>
      <c r="M135" s="84"/>
      <c r="N135" s="84"/>
      <c r="O135" s="84"/>
      <c r="P135" s="84"/>
      <c r="Q135" s="84"/>
      <c r="R135" s="84"/>
      <c r="S135" s="84"/>
      <c r="T135" s="84"/>
      <c r="U135" s="84"/>
      <c r="V135" s="84"/>
      <c r="W135" s="84"/>
      <c r="X135" s="84"/>
      <c r="Y135" s="84"/>
      <c r="Z135" s="84"/>
    </row>
    <row r="136" ht="15.75" customHeight="1">
      <c r="A136" s="84"/>
      <c r="B136" s="84"/>
      <c r="C136" s="84"/>
      <c r="D136" s="84"/>
      <c r="E136" s="84"/>
      <c r="F136" s="84"/>
      <c r="G136" s="84"/>
      <c r="H136" s="84"/>
      <c r="I136" s="84"/>
      <c r="J136" s="84"/>
      <c r="K136" s="84"/>
      <c r="L136" s="84"/>
      <c r="M136" s="84"/>
      <c r="N136" s="84"/>
      <c r="O136" s="84"/>
      <c r="P136" s="84"/>
      <c r="Q136" s="84"/>
      <c r="R136" s="84"/>
      <c r="S136" s="84"/>
      <c r="T136" s="84"/>
      <c r="U136" s="84"/>
      <c r="V136" s="84"/>
      <c r="W136" s="84"/>
      <c r="X136" s="84"/>
      <c r="Y136" s="84"/>
      <c r="Z136" s="84"/>
    </row>
    <row r="137" ht="15.75" customHeight="1">
      <c r="A137" s="84"/>
      <c r="B137" s="84"/>
      <c r="C137" s="84"/>
      <c r="D137" s="84"/>
      <c r="E137" s="84"/>
      <c r="F137" s="84"/>
      <c r="G137" s="84"/>
      <c r="H137" s="84"/>
      <c r="I137" s="84"/>
      <c r="J137" s="84"/>
      <c r="K137" s="84"/>
      <c r="L137" s="84"/>
      <c r="M137" s="84"/>
      <c r="N137" s="84"/>
      <c r="O137" s="84"/>
      <c r="P137" s="84"/>
      <c r="Q137" s="84"/>
      <c r="R137" s="84"/>
      <c r="S137" s="84"/>
      <c r="T137" s="84"/>
      <c r="U137" s="84"/>
      <c r="V137" s="84"/>
      <c r="W137" s="84"/>
      <c r="X137" s="84"/>
      <c r="Y137" s="84"/>
      <c r="Z137" s="84"/>
    </row>
    <row r="138" ht="15.75" customHeight="1">
      <c r="A138" s="84"/>
      <c r="B138" s="84"/>
      <c r="C138" s="84"/>
      <c r="D138" s="84"/>
      <c r="E138" s="84"/>
      <c r="F138" s="84"/>
      <c r="G138" s="84"/>
      <c r="H138" s="84"/>
      <c r="I138" s="84"/>
      <c r="J138" s="84"/>
      <c r="K138" s="84"/>
      <c r="L138" s="84"/>
      <c r="M138" s="84"/>
      <c r="N138" s="84"/>
      <c r="O138" s="84"/>
      <c r="P138" s="84"/>
      <c r="Q138" s="84"/>
      <c r="R138" s="84"/>
      <c r="S138" s="84"/>
      <c r="T138" s="84"/>
      <c r="U138" s="84"/>
      <c r="V138" s="84"/>
      <c r="W138" s="84"/>
      <c r="X138" s="84"/>
      <c r="Y138" s="84"/>
      <c r="Z138" s="84"/>
    </row>
    <row r="139" ht="15.75" customHeight="1">
      <c r="A139" s="84"/>
      <c r="B139" s="84"/>
      <c r="C139" s="84"/>
      <c r="D139" s="84"/>
      <c r="E139" s="84"/>
      <c r="F139" s="84"/>
      <c r="G139" s="84"/>
      <c r="H139" s="84"/>
      <c r="I139" s="84"/>
      <c r="J139" s="84"/>
      <c r="K139" s="84"/>
      <c r="L139" s="84"/>
      <c r="M139" s="84"/>
      <c r="N139" s="84"/>
      <c r="O139" s="84"/>
      <c r="P139" s="84"/>
      <c r="Q139" s="84"/>
      <c r="R139" s="84"/>
      <c r="S139" s="84"/>
      <c r="T139" s="84"/>
      <c r="U139" s="84"/>
      <c r="V139" s="84"/>
      <c r="W139" s="84"/>
      <c r="X139" s="84"/>
      <c r="Y139" s="84"/>
      <c r="Z139" s="84"/>
    </row>
    <row r="140" ht="15.75" customHeight="1">
      <c r="A140" s="84"/>
      <c r="B140" s="84"/>
      <c r="C140" s="84"/>
      <c r="D140" s="84"/>
      <c r="E140" s="84"/>
      <c r="F140" s="84"/>
      <c r="G140" s="84"/>
      <c r="H140" s="84"/>
      <c r="I140" s="84"/>
      <c r="J140" s="84"/>
      <c r="K140" s="84"/>
      <c r="L140" s="84"/>
      <c r="M140" s="84"/>
      <c r="N140" s="84"/>
      <c r="O140" s="84"/>
      <c r="P140" s="84"/>
      <c r="Q140" s="84"/>
      <c r="R140" s="84"/>
      <c r="S140" s="84"/>
      <c r="T140" s="84"/>
      <c r="U140" s="84"/>
      <c r="V140" s="84"/>
      <c r="W140" s="84"/>
      <c r="X140" s="84"/>
      <c r="Y140" s="84"/>
      <c r="Z140" s="84"/>
    </row>
    <row r="141" ht="15.75" customHeight="1">
      <c r="A141" s="84"/>
      <c r="B141" s="84"/>
      <c r="C141" s="84"/>
      <c r="D141" s="84"/>
      <c r="E141" s="84"/>
      <c r="F141" s="84"/>
      <c r="G141" s="84"/>
      <c r="H141" s="84"/>
      <c r="I141" s="84"/>
      <c r="J141" s="84"/>
      <c r="K141" s="84"/>
      <c r="L141" s="84"/>
      <c r="M141" s="84"/>
      <c r="N141" s="84"/>
      <c r="O141" s="84"/>
      <c r="P141" s="84"/>
      <c r="Q141" s="84"/>
      <c r="R141" s="84"/>
      <c r="S141" s="84"/>
      <c r="T141" s="84"/>
      <c r="U141" s="84"/>
      <c r="V141" s="84"/>
      <c r="W141" s="84"/>
      <c r="X141" s="84"/>
      <c r="Y141" s="84"/>
      <c r="Z141" s="84"/>
    </row>
    <row r="142" ht="15.75" customHeight="1">
      <c r="A142" s="84"/>
      <c r="B142" s="84"/>
      <c r="C142" s="84"/>
      <c r="D142" s="84"/>
      <c r="E142" s="84"/>
      <c r="F142" s="84"/>
      <c r="G142" s="84"/>
      <c r="H142" s="84"/>
      <c r="I142" s="84"/>
      <c r="J142" s="84"/>
      <c r="K142" s="84"/>
      <c r="L142" s="84"/>
      <c r="M142" s="84"/>
      <c r="N142" s="84"/>
      <c r="O142" s="84"/>
      <c r="P142" s="84"/>
      <c r="Q142" s="84"/>
      <c r="R142" s="84"/>
      <c r="S142" s="84"/>
      <c r="T142" s="84"/>
      <c r="U142" s="84"/>
      <c r="V142" s="84"/>
      <c r="W142" s="84"/>
      <c r="X142" s="84"/>
      <c r="Y142" s="84"/>
      <c r="Z142" s="84"/>
    </row>
    <row r="143" ht="15.75" customHeight="1">
      <c r="A143" s="84"/>
      <c r="B143" s="84"/>
      <c r="C143" s="84"/>
      <c r="D143" s="84"/>
      <c r="E143" s="84"/>
      <c r="F143" s="84"/>
      <c r="G143" s="84"/>
      <c r="H143" s="84"/>
      <c r="I143" s="84"/>
      <c r="J143" s="84"/>
      <c r="K143" s="84"/>
      <c r="L143" s="84"/>
      <c r="M143" s="84"/>
      <c r="N143" s="84"/>
      <c r="O143" s="84"/>
      <c r="P143" s="84"/>
      <c r="Q143" s="84"/>
      <c r="R143" s="84"/>
      <c r="S143" s="84"/>
      <c r="T143" s="84"/>
      <c r="U143" s="84"/>
      <c r="V143" s="84"/>
      <c r="W143" s="84"/>
      <c r="X143" s="84"/>
      <c r="Y143" s="84"/>
      <c r="Z143" s="84"/>
    </row>
    <row r="144" ht="15.75" customHeight="1">
      <c r="A144" s="84"/>
      <c r="B144" s="84"/>
      <c r="C144" s="84"/>
      <c r="D144" s="84"/>
      <c r="E144" s="84"/>
      <c r="F144" s="84"/>
      <c r="G144" s="84"/>
      <c r="H144" s="84"/>
      <c r="I144" s="84"/>
      <c r="J144" s="84"/>
      <c r="K144" s="84"/>
      <c r="L144" s="84"/>
      <c r="M144" s="84"/>
      <c r="N144" s="84"/>
      <c r="O144" s="84"/>
      <c r="P144" s="84"/>
      <c r="Q144" s="84"/>
      <c r="R144" s="84"/>
      <c r="S144" s="84"/>
      <c r="T144" s="84"/>
      <c r="U144" s="84"/>
      <c r="V144" s="84"/>
      <c r="W144" s="84"/>
      <c r="X144" s="84"/>
      <c r="Y144" s="84"/>
      <c r="Z144" s="84"/>
    </row>
    <row r="145" ht="15.75" customHeight="1">
      <c r="A145" s="84"/>
      <c r="B145" s="84"/>
      <c r="C145" s="84"/>
      <c r="D145" s="84"/>
      <c r="E145" s="84"/>
      <c r="F145" s="84"/>
      <c r="G145" s="84"/>
      <c r="H145" s="84"/>
      <c r="I145" s="84"/>
      <c r="J145" s="84"/>
      <c r="K145" s="84"/>
      <c r="L145" s="84"/>
      <c r="M145" s="84"/>
      <c r="N145" s="84"/>
      <c r="O145" s="84"/>
      <c r="P145" s="84"/>
      <c r="Q145" s="84"/>
      <c r="R145" s="84"/>
      <c r="S145" s="84"/>
      <c r="T145" s="84"/>
      <c r="U145" s="84"/>
      <c r="V145" s="84"/>
      <c r="W145" s="84"/>
      <c r="X145" s="84"/>
      <c r="Y145" s="84"/>
      <c r="Z145" s="84"/>
    </row>
    <row r="146" ht="15.75" customHeight="1">
      <c r="A146" s="84"/>
      <c r="B146" s="84"/>
      <c r="C146" s="84"/>
      <c r="D146" s="84"/>
      <c r="E146" s="84"/>
      <c r="F146" s="84"/>
      <c r="G146" s="84"/>
      <c r="H146" s="84"/>
      <c r="I146" s="84"/>
      <c r="J146" s="84"/>
      <c r="K146" s="84"/>
      <c r="L146" s="84"/>
      <c r="M146" s="84"/>
      <c r="N146" s="84"/>
      <c r="O146" s="84"/>
      <c r="P146" s="84"/>
      <c r="Q146" s="84"/>
      <c r="R146" s="84"/>
      <c r="S146" s="84"/>
      <c r="T146" s="84"/>
      <c r="U146" s="84"/>
      <c r="V146" s="84"/>
      <c r="W146" s="84"/>
      <c r="X146" s="84"/>
      <c r="Y146" s="84"/>
      <c r="Z146" s="84"/>
    </row>
    <row r="147" ht="15.75" customHeight="1">
      <c r="A147" s="84"/>
      <c r="B147" s="84"/>
      <c r="C147" s="84"/>
      <c r="D147" s="84"/>
      <c r="E147" s="84"/>
      <c r="F147" s="84"/>
      <c r="G147" s="84"/>
      <c r="H147" s="84"/>
      <c r="I147" s="84"/>
      <c r="J147" s="84"/>
      <c r="K147" s="84"/>
      <c r="L147" s="84"/>
      <c r="M147" s="84"/>
      <c r="N147" s="84"/>
      <c r="O147" s="84"/>
      <c r="P147" s="84"/>
      <c r="Q147" s="84"/>
      <c r="R147" s="84"/>
      <c r="S147" s="84"/>
      <c r="T147" s="84"/>
      <c r="U147" s="84"/>
      <c r="V147" s="84"/>
      <c r="W147" s="84"/>
      <c r="X147" s="84"/>
      <c r="Y147" s="84"/>
      <c r="Z147" s="84"/>
    </row>
    <row r="148" ht="15.75" customHeight="1">
      <c r="A148" s="84"/>
      <c r="B148" s="84"/>
      <c r="C148" s="84"/>
      <c r="D148" s="84"/>
      <c r="E148" s="84"/>
      <c r="F148" s="84"/>
      <c r="G148" s="84"/>
      <c r="H148" s="84"/>
      <c r="I148" s="84"/>
      <c r="J148" s="84"/>
      <c r="K148" s="84"/>
      <c r="L148" s="84"/>
      <c r="M148" s="84"/>
      <c r="N148" s="84"/>
      <c r="O148" s="84"/>
      <c r="P148" s="84"/>
      <c r="Q148" s="84"/>
      <c r="R148" s="84"/>
      <c r="S148" s="84"/>
      <c r="T148" s="84"/>
      <c r="U148" s="84"/>
      <c r="V148" s="84"/>
      <c r="W148" s="84"/>
      <c r="X148" s="84"/>
      <c r="Y148" s="84"/>
      <c r="Z148" s="84"/>
    </row>
    <row r="149" ht="15.75" customHeight="1">
      <c r="A149" s="84"/>
      <c r="B149" s="84"/>
      <c r="C149" s="84"/>
      <c r="D149" s="84"/>
      <c r="E149" s="84"/>
      <c r="F149" s="84"/>
      <c r="G149" s="84"/>
      <c r="H149" s="84"/>
      <c r="I149" s="84"/>
      <c r="J149" s="84"/>
      <c r="K149" s="84"/>
      <c r="L149" s="84"/>
      <c r="M149" s="84"/>
      <c r="N149" s="84"/>
      <c r="O149" s="84"/>
      <c r="P149" s="84"/>
      <c r="Q149" s="84"/>
      <c r="R149" s="84"/>
      <c r="S149" s="84"/>
      <c r="T149" s="84"/>
      <c r="U149" s="84"/>
      <c r="V149" s="84"/>
      <c r="W149" s="84"/>
      <c r="X149" s="84"/>
      <c r="Y149" s="84"/>
      <c r="Z149" s="84"/>
    </row>
    <row r="150" ht="15.75" customHeight="1">
      <c r="A150" s="84"/>
      <c r="B150" s="84"/>
      <c r="C150" s="84"/>
      <c r="D150" s="84"/>
      <c r="E150" s="84"/>
      <c r="F150" s="84"/>
      <c r="G150" s="84"/>
      <c r="H150" s="84"/>
      <c r="I150" s="84"/>
      <c r="J150" s="84"/>
      <c r="K150" s="84"/>
      <c r="L150" s="84"/>
      <c r="M150" s="84"/>
      <c r="N150" s="84"/>
      <c r="O150" s="84"/>
      <c r="P150" s="84"/>
      <c r="Q150" s="84"/>
      <c r="R150" s="84"/>
      <c r="S150" s="84"/>
      <c r="T150" s="84"/>
      <c r="U150" s="84"/>
      <c r="V150" s="84"/>
      <c r="W150" s="84"/>
      <c r="X150" s="84"/>
      <c r="Y150" s="84"/>
      <c r="Z150" s="84"/>
    </row>
    <row r="151" ht="15.75" customHeight="1">
      <c r="A151" s="84"/>
      <c r="B151" s="84"/>
      <c r="C151" s="84"/>
      <c r="D151" s="84"/>
      <c r="E151" s="84"/>
      <c r="F151" s="84"/>
      <c r="G151" s="84"/>
      <c r="H151" s="84"/>
      <c r="I151" s="84"/>
      <c r="J151" s="84"/>
      <c r="K151" s="84"/>
      <c r="L151" s="84"/>
      <c r="M151" s="84"/>
      <c r="N151" s="84"/>
      <c r="O151" s="84"/>
      <c r="P151" s="84"/>
      <c r="Q151" s="84"/>
      <c r="R151" s="84"/>
      <c r="S151" s="84"/>
      <c r="T151" s="84"/>
      <c r="U151" s="84"/>
      <c r="V151" s="84"/>
      <c r="W151" s="84"/>
      <c r="X151" s="84"/>
      <c r="Y151" s="84"/>
      <c r="Z151" s="84"/>
    </row>
    <row r="152" ht="15.75" customHeight="1">
      <c r="A152" s="84"/>
      <c r="B152" s="84"/>
      <c r="C152" s="84"/>
      <c r="D152" s="84"/>
      <c r="E152" s="84"/>
      <c r="F152" s="84"/>
      <c r="G152" s="84"/>
      <c r="H152" s="84"/>
      <c r="I152" s="84"/>
      <c r="J152" s="84"/>
      <c r="K152" s="84"/>
      <c r="L152" s="84"/>
      <c r="M152" s="84"/>
      <c r="N152" s="84"/>
      <c r="O152" s="84"/>
      <c r="P152" s="84"/>
      <c r="Q152" s="84"/>
      <c r="R152" s="84"/>
      <c r="S152" s="84"/>
      <c r="T152" s="84"/>
      <c r="U152" s="84"/>
      <c r="V152" s="84"/>
      <c r="W152" s="84"/>
      <c r="X152" s="84"/>
      <c r="Y152" s="84"/>
      <c r="Z152" s="84"/>
    </row>
    <row r="153" ht="15.75" customHeight="1">
      <c r="A153" s="84"/>
      <c r="B153" s="84"/>
      <c r="C153" s="84"/>
      <c r="D153" s="84"/>
      <c r="E153" s="84"/>
      <c r="F153" s="84"/>
      <c r="G153" s="84"/>
      <c r="H153" s="84"/>
      <c r="I153" s="84"/>
      <c r="J153" s="84"/>
      <c r="K153" s="84"/>
      <c r="L153" s="84"/>
      <c r="M153" s="84"/>
      <c r="N153" s="84"/>
      <c r="O153" s="84"/>
      <c r="P153" s="84"/>
      <c r="Q153" s="84"/>
      <c r="R153" s="84"/>
      <c r="S153" s="84"/>
      <c r="T153" s="84"/>
      <c r="U153" s="84"/>
      <c r="V153" s="84"/>
      <c r="W153" s="84"/>
      <c r="X153" s="84"/>
      <c r="Y153" s="84"/>
      <c r="Z153" s="84"/>
    </row>
    <row r="154" ht="15.75" customHeight="1">
      <c r="A154" s="84"/>
      <c r="B154" s="84"/>
      <c r="C154" s="84"/>
      <c r="D154" s="84"/>
      <c r="E154" s="84"/>
      <c r="F154" s="84"/>
      <c r="G154" s="84"/>
      <c r="H154" s="84"/>
      <c r="I154" s="84"/>
      <c r="J154" s="84"/>
      <c r="K154" s="84"/>
      <c r="L154" s="84"/>
      <c r="M154" s="84"/>
      <c r="N154" s="84"/>
      <c r="O154" s="84"/>
      <c r="P154" s="84"/>
      <c r="Q154" s="84"/>
      <c r="R154" s="84"/>
      <c r="S154" s="84"/>
      <c r="T154" s="84"/>
      <c r="U154" s="84"/>
      <c r="V154" s="84"/>
      <c r="W154" s="84"/>
      <c r="X154" s="84"/>
      <c r="Y154" s="84"/>
      <c r="Z154" s="84"/>
    </row>
    <row r="155" ht="15.75" customHeight="1">
      <c r="A155" s="84"/>
      <c r="B155" s="84"/>
      <c r="C155" s="84"/>
      <c r="D155" s="84"/>
      <c r="E155" s="84"/>
      <c r="F155" s="84"/>
      <c r="G155" s="84"/>
      <c r="H155" s="84"/>
      <c r="I155" s="84"/>
      <c r="J155" s="84"/>
      <c r="K155" s="84"/>
      <c r="L155" s="84"/>
      <c r="M155" s="84"/>
      <c r="N155" s="84"/>
      <c r="O155" s="84"/>
      <c r="P155" s="84"/>
      <c r="Q155" s="84"/>
      <c r="R155" s="84"/>
      <c r="S155" s="84"/>
      <c r="T155" s="84"/>
      <c r="U155" s="84"/>
      <c r="V155" s="84"/>
      <c r="W155" s="84"/>
      <c r="X155" s="84"/>
      <c r="Y155" s="84"/>
      <c r="Z155" s="84"/>
    </row>
    <row r="156" ht="15.75" customHeight="1">
      <c r="A156" s="84"/>
      <c r="B156" s="84"/>
      <c r="C156" s="84"/>
      <c r="D156" s="84"/>
      <c r="E156" s="84"/>
      <c r="F156" s="84"/>
      <c r="G156" s="84"/>
      <c r="H156" s="84"/>
      <c r="I156" s="84"/>
      <c r="J156" s="84"/>
      <c r="K156" s="84"/>
      <c r="L156" s="84"/>
      <c r="M156" s="84"/>
      <c r="N156" s="84"/>
      <c r="O156" s="84"/>
      <c r="P156" s="84"/>
      <c r="Q156" s="84"/>
      <c r="R156" s="84"/>
      <c r="S156" s="84"/>
      <c r="T156" s="84"/>
      <c r="U156" s="84"/>
      <c r="V156" s="84"/>
      <c r="W156" s="84"/>
      <c r="X156" s="84"/>
      <c r="Y156" s="84"/>
      <c r="Z156" s="84"/>
    </row>
    <row r="157" ht="15.75" customHeight="1">
      <c r="A157" s="84"/>
      <c r="B157" s="84"/>
      <c r="C157" s="84"/>
      <c r="D157" s="84"/>
      <c r="E157" s="84"/>
      <c r="F157" s="84"/>
      <c r="G157" s="84"/>
      <c r="H157" s="84"/>
      <c r="I157" s="84"/>
      <c r="J157" s="84"/>
      <c r="K157" s="84"/>
      <c r="L157" s="84"/>
      <c r="M157" s="84"/>
      <c r="N157" s="84"/>
      <c r="O157" s="84"/>
      <c r="P157" s="84"/>
      <c r="Q157" s="84"/>
      <c r="R157" s="84"/>
      <c r="S157" s="84"/>
      <c r="T157" s="84"/>
      <c r="U157" s="84"/>
      <c r="V157" s="84"/>
      <c r="W157" s="84"/>
      <c r="X157" s="84"/>
      <c r="Y157" s="84"/>
      <c r="Z157" s="84"/>
    </row>
    <row r="158" ht="15.75" customHeight="1">
      <c r="A158" s="84"/>
      <c r="B158" s="84"/>
      <c r="C158" s="84"/>
      <c r="D158" s="84"/>
      <c r="E158" s="84"/>
      <c r="F158" s="84"/>
      <c r="G158" s="84"/>
      <c r="H158" s="84"/>
      <c r="I158" s="84"/>
      <c r="J158" s="84"/>
      <c r="K158" s="84"/>
      <c r="L158" s="84"/>
      <c r="M158" s="84"/>
      <c r="N158" s="84"/>
      <c r="O158" s="84"/>
      <c r="P158" s="84"/>
      <c r="Q158" s="84"/>
      <c r="R158" s="84"/>
      <c r="S158" s="84"/>
      <c r="T158" s="84"/>
      <c r="U158" s="84"/>
      <c r="V158" s="84"/>
      <c r="W158" s="84"/>
      <c r="X158" s="84"/>
      <c r="Y158" s="84"/>
      <c r="Z158" s="84"/>
    </row>
    <row r="159" ht="15.75" customHeight="1">
      <c r="A159" s="84"/>
      <c r="B159" s="84"/>
      <c r="C159" s="84"/>
      <c r="D159" s="84"/>
      <c r="E159" s="84"/>
      <c r="F159" s="84"/>
      <c r="G159" s="84"/>
      <c r="H159" s="84"/>
      <c r="I159" s="84"/>
      <c r="J159" s="84"/>
      <c r="K159" s="84"/>
      <c r="L159" s="84"/>
      <c r="M159" s="84"/>
      <c r="N159" s="84"/>
      <c r="O159" s="84"/>
      <c r="P159" s="84"/>
      <c r="Q159" s="84"/>
      <c r="R159" s="84"/>
      <c r="S159" s="84"/>
      <c r="T159" s="84"/>
      <c r="U159" s="84"/>
      <c r="V159" s="84"/>
      <c r="W159" s="84"/>
      <c r="X159" s="84"/>
      <c r="Y159" s="84"/>
      <c r="Z159" s="84"/>
    </row>
    <row r="160" ht="15.75" customHeight="1">
      <c r="A160" s="84"/>
      <c r="B160" s="84"/>
      <c r="C160" s="84"/>
      <c r="D160" s="84"/>
      <c r="E160" s="84"/>
      <c r="F160" s="84"/>
      <c r="G160" s="84"/>
      <c r="H160" s="84"/>
      <c r="I160" s="84"/>
      <c r="J160" s="84"/>
      <c r="K160" s="84"/>
      <c r="L160" s="84"/>
      <c r="M160" s="84"/>
      <c r="N160" s="84"/>
      <c r="O160" s="84"/>
      <c r="P160" s="84"/>
      <c r="Q160" s="84"/>
      <c r="R160" s="84"/>
      <c r="S160" s="84"/>
      <c r="T160" s="84"/>
      <c r="U160" s="84"/>
      <c r="V160" s="84"/>
      <c r="W160" s="84"/>
      <c r="X160" s="84"/>
      <c r="Y160" s="84"/>
      <c r="Z160" s="84"/>
    </row>
    <row r="161" ht="15.75" customHeight="1">
      <c r="A161" s="84"/>
      <c r="B161" s="84"/>
      <c r="C161" s="84"/>
      <c r="D161" s="84"/>
      <c r="E161" s="84"/>
      <c r="F161" s="84"/>
      <c r="G161" s="84"/>
      <c r="H161" s="84"/>
      <c r="I161" s="84"/>
      <c r="J161" s="84"/>
      <c r="K161" s="84"/>
      <c r="L161" s="84"/>
      <c r="M161" s="84"/>
      <c r="N161" s="84"/>
      <c r="O161" s="84"/>
      <c r="P161" s="84"/>
      <c r="Q161" s="84"/>
      <c r="R161" s="84"/>
      <c r="S161" s="84"/>
      <c r="T161" s="84"/>
      <c r="U161" s="84"/>
      <c r="V161" s="84"/>
      <c r="W161" s="84"/>
      <c r="X161" s="84"/>
      <c r="Y161" s="84"/>
      <c r="Z161" s="84"/>
    </row>
    <row r="162" ht="15.75" customHeight="1">
      <c r="A162" s="84"/>
      <c r="B162" s="84"/>
      <c r="C162" s="84"/>
      <c r="D162" s="84"/>
      <c r="E162" s="84"/>
      <c r="F162" s="84"/>
      <c r="G162" s="84"/>
      <c r="H162" s="84"/>
      <c r="I162" s="84"/>
      <c r="J162" s="84"/>
      <c r="K162" s="84"/>
      <c r="L162" s="84"/>
      <c r="M162" s="84"/>
      <c r="N162" s="84"/>
      <c r="O162" s="84"/>
      <c r="P162" s="84"/>
      <c r="Q162" s="84"/>
      <c r="R162" s="84"/>
      <c r="S162" s="84"/>
      <c r="T162" s="84"/>
      <c r="U162" s="84"/>
      <c r="V162" s="84"/>
      <c r="W162" s="84"/>
      <c r="X162" s="84"/>
      <c r="Y162" s="84"/>
      <c r="Z162" s="84"/>
    </row>
    <row r="163" ht="15.75" customHeight="1">
      <c r="A163" s="84"/>
      <c r="B163" s="84"/>
      <c r="C163" s="84"/>
      <c r="D163" s="84"/>
      <c r="E163" s="84"/>
      <c r="F163" s="84"/>
      <c r="G163" s="84"/>
      <c r="H163" s="84"/>
      <c r="I163" s="84"/>
      <c r="J163" s="84"/>
      <c r="K163" s="84"/>
      <c r="L163" s="84"/>
      <c r="M163" s="84"/>
      <c r="N163" s="84"/>
      <c r="O163" s="84"/>
      <c r="P163" s="84"/>
      <c r="Q163" s="84"/>
      <c r="R163" s="84"/>
      <c r="S163" s="84"/>
      <c r="T163" s="84"/>
      <c r="U163" s="84"/>
      <c r="V163" s="84"/>
      <c r="W163" s="84"/>
      <c r="X163" s="84"/>
      <c r="Y163" s="84"/>
      <c r="Z163" s="84"/>
    </row>
    <row r="164" ht="15.75" customHeight="1">
      <c r="A164" s="84"/>
      <c r="B164" s="84"/>
      <c r="C164" s="84"/>
      <c r="D164" s="84"/>
      <c r="E164" s="84"/>
      <c r="F164" s="84"/>
      <c r="G164" s="84"/>
      <c r="H164" s="84"/>
      <c r="I164" s="84"/>
      <c r="J164" s="84"/>
      <c r="K164" s="84"/>
      <c r="L164" s="84"/>
      <c r="M164" s="84"/>
      <c r="N164" s="84"/>
      <c r="O164" s="84"/>
      <c r="P164" s="84"/>
      <c r="Q164" s="84"/>
      <c r="R164" s="84"/>
      <c r="S164" s="84"/>
      <c r="T164" s="84"/>
      <c r="U164" s="84"/>
      <c r="V164" s="84"/>
      <c r="W164" s="84"/>
      <c r="X164" s="84"/>
      <c r="Y164" s="84"/>
      <c r="Z164" s="84"/>
    </row>
    <row r="165" ht="15.75" customHeight="1">
      <c r="A165" s="84"/>
      <c r="B165" s="84"/>
      <c r="C165" s="84"/>
      <c r="D165" s="84"/>
      <c r="E165" s="84"/>
      <c r="F165" s="84"/>
      <c r="G165" s="84"/>
      <c r="H165" s="84"/>
      <c r="I165" s="84"/>
      <c r="J165" s="84"/>
      <c r="K165" s="84"/>
      <c r="L165" s="84"/>
      <c r="M165" s="84"/>
      <c r="N165" s="84"/>
      <c r="O165" s="84"/>
      <c r="P165" s="84"/>
      <c r="Q165" s="84"/>
      <c r="R165" s="84"/>
      <c r="S165" s="84"/>
      <c r="T165" s="84"/>
      <c r="U165" s="84"/>
      <c r="V165" s="84"/>
      <c r="W165" s="84"/>
      <c r="X165" s="84"/>
      <c r="Y165" s="84"/>
      <c r="Z165" s="84"/>
    </row>
    <row r="166" ht="15.75" customHeight="1">
      <c r="A166" s="84"/>
      <c r="B166" s="84"/>
      <c r="C166" s="84"/>
      <c r="D166" s="84"/>
      <c r="E166" s="84"/>
      <c r="F166" s="84"/>
      <c r="G166" s="84"/>
      <c r="H166" s="84"/>
      <c r="I166" s="84"/>
      <c r="J166" s="84"/>
      <c r="K166" s="84"/>
      <c r="L166" s="84"/>
      <c r="M166" s="84"/>
      <c r="N166" s="84"/>
      <c r="O166" s="84"/>
      <c r="P166" s="84"/>
      <c r="Q166" s="84"/>
      <c r="R166" s="84"/>
      <c r="S166" s="84"/>
      <c r="T166" s="84"/>
      <c r="U166" s="84"/>
      <c r="V166" s="84"/>
      <c r="W166" s="84"/>
      <c r="X166" s="84"/>
      <c r="Y166" s="84"/>
      <c r="Z166" s="84"/>
    </row>
    <row r="167" ht="15.75" customHeight="1">
      <c r="A167" s="84"/>
      <c r="B167" s="84"/>
      <c r="C167" s="84"/>
      <c r="D167" s="84"/>
      <c r="E167" s="84"/>
      <c r="F167" s="84"/>
      <c r="G167" s="84"/>
      <c r="H167" s="84"/>
      <c r="I167" s="84"/>
      <c r="J167" s="84"/>
      <c r="K167" s="84"/>
      <c r="L167" s="84"/>
      <c r="M167" s="84"/>
      <c r="N167" s="84"/>
      <c r="O167" s="84"/>
      <c r="P167" s="84"/>
      <c r="Q167" s="84"/>
      <c r="R167" s="84"/>
      <c r="S167" s="84"/>
      <c r="T167" s="84"/>
      <c r="U167" s="84"/>
      <c r="V167" s="84"/>
      <c r="W167" s="84"/>
      <c r="X167" s="84"/>
      <c r="Y167" s="84"/>
      <c r="Z167" s="84"/>
    </row>
    <row r="168" ht="15.75" customHeight="1">
      <c r="A168" s="84"/>
      <c r="B168" s="84"/>
      <c r="C168" s="84"/>
      <c r="D168" s="84"/>
      <c r="E168" s="84"/>
      <c r="F168" s="84"/>
      <c r="G168" s="84"/>
      <c r="H168" s="84"/>
      <c r="I168" s="84"/>
      <c r="J168" s="84"/>
      <c r="K168" s="84"/>
      <c r="L168" s="84"/>
      <c r="M168" s="84"/>
      <c r="N168" s="84"/>
      <c r="O168" s="84"/>
      <c r="P168" s="84"/>
      <c r="Q168" s="84"/>
      <c r="R168" s="84"/>
      <c r="S168" s="84"/>
      <c r="T168" s="84"/>
      <c r="U168" s="84"/>
      <c r="V168" s="84"/>
      <c r="W168" s="84"/>
      <c r="X168" s="84"/>
      <c r="Y168" s="84"/>
      <c r="Z168" s="84"/>
    </row>
    <row r="169" ht="15.75" customHeight="1">
      <c r="A169" s="84"/>
      <c r="B169" s="84"/>
      <c r="C169" s="84"/>
      <c r="D169" s="84"/>
      <c r="E169" s="84"/>
      <c r="F169" s="84"/>
      <c r="G169" s="84"/>
      <c r="H169" s="84"/>
      <c r="I169" s="84"/>
      <c r="J169" s="84"/>
      <c r="K169" s="84"/>
      <c r="L169" s="84"/>
      <c r="M169" s="84"/>
      <c r="N169" s="84"/>
      <c r="O169" s="84"/>
      <c r="P169" s="84"/>
      <c r="Q169" s="84"/>
      <c r="R169" s="84"/>
      <c r="S169" s="84"/>
      <c r="T169" s="84"/>
      <c r="U169" s="84"/>
      <c r="V169" s="84"/>
      <c r="W169" s="84"/>
      <c r="X169" s="84"/>
      <c r="Y169" s="84"/>
      <c r="Z169" s="84"/>
    </row>
    <row r="170" ht="15.75" customHeight="1">
      <c r="A170" s="84"/>
      <c r="B170" s="84"/>
      <c r="C170" s="84"/>
      <c r="D170" s="84"/>
      <c r="E170" s="84"/>
      <c r="F170" s="84"/>
      <c r="G170" s="84"/>
      <c r="H170" s="84"/>
      <c r="I170" s="84"/>
      <c r="J170" s="84"/>
      <c r="K170" s="84"/>
      <c r="L170" s="84"/>
      <c r="M170" s="84"/>
      <c r="N170" s="84"/>
      <c r="O170" s="84"/>
      <c r="P170" s="84"/>
      <c r="Q170" s="84"/>
      <c r="R170" s="84"/>
      <c r="S170" s="84"/>
      <c r="T170" s="84"/>
      <c r="U170" s="84"/>
      <c r="V170" s="84"/>
      <c r="W170" s="84"/>
      <c r="X170" s="84"/>
      <c r="Y170" s="84"/>
      <c r="Z170" s="84"/>
    </row>
    <row r="171" ht="15.75" customHeight="1">
      <c r="A171" s="84"/>
      <c r="B171" s="84"/>
      <c r="C171" s="84"/>
      <c r="D171" s="84"/>
      <c r="E171" s="84"/>
      <c r="F171" s="84"/>
      <c r="G171" s="84"/>
      <c r="H171" s="84"/>
      <c r="I171" s="84"/>
      <c r="J171" s="84"/>
      <c r="K171" s="84"/>
      <c r="L171" s="84"/>
      <c r="M171" s="84"/>
      <c r="N171" s="84"/>
      <c r="O171" s="84"/>
      <c r="P171" s="84"/>
      <c r="Q171" s="84"/>
      <c r="R171" s="84"/>
      <c r="S171" s="84"/>
      <c r="T171" s="84"/>
      <c r="U171" s="84"/>
      <c r="V171" s="84"/>
      <c r="W171" s="84"/>
      <c r="X171" s="84"/>
      <c r="Y171" s="84"/>
      <c r="Z171" s="84"/>
    </row>
    <row r="172" ht="15.75" customHeight="1">
      <c r="A172" s="84"/>
      <c r="B172" s="84"/>
      <c r="C172" s="84"/>
      <c r="D172" s="84"/>
      <c r="E172" s="84"/>
      <c r="F172" s="84"/>
      <c r="G172" s="84"/>
      <c r="H172" s="84"/>
      <c r="I172" s="84"/>
      <c r="J172" s="84"/>
      <c r="K172" s="84"/>
      <c r="L172" s="84"/>
      <c r="M172" s="84"/>
      <c r="N172" s="84"/>
      <c r="O172" s="84"/>
      <c r="P172" s="84"/>
      <c r="Q172" s="84"/>
      <c r="R172" s="84"/>
      <c r="S172" s="84"/>
      <c r="T172" s="84"/>
      <c r="U172" s="84"/>
      <c r="V172" s="84"/>
      <c r="W172" s="84"/>
      <c r="X172" s="84"/>
      <c r="Y172" s="84"/>
      <c r="Z172" s="84"/>
    </row>
    <row r="173" ht="15.75" customHeight="1">
      <c r="A173" s="84"/>
      <c r="B173" s="84"/>
      <c r="C173" s="84"/>
      <c r="D173" s="84"/>
      <c r="E173" s="84"/>
      <c r="F173" s="84"/>
      <c r="G173" s="84"/>
      <c r="H173" s="84"/>
      <c r="I173" s="84"/>
      <c r="J173" s="84"/>
      <c r="K173" s="84"/>
      <c r="L173" s="84"/>
      <c r="M173" s="84"/>
      <c r="N173" s="84"/>
      <c r="O173" s="84"/>
      <c r="P173" s="84"/>
      <c r="Q173" s="84"/>
      <c r="R173" s="84"/>
      <c r="S173" s="84"/>
      <c r="T173" s="84"/>
      <c r="U173" s="84"/>
      <c r="V173" s="84"/>
      <c r="W173" s="84"/>
      <c r="X173" s="84"/>
      <c r="Y173" s="84"/>
      <c r="Z173" s="84"/>
    </row>
    <row r="174" ht="15.75" customHeight="1">
      <c r="A174" s="84"/>
      <c r="B174" s="84"/>
      <c r="C174" s="84"/>
      <c r="D174" s="84"/>
      <c r="E174" s="84"/>
      <c r="F174" s="84"/>
      <c r="G174" s="84"/>
      <c r="H174" s="84"/>
      <c r="I174" s="84"/>
      <c r="J174" s="84"/>
      <c r="K174" s="84"/>
      <c r="L174" s="84"/>
      <c r="M174" s="84"/>
      <c r="N174" s="84"/>
      <c r="O174" s="84"/>
      <c r="P174" s="84"/>
      <c r="Q174" s="84"/>
      <c r="R174" s="84"/>
      <c r="S174" s="84"/>
      <c r="T174" s="84"/>
      <c r="U174" s="84"/>
      <c r="V174" s="84"/>
      <c r="W174" s="84"/>
      <c r="X174" s="84"/>
      <c r="Y174" s="84"/>
      <c r="Z174" s="84"/>
    </row>
    <row r="175" ht="15.75" customHeight="1">
      <c r="A175" s="84"/>
      <c r="B175" s="84"/>
      <c r="C175" s="84"/>
      <c r="D175" s="84"/>
      <c r="E175" s="84"/>
      <c r="F175" s="84"/>
      <c r="G175" s="84"/>
      <c r="H175" s="84"/>
      <c r="I175" s="84"/>
      <c r="J175" s="84"/>
      <c r="K175" s="84"/>
      <c r="L175" s="84"/>
      <c r="M175" s="84"/>
      <c r="N175" s="84"/>
      <c r="O175" s="84"/>
      <c r="P175" s="84"/>
      <c r="Q175" s="84"/>
      <c r="R175" s="84"/>
      <c r="S175" s="84"/>
      <c r="T175" s="84"/>
      <c r="U175" s="84"/>
      <c r="V175" s="84"/>
      <c r="W175" s="84"/>
      <c r="X175" s="84"/>
      <c r="Y175" s="84"/>
      <c r="Z175" s="84"/>
    </row>
    <row r="176" ht="15.75" customHeight="1">
      <c r="A176" s="84"/>
      <c r="B176" s="84"/>
      <c r="C176" s="84"/>
      <c r="D176" s="84"/>
      <c r="E176" s="84"/>
      <c r="F176" s="84"/>
      <c r="G176" s="84"/>
      <c r="H176" s="84"/>
      <c r="I176" s="84"/>
      <c r="J176" s="84"/>
      <c r="K176" s="84"/>
      <c r="L176" s="84"/>
      <c r="M176" s="84"/>
      <c r="N176" s="84"/>
      <c r="O176" s="84"/>
      <c r="P176" s="84"/>
      <c r="Q176" s="84"/>
      <c r="R176" s="84"/>
      <c r="S176" s="84"/>
      <c r="T176" s="84"/>
      <c r="U176" s="84"/>
      <c r="V176" s="84"/>
      <c r="W176" s="84"/>
      <c r="X176" s="84"/>
      <c r="Y176" s="84"/>
      <c r="Z176" s="84"/>
    </row>
    <row r="177" ht="15.75" customHeight="1">
      <c r="A177" s="84"/>
      <c r="B177" s="84"/>
      <c r="C177" s="84"/>
      <c r="D177" s="84"/>
      <c r="E177" s="84"/>
      <c r="F177" s="84"/>
      <c r="G177" s="84"/>
      <c r="H177" s="84"/>
      <c r="I177" s="84"/>
      <c r="J177" s="84"/>
      <c r="K177" s="84"/>
      <c r="L177" s="84"/>
      <c r="M177" s="84"/>
      <c r="N177" s="84"/>
      <c r="O177" s="84"/>
      <c r="P177" s="84"/>
      <c r="Q177" s="84"/>
      <c r="R177" s="84"/>
      <c r="S177" s="84"/>
      <c r="T177" s="84"/>
      <c r="U177" s="84"/>
      <c r="V177" s="84"/>
      <c r="W177" s="84"/>
      <c r="X177" s="84"/>
      <c r="Y177" s="84"/>
      <c r="Z177" s="84"/>
    </row>
    <row r="178" ht="15.75" customHeight="1">
      <c r="A178" s="84"/>
      <c r="B178" s="84"/>
      <c r="C178" s="84"/>
      <c r="D178" s="84"/>
      <c r="E178" s="84"/>
      <c r="F178" s="84"/>
      <c r="G178" s="84"/>
      <c r="H178" s="84"/>
      <c r="I178" s="84"/>
      <c r="J178" s="84"/>
      <c r="K178" s="84"/>
      <c r="L178" s="84"/>
      <c r="M178" s="84"/>
      <c r="N178" s="84"/>
      <c r="O178" s="84"/>
      <c r="P178" s="84"/>
      <c r="Q178" s="84"/>
      <c r="R178" s="84"/>
      <c r="S178" s="84"/>
      <c r="T178" s="84"/>
      <c r="U178" s="84"/>
      <c r="V178" s="84"/>
      <c r="W178" s="84"/>
      <c r="X178" s="84"/>
      <c r="Y178" s="84"/>
      <c r="Z178" s="84"/>
    </row>
    <row r="179" ht="15.75" customHeight="1">
      <c r="A179" s="84"/>
      <c r="B179" s="84"/>
      <c r="C179" s="84"/>
      <c r="D179" s="84"/>
      <c r="E179" s="84"/>
      <c r="F179" s="84"/>
      <c r="G179" s="84"/>
      <c r="H179" s="84"/>
      <c r="I179" s="84"/>
      <c r="J179" s="84"/>
      <c r="K179" s="84"/>
      <c r="L179" s="84"/>
      <c r="M179" s="84"/>
      <c r="N179" s="84"/>
      <c r="O179" s="84"/>
      <c r="P179" s="84"/>
      <c r="Q179" s="84"/>
      <c r="R179" s="84"/>
      <c r="S179" s="84"/>
      <c r="T179" s="84"/>
      <c r="U179" s="84"/>
      <c r="V179" s="84"/>
      <c r="W179" s="84"/>
      <c r="X179" s="84"/>
      <c r="Y179" s="84"/>
      <c r="Z179" s="84"/>
    </row>
    <row r="180" ht="15.75" customHeight="1">
      <c r="A180" s="84"/>
      <c r="B180" s="84"/>
      <c r="C180" s="84"/>
      <c r="D180" s="84"/>
      <c r="E180" s="84"/>
      <c r="F180" s="84"/>
      <c r="G180" s="84"/>
      <c r="H180" s="84"/>
      <c r="I180" s="84"/>
      <c r="J180" s="84"/>
      <c r="K180" s="84"/>
      <c r="L180" s="84"/>
      <c r="M180" s="84"/>
      <c r="N180" s="84"/>
      <c r="O180" s="84"/>
      <c r="P180" s="84"/>
      <c r="Q180" s="84"/>
      <c r="R180" s="84"/>
      <c r="S180" s="84"/>
      <c r="T180" s="84"/>
      <c r="U180" s="84"/>
      <c r="V180" s="84"/>
      <c r="W180" s="84"/>
      <c r="X180" s="84"/>
      <c r="Y180" s="84"/>
      <c r="Z180" s="84"/>
    </row>
    <row r="181" ht="15.75" customHeight="1">
      <c r="A181" s="84"/>
      <c r="B181" s="84"/>
      <c r="C181" s="84"/>
      <c r="D181" s="84"/>
      <c r="E181" s="84"/>
      <c r="F181" s="84"/>
      <c r="G181" s="84"/>
      <c r="H181" s="84"/>
      <c r="I181" s="84"/>
      <c r="J181" s="84"/>
      <c r="K181" s="84"/>
      <c r="L181" s="84"/>
      <c r="M181" s="84"/>
      <c r="N181" s="84"/>
      <c r="O181" s="84"/>
      <c r="P181" s="84"/>
      <c r="Q181" s="84"/>
      <c r="R181" s="84"/>
      <c r="S181" s="84"/>
      <c r="T181" s="84"/>
      <c r="U181" s="84"/>
      <c r="V181" s="84"/>
      <c r="W181" s="84"/>
      <c r="X181" s="84"/>
      <c r="Y181" s="84"/>
      <c r="Z181" s="84"/>
    </row>
    <row r="182" ht="15.75" customHeight="1">
      <c r="A182" s="84"/>
      <c r="B182" s="84"/>
      <c r="C182" s="84"/>
      <c r="D182" s="84"/>
      <c r="E182" s="84"/>
      <c r="F182" s="84"/>
      <c r="G182" s="84"/>
      <c r="H182" s="84"/>
      <c r="I182" s="84"/>
      <c r="J182" s="84"/>
      <c r="K182" s="84"/>
      <c r="L182" s="84"/>
      <c r="M182" s="84"/>
      <c r="N182" s="84"/>
      <c r="O182" s="84"/>
      <c r="P182" s="84"/>
      <c r="Q182" s="84"/>
      <c r="R182" s="84"/>
      <c r="S182" s="84"/>
      <c r="T182" s="84"/>
      <c r="U182" s="84"/>
      <c r="V182" s="84"/>
      <c r="W182" s="84"/>
      <c r="X182" s="84"/>
      <c r="Y182" s="84"/>
      <c r="Z182" s="84"/>
    </row>
    <row r="183" ht="15.75" customHeight="1">
      <c r="A183" s="84"/>
      <c r="B183" s="84"/>
      <c r="C183" s="84"/>
      <c r="D183" s="84"/>
      <c r="E183" s="84"/>
      <c r="F183" s="84"/>
      <c r="G183" s="84"/>
      <c r="H183" s="84"/>
      <c r="I183" s="84"/>
      <c r="J183" s="84"/>
      <c r="K183" s="84"/>
      <c r="L183" s="84"/>
      <c r="M183" s="84"/>
      <c r="N183" s="84"/>
      <c r="O183" s="84"/>
      <c r="P183" s="84"/>
      <c r="Q183" s="84"/>
      <c r="R183" s="84"/>
      <c r="S183" s="84"/>
      <c r="T183" s="84"/>
      <c r="U183" s="84"/>
      <c r="V183" s="84"/>
      <c r="W183" s="84"/>
      <c r="X183" s="84"/>
      <c r="Y183" s="84"/>
      <c r="Z183" s="84"/>
    </row>
    <row r="184" ht="15.75" customHeight="1">
      <c r="A184" s="84"/>
      <c r="B184" s="84"/>
      <c r="C184" s="84"/>
      <c r="D184" s="84"/>
      <c r="E184" s="84"/>
      <c r="F184" s="84"/>
      <c r="G184" s="84"/>
      <c r="H184" s="84"/>
      <c r="I184" s="84"/>
      <c r="J184" s="84"/>
      <c r="K184" s="84"/>
      <c r="L184" s="84"/>
      <c r="M184" s="84"/>
      <c r="N184" s="84"/>
      <c r="O184" s="84"/>
      <c r="P184" s="84"/>
      <c r="Q184" s="84"/>
      <c r="R184" s="84"/>
      <c r="S184" s="84"/>
      <c r="T184" s="84"/>
      <c r="U184" s="84"/>
      <c r="V184" s="84"/>
      <c r="W184" s="84"/>
      <c r="X184" s="84"/>
      <c r="Y184" s="84"/>
      <c r="Z184" s="84"/>
    </row>
    <row r="185" ht="15.75" customHeight="1">
      <c r="A185" s="84"/>
      <c r="B185" s="84"/>
      <c r="C185" s="84"/>
      <c r="D185" s="84"/>
      <c r="E185" s="84"/>
      <c r="F185" s="84"/>
      <c r="G185" s="84"/>
      <c r="H185" s="84"/>
      <c r="I185" s="84"/>
      <c r="J185" s="84"/>
      <c r="K185" s="84"/>
      <c r="L185" s="84"/>
      <c r="M185" s="84"/>
      <c r="N185" s="84"/>
      <c r="O185" s="84"/>
      <c r="P185" s="84"/>
      <c r="Q185" s="84"/>
      <c r="R185" s="84"/>
      <c r="S185" s="84"/>
      <c r="T185" s="84"/>
      <c r="U185" s="84"/>
      <c r="V185" s="84"/>
      <c r="W185" s="84"/>
      <c r="X185" s="84"/>
      <c r="Y185" s="84"/>
      <c r="Z185" s="84"/>
    </row>
    <row r="186" ht="15.75" customHeight="1">
      <c r="A186" s="84"/>
      <c r="B186" s="84"/>
      <c r="C186" s="84"/>
      <c r="D186" s="84"/>
      <c r="E186" s="84"/>
      <c r="F186" s="84"/>
      <c r="G186" s="84"/>
      <c r="H186" s="84"/>
      <c r="I186" s="84"/>
      <c r="J186" s="84"/>
      <c r="K186" s="84"/>
      <c r="L186" s="84"/>
      <c r="M186" s="84"/>
      <c r="N186" s="84"/>
      <c r="O186" s="84"/>
      <c r="P186" s="84"/>
      <c r="Q186" s="84"/>
      <c r="R186" s="84"/>
      <c r="S186" s="84"/>
      <c r="T186" s="84"/>
      <c r="U186" s="84"/>
      <c r="V186" s="84"/>
      <c r="W186" s="84"/>
      <c r="X186" s="84"/>
      <c r="Y186" s="84"/>
      <c r="Z186" s="84"/>
    </row>
    <row r="187" ht="15.75" customHeight="1">
      <c r="A187" s="84"/>
      <c r="B187" s="84"/>
      <c r="C187" s="84"/>
      <c r="D187" s="84"/>
      <c r="E187" s="84"/>
      <c r="F187" s="84"/>
      <c r="G187" s="84"/>
      <c r="H187" s="84"/>
      <c r="I187" s="84"/>
      <c r="J187" s="84"/>
      <c r="K187" s="84"/>
      <c r="L187" s="84"/>
      <c r="M187" s="84"/>
      <c r="N187" s="84"/>
      <c r="O187" s="84"/>
      <c r="P187" s="84"/>
      <c r="Q187" s="84"/>
      <c r="R187" s="84"/>
      <c r="S187" s="84"/>
      <c r="T187" s="84"/>
      <c r="U187" s="84"/>
      <c r="V187" s="84"/>
      <c r="W187" s="84"/>
      <c r="X187" s="84"/>
      <c r="Y187" s="84"/>
      <c r="Z187" s="84"/>
    </row>
    <row r="188" ht="15.75" customHeight="1">
      <c r="A188" s="84"/>
      <c r="B188" s="84"/>
      <c r="C188" s="84"/>
      <c r="D188" s="84"/>
      <c r="E188" s="84"/>
      <c r="F188" s="84"/>
      <c r="G188" s="84"/>
      <c r="H188" s="84"/>
      <c r="I188" s="84"/>
      <c r="J188" s="84"/>
      <c r="K188" s="84"/>
      <c r="L188" s="84"/>
      <c r="M188" s="84"/>
      <c r="N188" s="84"/>
      <c r="O188" s="84"/>
      <c r="P188" s="84"/>
      <c r="Q188" s="84"/>
      <c r="R188" s="84"/>
      <c r="S188" s="84"/>
      <c r="T188" s="84"/>
      <c r="U188" s="84"/>
      <c r="V188" s="84"/>
      <c r="W188" s="84"/>
      <c r="X188" s="84"/>
      <c r="Y188" s="84"/>
      <c r="Z188" s="84"/>
    </row>
    <row r="189" ht="15.75" customHeight="1">
      <c r="A189" s="84"/>
      <c r="B189" s="84"/>
      <c r="C189" s="84"/>
      <c r="D189" s="84"/>
      <c r="E189" s="84"/>
      <c r="F189" s="84"/>
      <c r="G189" s="84"/>
      <c r="H189" s="84"/>
      <c r="I189" s="84"/>
      <c r="J189" s="84"/>
      <c r="K189" s="84"/>
      <c r="L189" s="84"/>
      <c r="M189" s="84"/>
      <c r="N189" s="84"/>
      <c r="O189" s="84"/>
      <c r="P189" s="84"/>
      <c r="Q189" s="84"/>
      <c r="R189" s="84"/>
      <c r="S189" s="84"/>
      <c r="T189" s="84"/>
      <c r="U189" s="84"/>
      <c r="V189" s="84"/>
      <c r="W189" s="84"/>
      <c r="X189" s="84"/>
      <c r="Y189" s="84"/>
      <c r="Z189" s="84"/>
    </row>
    <row r="190" ht="15.75" customHeight="1">
      <c r="A190" s="84"/>
      <c r="B190" s="84"/>
      <c r="C190" s="84"/>
      <c r="D190" s="84"/>
      <c r="E190" s="84"/>
      <c r="F190" s="84"/>
      <c r="G190" s="84"/>
      <c r="H190" s="84"/>
      <c r="I190" s="84"/>
      <c r="J190" s="84"/>
      <c r="K190" s="84"/>
      <c r="L190" s="84"/>
      <c r="M190" s="84"/>
      <c r="N190" s="84"/>
      <c r="O190" s="84"/>
      <c r="P190" s="84"/>
      <c r="Q190" s="84"/>
      <c r="R190" s="84"/>
      <c r="S190" s="84"/>
      <c r="T190" s="84"/>
      <c r="U190" s="84"/>
      <c r="V190" s="84"/>
      <c r="W190" s="84"/>
      <c r="X190" s="84"/>
      <c r="Y190" s="84"/>
      <c r="Z190" s="84"/>
    </row>
    <row r="191" ht="15.75" customHeight="1">
      <c r="A191" s="84"/>
      <c r="B191" s="84"/>
      <c r="C191" s="84"/>
      <c r="D191" s="84"/>
      <c r="E191" s="84"/>
      <c r="F191" s="84"/>
      <c r="G191" s="84"/>
      <c r="H191" s="84"/>
      <c r="I191" s="84"/>
      <c r="J191" s="84"/>
      <c r="K191" s="84"/>
      <c r="L191" s="84"/>
      <c r="M191" s="84"/>
      <c r="N191" s="84"/>
      <c r="O191" s="84"/>
      <c r="P191" s="84"/>
      <c r="Q191" s="84"/>
      <c r="R191" s="84"/>
      <c r="S191" s="84"/>
      <c r="T191" s="84"/>
      <c r="U191" s="84"/>
      <c r="V191" s="84"/>
      <c r="W191" s="84"/>
      <c r="X191" s="84"/>
      <c r="Y191" s="84"/>
      <c r="Z191" s="84"/>
    </row>
    <row r="192" ht="15.75" customHeight="1">
      <c r="A192" s="84"/>
      <c r="B192" s="84"/>
      <c r="C192" s="84"/>
      <c r="D192" s="84"/>
      <c r="E192" s="84"/>
      <c r="F192" s="84"/>
      <c r="G192" s="84"/>
      <c r="H192" s="84"/>
      <c r="I192" s="84"/>
      <c r="J192" s="84"/>
      <c r="K192" s="84"/>
      <c r="L192" s="84"/>
      <c r="M192" s="84"/>
      <c r="N192" s="84"/>
      <c r="O192" s="84"/>
      <c r="P192" s="84"/>
      <c r="Q192" s="84"/>
      <c r="R192" s="84"/>
      <c r="S192" s="84"/>
      <c r="T192" s="84"/>
      <c r="U192" s="84"/>
      <c r="V192" s="84"/>
      <c r="W192" s="84"/>
      <c r="X192" s="84"/>
      <c r="Y192" s="84"/>
      <c r="Z192" s="84"/>
    </row>
    <row r="193" ht="15.75" customHeight="1">
      <c r="A193" s="84"/>
      <c r="B193" s="84"/>
      <c r="C193" s="84"/>
      <c r="D193" s="84"/>
      <c r="E193" s="84"/>
      <c r="F193" s="84"/>
      <c r="G193" s="84"/>
      <c r="H193" s="84"/>
      <c r="I193" s="84"/>
      <c r="J193" s="84"/>
      <c r="K193" s="84"/>
      <c r="L193" s="84"/>
      <c r="M193" s="84"/>
      <c r="N193" s="84"/>
      <c r="O193" s="84"/>
      <c r="P193" s="84"/>
      <c r="Q193" s="84"/>
      <c r="R193" s="84"/>
      <c r="S193" s="84"/>
      <c r="T193" s="84"/>
      <c r="U193" s="84"/>
      <c r="V193" s="84"/>
      <c r="W193" s="84"/>
      <c r="X193" s="84"/>
      <c r="Y193" s="84"/>
      <c r="Z193" s="84"/>
    </row>
    <row r="194" ht="15.75" customHeight="1">
      <c r="A194" s="84"/>
      <c r="B194" s="84"/>
      <c r="C194" s="84"/>
      <c r="D194" s="84"/>
      <c r="E194" s="84"/>
      <c r="F194" s="84"/>
      <c r="G194" s="84"/>
      <c r="H194" s="84"/>
      <c r="I194" s="84"/>
      <c r="J194" s="84"/>
      <c r="K194" s="84"/>
      <c r="L194" s="84"/>
      <c r="M194" s="84"/>
      <c r="N194" s="84"/>
      <c r="O194" s="84"/>
      <c r="P194" s="84"/>
      <c r="Q194" s="84"/>
      <c r="R194" s="84"/>
      <c r="S194" s="84"/>
      <c r="T194" s="84"/>
      <c r="U194" s="84"/>
      <c r="V194" s="84"/>
      <c r="W194" s="84"/>
      <c r="X194" s="84"/>
      <c r="Y194" s="84"/>
      <c r="Z194" s="84"/>
    </row>
    <row r="195" ht="15.75" customHeight="1">
      <c r="A195" s="84"/>
      <c r="B195" s="84"/>
      <c r="C195" s="84"/>
      <c r="D195" s="84"/>
      <c r="E195" s="84"/>
      <c r="F195" s="84"/>
      <c r="G195" s="84"/>
      <c r="H195" s="84"/>
      <c r="I195" s="84"/>
      <c r="J195" s="84"/>
      <c r="K195" s="84"/>
      <c r="L195" s="84"/>
      <c r="M195" s="84"/>
      <c r="N195" s="84"/>
      <c r="O195" s="84"/>
      <c r="P195" s="84"/>
      <c r="Q195" s="84"/>
      <c r="R195" s="84"/>
      <c r="S195" s="84"/>
      <c r="T195" s="84"/>
      <c r="U195" s="84"/>
      <c r="V195" s="84"/>
      <c r="W195" s="84"/>
      <c r="X195" s="84"/>
      <c r="Y195" s="84"/>
      <c r="Z195" s="84"/>
    </row>
    <row r="196" ht="15.75" customHeight="1">
      <c r="A196" s="84"/>
      <c r="B196" s="84"/>
      <c r="C196" s="84"/>
      <c r="D196" s="84"/>
      <c r="E196" s="84"/>
      <c r="F196" s="84"/>
      <c r="G196" s="84"/>
      <c r="H196" s="84"/>
      <c r="I196" s="84"/>
      <c r="J196" s="84"/>
      <c r="K196" s="84"/>
      <c r="L196" s="84"/>
      <c r="M196" s="84"/>
      <c r="N196" s="84"/>
      <c r="O196" s="84"/>
      <c r="P196" s="84"/>
      <c r="Q196" s="84"/>
      <c r="R196" s="84"/>
      <c r="S196" s="84"/>
      <c r="T196" s="84"/>
      <c r="U196" s="84"/>
      <c r="V196" s="84"/>
      <c r="W196" s="84"/>
      <c r="X196" s="84"/>
      <c r="Y196" s="84"/>
      <c r="Z196" s="84"/>
    </row>
    <row r="197" ht="15.75" customHeight="1">
      <c r="A197" s="84"/>
      <c r="B197" s="84"/>
      <c r="C197" s="84"/>
      <c r="D197" s="84"/>
      <c r="E197" s="84"/>
      <c r="F197" s="84"/>
      <c r="G197" s="84"/>
      <c r="H197" s="84"/>
      <c r="I197" s="84"/>
      <c r="J197" s="84"/>
      <c r="K197" s="84"/>
      <c r="L197" s="84"/>
      <c r="M197" s="84"/>
      <c r="N197" s="84"/>
      <c r="O197" s="84"/>
      <c r="P197" s="84"/>
      <c r="Q197" s="84"/>
      <c r="R197" s="84"/>
      <c r="S197" s="84"/>
      <c r="T197" s="84"/>
      <c r="U197" s="84"/>
      <c r="V197" s="84"/>
      <c r="W197" s="84"/>
      <c r="X197" s="84"/>
      <c r="Y197" s="84"/>
      <c r="Z197" s="84"/>
    </row>
    <row r="198" ht="15.75" customHeight="1">
      <c r="A198" s="84"/>
      <c r="B198" s="84"/>
      <c r="C198" s="84"/>
      <c r="D198" s="84"/>
      <c r="E198" s="84"/>
      <c r="F198" s="84"/>
      <c r="G198" s="84"/>
      <c r="H198" s="84"/>
      <c r="I198" s="84"/>
      <c r="J198" s="84"/>
      <c r="K198" s="84"/>
      <c r="L198" s="84"/>
      <c r="M198" s="84"/>
      <c r="N198" s="84"/>
      <c r="O198" s="84"/>
      <c r="P198" s="84"/>
      <c r="Q198" s="84"/>
      <c r="R198" s="84"/>
      <c r="S198" s="84"/>
      <c r="T198" s="84"/>
      <c r="U198" s="84"/>
      <c r="V198" s="84"/>
      <c r="W198" s="84"/>
      <c r="X198" s="84"/>
      <c r="Y198" s="84"/>
      <c r="Z198" s="84"/>
    </row>
    <row r="199" ht="15.75" customHeight="1">
      <c r="A199" s="84"/>
      <c r="B199" s="84"/>
      <c r="C199" s="84"/>
      <c r="D199" s="84"/>
      <c r="E199" s="84"/>
      <c r="F199" s="84"/>
      <c r="G199" s="84"/>
      <c r="H199" s="84"/>
      <c r="I199" s="84"/>
      <c r="J199" s="84"/>
      <c r="K199" s="84"/>
      <c r="L199" s="84"/>
      <c r="M199" s="84"/>
      <c r="N199" s="84"/>
      <c r="O199" s="84"/>
      <c r="P199" s="84"/>
      <c r="Q199" s="84"/>
      <c r="R199" s="84"/>
      <c r="S199" s="84"/>
      <c r="T199" s="84"/>
      <c r="U199" s="84"/>
      <c r="V199" s="84"/>
      <c r="W199" s="84"/>
      <c r="X199" s="84"/>
      <c r="Y199" s="84"/>
      <c r="Z199" s="84"/>
    </row>
    <row r="200" ht="15.75" customHeight="1">
      <c r="A200" s="84"/>
      <c r="B200" s="84"/>
      <c r="C200" s="84"/>
      <c r="D200" s="84"/>
      <c r="E200" s="84"/>
      <c r="F200" s="84"/>
      <c r="G200" s="84"/>
      <c r="H200" s="84"/>
      <c r="I200" s="84"/>
      <c r="J200" s="84"/>
      <c r="K200" s="84"/>
      <c r="L200" s="84"/>
      <c r="M200" s="84"/>
      <c r="N200" s="84"/>
      <c r="O200" s="84"/>
      <c r="P200" s="84"/>
      <c r="Q200" s="84"/>
      <c r="R200" s="84"/>
      <c r="S200" s="84"/>
      <c r="T200" s="84"/>
      <c r="U200" s="84"/>
      <c r="V200" s="84"/>
      <c r="W200" s="84"/>
      <c r="X200" s="84"/>
      <c r="Y200" s="84"/>
      <c r="Z200" s="84"/>
    </row>
    <row r="201" ht="15.75" customHeight="1">
      <c r="A201" s="84"/>
      <c r="B201" s="84"/>
      <c r="C201" s="84"/>
      <c r="D201" s="84"/>
      <c r="E201" s="84"/>
      <c r="F201" s="84"/>
      <c r="G201" s="84"/>
      <c r="H201" s="84"/>
      <c r="I201" s="84"/>
      <c r="J201" s="84"/>
      <c r="K201" s="84"/>
      <c r="L201" s="84"/>
      <c r="M201" s="84"/>
      <c r="N201" s="84"/>
      <c r="O201" s="84"/>
      <c r="P201" s="84"/>
      <c r="Q201" s="84"/>
      <c r="R201" s="84"/>
      <c r="S201" s="84"/>
      <c r="T201" s="84"/>
      <c r="U201" s="84"/>
      <c r="V201" s="84"/>
      <c r="W201" s="84"/>
      <c r="X201" s="84"/>
      <c r="Y201" s="84"/>
      <c r="Z201" s="84"/>
    </row>
    <row r="202" ht="15.75" customHeight="1">
      <c r="A202" s="84"/>
      <c r="B202" s="84"/>
      <c r="C202" s="84"/>
      <c r="D202" s="84"/>
      <c r="E202" s="84"/>
      <c r="F202" s="84"/>
      <c r="G202" s="84"/>
      <c r="H202" s="84"/>
      <c r="I202" s="84"/>
      <c r="J202" s="84"/>
      <c r="K202" s="84"/>
      <c r="L202" s="84"/>
      <c r="M202" s="84"/>
      <c r="N202" s="84"/>
      <c r="O202" s="84"/>
      <c r="P202" s="84"/>
      <c r="Q202" s="84"/>
      <c r="R202" s="84"/>
      <c r="S202" s="84"/>
      <c r="T202" s="84"/>
      <c r="U202" s="84"/>
      <c r="V202" s="84"/>
      <c r="W202" s="84"/>
      <c r="X202" s="84"/>
      <c r="Y202" s="84"/>
      <c r="Z202" s="84"/>
    </row>
    <row r="203" ht="15.75" customHeight="1">
      <c r="A203" s="84"/>
      <c r="B203" s="84"/>
      <c r="C203" s="84"/>
      <c r="D203" s="84"/>
      <c r="E203" s="84"/>
      <c r="F203" s="84"/>
      <c r="G203" s="84"/>
      <c r="H203" s="84"/>
      <c r="I203" s="84"/>
      <c r="J203" s="84"/>
      <c r="K203" s="84"/>
      <c r="L203" s="84"/>
      <c r="M203" s="84"/>
      <c r="N203" s="84"/>
      <c r="O203" s="84"/>
      <c r="P203" s="84"/>
      <c r="Q203" s="84"/>
      <c r="R203" s="84"/>
      <c r="S203" s="84"/>
      <c r="T203" s="84"/>
      <c r="U203" s="84"/>
      <c r="V203" s="84"/>
      <c r="W203" s="84"/>
      <c r="X203" s="84"/>
      <c r="Y203" s="84"/>
      <c r="Z203" s="84"/>
    </row>
    <row r="204" ht="15.75" customHeight="1">
      <c r="A204" s="84"/>
      <c r="B204" s="84"/>
      <c r="C204" s="84"/>
      <c r="D204" s="84"/>
      <c r="E204" s="84"/>
      <c r="F204" s="84"/>
      <c r="G204" s="84"/>
      <c r="H204" s="84"/>
      <c r="I204" s="84"/>
      <c r="J204" s="84"/>
      <c r="K204" s="84"/>
      <c r="L204" s="84"/>
      <c r="M204" s="84"/>
      <c r="N204" s="84"/>
      <c r="O204" s="84"/>
      <c r="P204" s="84"/>
      <c r="Q204" s="84"/>
      <c r="R204" s="84"/>
      <c r="S204" s="84"/>
      <c r="T204" s="84"/>
      <c r="U204" s="84"/>
      <c r="V204" s="84"/>
      <c r="W204" s="84"/>
      <c r="X204" s="84"/>
      <c r="Y204" s="84"/>
      <c r="Z204" s="84"/>
    </row>
    <row r="205" ht="15.75" customHeight="1">
      <c r="A205" s="84"/>
      <c r="B205" s="84"/>
      <c r="C205" s="84"/>
      <c r="D205" s="84"/>
      <c r="E205" s="84"/>
      <c r="F205" s="84"/>
      <c r="G205" s="84"/>
      <c r="H205" s="84"/>
      <c r="I205" s="84"/>
      <c r="J205" s="84"/>
      <c r="K205" s="84"/>
      <c r="L205" s="84"/>
      <c r="M205" s="84"/>
      <c r="N205" s="84"/>
      <c r="O205" s="84"/>
      <c r="P205" s="84"/>
      <c r="Q205" s="84"/>
      <c r="R205" s="84"/>
      <c r="S205" s="84"/>
      <c r="T205" s="84"/>
      <c r="U205" s="84"/>
      <c r="V205" s="84"/>
      <c r="W205" s="84"/>
      <c r="X205" s="84"/>
      <c r="Y205" s="84"/>
      <c r="Z205" s="84"/>
    </row>
    <row r="206" ht="15.75" customHeight="1">
      <c r="A206" s="84"/>
      <c r="B206" s="84"/>
      <c r="C206" s="84"/>
      <c r="D206" s="84"/>
      <c r="E206" s="84"/>
      <c r="F206" s="84"/>
      <c r="G206" s="84"/>
      <c r="H206" s="84"/>
      <c r="I206" s="84"/>
      <c r="J206" s="84"/>
      <c r="K206" s="84"/>
      <c r="L206" s="84"/>
      <c r="M206" s="84"/>
      <c r="N206" s="84"/>
      <c r="O206" s="84"/>
      <c r="P206" s="84"/>
      <c r="Q206" s="84"/>
      <c r="R206" s="84"/>
      <c r="S206" s="84"/>
      <c r="T206" s="84"/>
      <c r="U206" s="84"/>
      <c r="V206" s="84"/>
      <c r="W206" s="84"/>
      <c r="X206" s="84"/>
      <c r="Y206" s="84"/>
      <c r="Z206" s="84"/>
    </row>
    <row r="207" ht="15.75" customHeight="1">
      <c r="A207" s="84"/>
      <c r="B207" s="84"/>
      <c r="C207" s="84"/>
      <c r="D207" s="84"/>
      <c r="E207" s="84"/>
      <c r="F207" s="84"/>
      <c r="G207" s="84"/>
      <c r="H207" s="84"/>
      <c r="I207" s="84"/>
      <c r="J207" s="84"/>
      <c r="K207" s="84"/>
      <c r="L207" s="84"/>
      <c r="M207" s="84"/>
      <c r="N207" s="84"/>
      <c r="O207" s="84"/>
      <c r="P207" s="84"/>
      <c r="Q207" s="84"/>
      <c r="R207" s="84"/>
      <c r="S207" s="84"/>
      <c r="T207" s="84"/>
      <c r="U207" s="84"/>
      <c r="V207" s="84"/>
      <c r="W207" s="84"/>
      <c r="X207" s="84"/>
      <c r="Y207" s="84"/>
      <c r="Z207" s="84"/>
    </row>
    <row r="208" ht="15.75" customHeight="1">
      <c r="A208" s="84"/>
      <c r="B208" s="84"/>
      <c r="C208" s="84"/>
      <c r="D208" s="84"/>
      <c r="E208" s="84"/>
      <c r="F208" s="84"/>
      <c r="G208" s="84"/>
      <c r="H208" s="84"/>
      <c r="I208" s="84"/>
      <c r="J208" s="84"/>
      <c r="K208" s="84"/>
      <c r="L208" s="84"/>
      <c r="M208" s="84"/>
      <c r="N208" s="84"/>
      <c r="O208" s="84"/>
      <c r="P208" s="84"/>
      <c r="Q208" s="84"/>
      <c r="R208" s="84"/>
      <c r="S208" s="84"/>
      <c r="T208" s="84"/>
      <c r="U208" s="84"/>
      <c r="V208" s="84"/>
      <c r="W208" s="84"/>
      <c r="X208" s="84"/>
      <c r="Y208" s="84"/>
      <c r="Z208" s="84"/>
    </row>
    <row r="209" ht="15.75" customHeight="1">
      <c r="A209" s="84"/>
      <c r="B209" s="84"/>
      <c r="C209" s="84"/>
      <c r="D209" s="84"/>
      <c r="E209" s="84"/>
      <c r="F209" s="84"/>
      <c r="G209" s="84"/>
      <c r="H209" s="84"/>
      <c r="I209" s="84"/>
      <c r="J209" s="84"/>
      <c r="K209" s="84"/>
      <c r="L209" s="84"/>
      <c r="M209" s="84"/>
      <c r="N209" s="84"/>
      <c r="O209" s="84"/>
      <c r="P209" s="84"/>
      <c r="Q209" s="84"/>
      <c r="R209" s="84"/>
      <c r="S209" s="84"/>
      <c r="T209" s="84"/>
      <c r="U209" s="84"/>
      <c r="V209" s="84"/>
      <c r="W209" s="84"/>
      <c r="X209" s="84"/>
      <c r="Y209" s="84"/>
      <c r="Z209" s="84"/>
    </row>
    <row r="210" ht="15.75" customHeight="1">
      <c r="A210" s="84"/>
      <c r="B210" s="84"/>
      <c r="C210" s="84"/>
      <c r="D210" s="84"/>
      <c r="E210" s="84"/>
      <c r="F210" s="84"/>
      <c r="G210" s="84"/>
      <c r="H210" s="84"/>
      <c r="I210" s="84"/>
      <c r="J210" s="84"/>
      <c r="K210" s="84"/>
      <c r="L210" s="84"/>
      <c r="M210" s="84"/>
      <c r="N210" s="84"/>
      <c r="O210" s="84"/>
      <c r="P210" s="84"/>
      <c r="Q210" s="84"/>
      <c r="R210" s="84"/>
      <c r="S210" s="84"/>
      <c r="T210" s="84"/>
      <c r="U210" s="84"/>
      <c r="V210" s="84"/>
      <c r="W210" s="84"/>
      <c r="X210" s="84"/>
      <c r="Y210" s="84"/>
      <c r="Z210" s="84"/>
    </row>
    <row r="211" ht="15.75" customHeight="1">
      <c r="A211" s="84"/>
      <c r="B211" s="84"/>
      <c r="C211" s="84"/>
      <c r="D211" s="84"/>
      <c r="E211" s="84"/>
      <c r="F211" s="84"/>
      <c r="G211" s="84"/>
      <c r="H211" s="84"/>
      <c r="I211" s="84"/>
      <c r="J211" s="84"/>
      <c r="K211" s="84"/>
      <c r="L211" s="84"/>
      <c r="M211" s="84"/>
      <c r="N211" s="84"/>
      <c r="O211" s="84"/>
      <c r="P211" s="84"/>
      <c r="Q211" s="84"/>
      <c r="R211" s="84"/>
      <c r="S211" s="84"/>
      <c r="T211" s="84"/>
      <c r="U211" s="84"/>
      <c r="V211" s="84"/>
      <c r="W211" s="84"/>
      <c r="X211" s="84"/>
      <c r="Y211" s="84"/>
      <c r="Z211" s="84"/>
    </row>
    <row r="212" ht="15.75" customHeight="1">
      <c r="A212" s="84"/>
      <c r="B212" s="84"/>
      <c r="C212" s="84"/>
      <c r="D212" s="84"/>
      <c r="E212" s="84"/>
      <c r="F212" s="84"/>
      <c r="G212" s="84"/>
      <c r="H212" s="84"/>
      <c r="I212" s="84"/>
      <c r="J212" s="84"/>
      <c r="K212" s="84"/>
      <c r="L212" s="84"/>
      <c r="M212" s="84"/>
      <c r="N212" s="84"/>
      <c r="O212" s="84"/>
      <c r="P212" s="84"/>
      <c r="Q212" s="84"/>
      <c r="R212" s="84"/>
      <c r="S212" s="84"/>
      <c r="T212" s="84"/>
      <c r="U212" s="84"/>
      <c r="V212" s="84"/>
      <c r="W212" s="84"/>
      <c r="X212" s="84"/>
      <c r="Y212" s="84"/>
      <c r="Z212" s="84"/>
    </row>
    <row r="213" ht="15.75" customHeight="1">
      <c r="A213" s="84"/>
      <c r="B213" s="84"/>
      <c r="C213" s="84"/>
      <c r="D213" s="84"/>
      <c r="E213" s="84"/>
      <c r="F213" s="84"/>
      <c r="G213" s="84"/>
      <c r="H213" s="84"/>
      <c r="I213" s="84"/>
      <c r="J213" s="84"/>
      <c r="K213" s="84"/>
      <c r="L213" s="84"/>
      <c r="M213" s="84"/>
      <c r="N213" s="84"/>
      <c r="O213" s="84"/>
      <c r="P213" s="84"/>
      <c r="Q213" s="84"/>
      <c r="R213" s="84"/>
      <c r="S213" s="84"/>
      <c r="T213" s="84"/>
      <c r="U213" s="84"/>
      <c r="V213" s="84"/>
      <c r="W213" s="84"/>
      <c r="X213" s="84"/>
      <c r="Y213" s="84"/>
      <c r="Z213" s="84"/>
    </row>
    <row r="214" ht="15.75" customHeight="1">
      <c r="A214" s="84"/>
      <c r="B214" s="84"/>
      <c r="C214" s="84"/>
      <c r="D214" s="84"/>
      <c r="E214" s="84"/>
      <c r="F214" s="84"/>
      <c r="G214" s="84"/>
      <c r="H214" s="84"/>
      <c r="I214" s="84"/>
      <c r="J214" s="84"/>
      <c r="K214" s="84"/>
      <c r="L214" s="84"/>
      <c r="M214" s="84"/>
      <c r="N214" s="84"/>
      <c r="O214" s="84"/>
      <c r="P214" s="84"/>
      <c r="Q214" s="84"/>
      <c r="R214" s="84"/>
      <c r="S214" s="84"/>
      <c r="T214" s="84"/>
      <c r="U214" s="84"/>
      <c r="V214" s="84"/>
      <c r="W214" s="84"/>
      <c r="X214" s="84"/>
      <c r="Y214" s="84"/>
      <c r="Z214" s="84"/>
    </row>
    <row r="215" ht="15.75" customHeight="1">
      <c r="A215" s="84"/>
      <c r="B215" s="84"/>
      <c r="C215" s="84"/>
      <c r="D215" s="84"/>
      <c r="E215" s="84"/>
      <c r="F215" s="84"/>
      <c r="G215" s="84"/>
      <c r="H215" s="84"/>
      <c r="I215" s="84"/>
      <c r="J215" s="84"/>
      <c r="K215" s="84"/>
      <c r="L215" s="84"/>
      <c r="M215" s="84"/>
      <c r="N215" s="84"/>
      <c r="O215" s="84"/>
      <c r="P215" s="84"/>
      <c r="Q215" s="84"/>
      <c r="R215" s="84"/>
      <c r="S215" s="84"/>
      <c r="T215" s="84"/>
      <c r="U215" s="84"/>
      <c r="V215" s="84"/>
      <c r="W215" s="84"/>
      <c r="X215" s="84"/>
      <c r="Y215" s="84"/>
      <c r="Z215" s="84"/>
    </row>
    <row r="216" ht="15.75" customHeight="1">
      <c r="A216" s="84"/>
      <c r="B216" s="84"/>
      <c r="C216" s="84"/>
      <c r="D216" s="84"/>
      <c r="E216" s="84"/>
      <c r="F216" s="84"/>
      <c r="G216" s="84"/>
      <c r="H216" s="84"/>
      <c r="I216" s="84"/>
      <c r="J216" s="84"/>
      <c r="K216" s="84"/>
      <c r="L216" s="84"/>
      <c r="M216" s="84"/>
      <c r="N216" s="84"/>
      <c r="O216" s="84"/>
      <c r="P216" s="84"/>
      <c r="Q216" s="84"/>
      <c r="R216" s="84"/>
      <c r="S216" s="84"/>
      <c r="T216" s="84"/>
      <c r="U216" s="84"/>
      <c r="V216" s="84"/>
      <c r="W216" s="84"/>
      <c r="X216" s="84"/>
      <c r="Y216" s="84"/>
      <c r="Z216" s="84"/>
    </row>
    <row r="217" ht="15.75" customHeight="1">
      <c r="A217" s="84"/>
      <c r="B217" s="84"/>
      <c r="C217" s="84"/>
      <c r="D217" s="84"/>
      <c r="E217" s="84"/>
      <c r="F217" s="84"/>
      <c r="G217" s="84"/>
      <c r="H217" s="84"/>
      <c r="I217" s="84"/>
      <c r="J217" s="84"/>
      <c r="K217" s="84"/>
      <c r="L217" s="84"/>
      <c r="M217" s="84"/>
      <c r="N217" s="84"/>
      <c r="O217" s="84"/>
      <c r="P217" s="84"/>
      <c r="Q217" s="84"/>
      <c r="R217" s="84"/>
      <c r="S217" s="84"/>
      <c r="T217" s="84"/>
      <c r="U217" s="84"/>
      <c r="V217" s="84"/>
      <c r="W217" s="84"/>
      <c r="X217" s="84"/>
      <c r="Y217" s="84"/>
      <c r="Z217" s="84"/>
    </row>
    <row r="218" ht="15.75" customHeight="1">
      <c r="A218" s="84"/>
      <c r="B218" s="84"/>
      <c r="C218" s="84"/>
      <c r="D218" s="84"/>
      <c r="E218" s="84"/>
      <c r="F218" s="84"/>
      <c r="G218" s="84"/>
      <c r="H218" s="84"/>
      <c r="I218" s="84"/>
      <c r="J218" s="84"/>
      <c r="K218" s="84"/>
      <c r="L218" s="84"/>
      <c r="M218" s="84"/>
      <c r="N218" s="84"/>
      <c r="O218" s="84"/>
      <c r="P218" s="84"/>
      <c r="Q218" s="84"/>
      <c r="R218" s="84"/>
      <c r="S218" s="84"/>
      <c r="T218" s="84"/>
      <c r="U218" s="84"/>
      <c r="V218" s="84"/>
      <c r="W218" s="84"/>
      <c r="X218" s="84"/>
      <c r="Y218" s="84"/>
      <c r="Z218" s="84"/>
    </row>
    <row r="219" ht="15.75" customHeight="1">
      <c r="A219" s="84"/>
      <c r="B219" s="84"/>
      <c r="C219" s="84"/>
      <c r="D219" s="84"/>
      <c r="E219" s="84"/>
      <c r="F219" s="84"/>
      <c r="G219" s="84"/>
      <c r="H219" s="84"/>
      <c r="I219" s="84"/>
      <c r="J219" s="84"/>
      <c r="K219" s="84"/>
      <c r="L219" s="84"/>
      <c r="M219" s="84"/>
      <c r="N219" s="84"/>
      <c r="O219" s="84"/>
      <c r="P219" s="84"/>
      <c r="Q219" s="84"/>
      <c r="R219" s="84"/>
      <c r="S219" s="84"/>
      <c r="T219" s="84"/>
      <c r="U219" s="84"/>
      <c r="V219" s="84"/>
      <c r="W219" s="84"/>
      <c r="X219" s="84"/>
      <c r="Y219" s="84"/>
      <c r="Z219" s="84"/>
    </row>
    <row r="220" ht="15.75" customHeight="1">
      <c r="A220" s="84"/>
      <c r="B220" s="84"/>
      <c r="C220" s="84"/>
      <c r="D220" s="84"/>
      <c r="E220" s="84"/>
      <c r="F220" s="84"/>
      <c r="G220" s="84"/>
      <c r="H220" s="84"/>
      <c r="I220" s="84"/>
      <c r="J220" s="84"/>
      <c r="K220" s="84"/>
      <c r="L220" s="84"/>
      <c r="M220" s="84"/>
      <c r="N220" s="84"/>
      <c r="O220" s="84"/>
      <c r="P220" s="84"/>
      <c r="Q220" s="84"/>
      <c r="R220" s="84"/>
      <c r="S220" s="84"/>
      <c r="T220" s="84"/>
      <c r="U220" s="84"/>
      <c r="V220" s="84"/>
      <c r="W220" s="84"/>
      <c r="X220" s="84"/>
      <c r="Y220" s="84"/>
      <c r="Z220" s="84"/>
    </row>
    <row r="221" ht="15.75" customHeight="1">
      <c r="A221" s="84"/>
      <c r="B221" s="84"/>
      <c r="C221" s="84"/>
      <c r="D221" s="84"/>
      <c r="E221" s="84"/>
      <c r="F221" s="84"/>
      <c r="G221" s="84"/>
      <c r="H221" s="84"/>
      <c r="I221" s="84"/>
      <c r="J221" s="84"/>
      <c r="K221" s="84"/>
      <c r="L221" s="84"/>
      <c r="M221" s="84"/>
      <c r="N221" s="84"/>
      <c r="O221" s="84"/>
      <c r="P221" s="84"/>
      <c r="Q221" s="84"/>
      <c r="R221" s="84"/>
      <c r="S221" s="84"/>
      <c r="T221" s="84"/>
      <c r="U221" s="84"/>
      <c r="V221" s="84"/>
      <c r="W221" s="84"/>
      <c r="X221" s="84"/>
      <c r="Y221" s="84"/>
      <c r="Z221" s="84"/>
    </row>
    <row r="222" ht="15.75" customHeight="1">
      <c r="A222" s="84"/>
      <c r="B222" s="84"/>
      <c r="C222" s="84"/>
      <c r="D222" s="84"/>
      <c r="E222" s="84"/>
      <c r="F222" s="84"/>
      <c r="G222" s="84"/>
      <c r="H222" s="84"/>
      <c r="I222" s="84"/>
      <c r="J222" s="84"/>
      <c r="K222" s="84"/>
      <c r="L222" s="84"/>
      <c r="M222" s="84"/>
      <c r="N222" s="84"/>
      <c r="O222" s="84"/>
      <c r="P222" s="84"/>
      <c r="Q222" s="84"/>
      <c r="R222" s="84"/>
      <c r="S222" s="84"/>
      <c r="T222" s="84"/>
      <c r="U222" s="84"/>
      <c r="V222" s="84"/>
      <c r="W222" s="84"/>
      <c r="X222" s="84"/>
      <c r="Y222" s="84"/>
      <c r="Z222" s="84"/>
    </row>
    <row r="223" ht="15.75" customHeight="1">
      <c r="A223" s="84"/>
      <c r="B223" s="84"/>
      <c r="C223" s="84"/>
      <c r="D223" s="84"/>
      <c r="E223" s="84"/>
      <c r="F223" s="84"/>
      <c r="G223" s="84"/>
      <c r="H223" s="84"/>
      <c r="I223" s="84"/>
      <c r="J223" s="84"/>
      <c r="K223" s="84"/>
      <c r="L223" s="84"/>
      <c r="M223" s="84"/>
      <c r="N223" s="84"/>
      <c r="O223" s="84"/>
      <c r="P223" s="84"/>
      <c r="Q223" s="84"/>
      <c r="R223" s="84"/>
      <c r="S223" s="84"/>
      <c r="T223" s="84"/>
      <c r="U223" s="84"/>
      <c r="V223" s="84"/>
      <c r="W223" s="84"/>
      <c r="X223" s="84"/>
      <c r="Y223" s="84"/>
      <c r="Z223" s="84"/>
    </row>
    <row r="224" ht="15.75" customHeight="1">
      <c r="A224" s="84"/>
      <c r="B224" s="84"/>
      <c r="C224" s="84"/>
      <c r="D224" s="84"/>
      <c r="E224" s="84"/>
      <c r="F224" s="84"/>
      <c r="G224" s="84"/>
      <c r="H224" s="84"/>
      <c r="I224" s="84"/>
      <c r="J224" s="84"/>
      <c r="K224" s="84"/>
      <c r="L224" s="84"/>
      <c r="M224" s="84"/>
      <c r="N224" s="84"/>
      <c r="O224" s="84"/>
      <c r="P224" s="84"/>
      <c r="Q224" s="84"/>
      <c r="R224" s="84"/>
      <c r="S224" s="84"/>
      <c r="T224" s="84"/>
      <c r="U224" s="84"/>
      <c r="V224" s="84"/>
      <c r="W224" s="84"/>
      <c r="X224" s="84"/>
      <c r="Y224" s="84"/>
      <c r="Z224" s="84"/>
    </row>
    <row r="225" ht="15.75" customHeight="1">
      <c r="A225" s="84"/>
      <c r="B225" s="84"/>
      <c r="C225" s="84"/>
      <c r="D225" s="84"/>
      <c r="E225" s="84"/>
      <c r="F225" s="84"/>
      <c r="G225" s="84"/>
      <c r="H225" s="84"/>
      <c r="I225" s="84"/>
      <c r="J225" s="84"/>
      <c r="K225" s="84"/>
      <c r="L225" s="84"/>
      <c r="M225" s="84"/>
      <c r="N225" s="84"/>
      <c r="O225" s="84"/>
      <c r="P225" s="84"/>
      <c r="Q225" s="84"/>
      <c r="R225" s="84"/>
      <c r="S225" s="84"/>
      <c r="T225" s="84"/>
      <c r="U225" s="84"/>
      <c r="V225" s="84"/>
      <c r="W225" s="84"/>
      <c r="X225" s="84"/>
      <c r="Y225" s="84"/>
      <c r="Z225" s="84"/>
    </row>
    <row r="226" ht="15.75" customHeight="1">
      <c r="A226" s="84"/>
      <c r="B226" s="84"/>
      <c r="C226" s="84"/>
      <c r="D226" s="84"/>
      <c r="E226" s="84"/>
      <c r="F226" s="84"/>
      <c r="G226" s="84"/>
      <c r="H226" s="84"/>
      <c r="I226" s="84"/>
      <c r="J226" s="84"/>
      <c r="K226" s="84"/>
      <c r="L226" s="84"/>
      <c r="M226" s="84"/>
      <c r="N226" s="84"/>
      <c r="O226" s="84"/>
      <c r="P226" s="84"/>
      <c r="Q226" s="84"/>
      <c r="R226" s="84"/>
      <c r="S226" s="84"/>
      <c r="T226" s="84"/>
      <c r="U226" s="84"/>
      <c r="V226" s="84"/>
      <c r="W226" s="84"/>
      <c r="X226" s="84"/>
      <c r="Y226" s="84"/>
      <c r="Z226" s="84"/>
    </row>
    <row r="227" ht="15.75" customHeight="1">
      <c r="A227" s="84"/>
      <c r="B227" s="84"/>
      <c r="C227" s="84"/>
      <c r="D227" s="84"/>
      <c r="E227" s="84"/>
      <c r="F227" s="84"/>
      <c r="G227" s="84"/>
      <c r="H227" s="84"/>
      <c r="I227" s="84"/>
      <c r="J227" s="84"/>
      <c r="K227" s="84"/>
      <c r="L227" s="84"/>
      <c r="M227" s="84"/>
      <c r="N227" s="84"/>
      <c r="O227" s="84"/>
      <c r="P227" s="84"/>
      <c r="Q227" s="84"/>
      <c r="R227" s="84"/>
      <c r="S227" s="84"/>
      <c r="T227" s="84"/>
      <c r="U227" s="84"/>
      <c r="V227" s="84"/>
      <c r="W227" s="84"/>
      <c r="X227" s="84"/>
      <c r="Y227" s="84"/>
      <c r="Z227" s="84"/>
    </row>
    <row r="228" ht="15.75" customHeight="1">
      <c r="A228" s="84"/>
      <c r="B228" s="84"/>
      <c r="C228" s="84"/>
      <c r="D228" s="84"/>
      <c r="E228" s="84"/>
      <c r="F228" s="84"/>
      <c r="G228" s="84"/>
      <c r="H228" s="84"/>
      <c r="I228" s="84"/>
      <c r="J228" s="84"/>
      <c r="K228" s="84"/>
      <c r="L228" s="84"/>
      <c r="M228" s="84"/>
      <c r="N228" s="84"/>
      <c r="O228" s="84"/>
      <c r="P228" s="84"/>
      <c r="Q228" s="84"/>
      <c r="R228" s="84"/>
      <c r="S228" s="84"/>
      <c r="T228" s="84"/>
      <c r="U228" s="84"/>
      <c r="V228" s="84"/>
      <c r="W228" s="84"/>
      <c r="X228" s="84"/>
      <c r="Y228" s="84"/>
      <c r="Z228" s="84"/>
    </row>
    <row r="229" ht="15.75" customHeight="1">
      <c r="A229" s="84"/>
      <c r="B229" s="84"/>
      <c r="C229" s="84"/>
      <c r="D229" s="84"/>
      <c r="E229" s="84"/>
      <c r="F229" s="84"/>
      <c r="G229" s="84"/>
      <c r="H229" s="84"/>
      <c r="I229" s="84"/>
      <c r="J229" s="84"/>
      <c r="K229" s="84"/>
      <c r="L229" s="84"/>
      <c r="M229" s="84"/>
      <c r="N229" s="84"/>
      <c r="O229" s="84"/>
      <c r="P229" s="84"/>
      <c r="Q229" s="84"/>
      <c r="R229" s="84"/>
      <c r="S229" s="84"/>
      <c r="T229" s="84"/>
      <c r="U229" s="84"/>
      <c r="V229" s="84"/>
      <c r="W229" s="84"/>
      <c r="X229" s="84"/>
      <c r="Y229" s="84"/>
      <c r="Z229" s="84"/>
    </row>
    <row r="230" ht="15.75" customHeight="1">
      <c r="A230" s="84"/>
      <c r="B230" s="84"/>
      <c r="C230" s="84"/>
      <c r="D230" s="84"/>
      <c r="E230" s="84"/>
      <c r="F230" s="84"/>
      <c r="G230" s="84"/>
      <c r="H230" s="84"/>
      <c r="I230" s="84"/>
      <c r="J230" s="84"/>
      <c r="K230" s="84"/>
      <c r="L230" s="84"/>
      <c r="M230" s="84"/>
      <c r="N230" s="84"/>
      <c r="O230" s="84"/>
      <c r="P230" s="84"/>
      <c r="Q230" s="84"/>
      <c r="R230" s="84"/>
      <c r="S230" s="84"/>
      <c r="T230" s="84"/>
      <c r="U230" s="84"/>
      <c r="V230" s="84"/>
      <c r="W230" s="84"/>
      <c r="X230" s="84"/>
      <c r="Y230" s="84"/>
      <c r="Z230" s="84"/>
    </row>
    <row r="231" ht="15.75" customHeight="1">
      <c r="A231" s="84"/>
      <c r="B231" s="84"/>
      <c r="C231" s="84"/>
      <c r="D231" s="84"/>
      <c r="E231" s="84"/>
      <c r="F231" s="84"/>
      <c r="G231" s="84"/>
      <c r="H231" s="84"/>
      <c r="I231" s="84"/>
      <c r="J231" s="84"/>
      <c r="K231" s="84"/>
      <c r="L231" s="84"/>
      <c r="M231" s="84"/>
      <c r="N231" s="84"/>
      <c r="O231" s="84"/>
      <c r="P231" s="84"/>
      <c r="Q231" s="84"/>
      <c r="R231" s="84"/>
      <c r="S231" s="84"/>
      <c r="T231" s="84"/>
      <c r="U231" s="84"/>
      <c r="V231" s="84"/>
      <c r="W231" s="84"/>
      <c r="X231" s="84"/>
      <c r="Y231" s="84"/>
      <c r="Z231" s="84"/>
    </row>
    <row r="232" ht="15.75" customHeight="1">
      <c r="A232" s="84"/>
      <c r="B232" s="84"/>
      <c r="C232" s="84"/>
      <c r="D232" s="84"/>
      <c r="E232" s="84"/>
      <c r="F232" s="84"/>
      <c r="G232" s="84"/>
      <c r="H232" s="84"/>
      <c r="I232" s="84"/>
      <c r="J232" s="84"/>
      <c r="K232" s="84"/>
      <c r="L232" s="84"/>
      <c r="M232" s="84"/>
      <c r="N232" s="84"/>
      <c r="O232" s="84"/>
      <c r="P232" s="84"/>
      <c r="Q232" s="84"/>
      <c r="R232" s="84"/>
      <c r="S232" s="84"/>
      <c r="T232" s="84"/>
      <c r="U232" s="84"/>
      <c r="V232" s="84"/>
      <c r="W232" s="84"/>
      <c r="X232" s="84"/>
      <c r="Y232" s="84"/>
      <c r="Z232" s="84"/>
    </row>
    <row r="233" ht="15.75" customHeight="1">
      <c r="A233" s="84"/>
      <c r="B233" s="84"/>
      <c r="C233" s="84"/>
      <c r="D233" s="84"/>
      <c r="E233" s="84"/>
      <c r="F233" s="84"/>
      <c r="G233" s="84"/>
      <c r="H233" s="84"/>
      <c r="I233" s="84"/>
      <c r="J233" s="84"/>
      <c r="K233" s="84"/>
      <c r="L233" s="84"/>
      <c r="M233" s="84"/>
      <c r="N233" s="84"/>
      <c r="O233" s="84"/>
      <c r="P233" s="84"/>
      <c r="Q233" s="84"/>
      <c r="R233" s="84"/>
      <c r="S233" s="84"/>
      <c r="T233" s="84"/>
      <c r="U233" s="84"/>
      <c r="V233" s="84"/>
      <c r="W233" s="84"/>
      <c r="X233" s="84"/>
      <c r="Y233" s="84"/>
      <c r="Z233" s="84"/>
    </row>
    <row r="234" ht="15.75" customHeight="1">
      <c r="A234" s="84"/>
      <c r="B234" s="84"/>
      <c r="C234" s="84"/>
      <c r="D234" s="84"/>
      <c r="E234" s="84"/>
      <c r="F234" s="84"/>
      <c r="G234" s="84"/>
      <c r="H234" s="84"/>
      <c r="I234" s="84"/>
      <c r="J234" s="84"/>
      <c r="K234" s="84"/>
      <c r="L234" s="84"/>
      <c r="M234" s="84"/>
      <c r="N234" s="84"/>
      <c r="O234" s="84"/>
      <c r="P234" s="84"/>
      <c r="Q234" s="84"/>
      <c r="R234" s="84"/>
      <c r="S234" s="84"/>
      <c r="T234" s="84"/>
      <c r="U234" s="84"/>
      <c r="V234" s="84"/>
      <c r="W234" s="84"/>
      <c r="X234" s="84"/>
      <c r="Y234" s="84"/>
      <c r="Z234" s="84"/>
    </row>
    <row r="235" ht="15.75" customHeight="1">
      <c r="A235" s="84"/>
      <c r="B235" s="84"/>
      <c r="C235" s="84"/>
      <c r="D235" s="84"/>
      <c r="E235" s="84"/>
      <c r="F235" s="84"/>
      <c r="G235" s="84"/>
      <c r="H235" s="84"/>
      <c r="I235" s="84"/>
      <c r="J235" s="84"/>
      <c r="K235" s="84"/>
      <c r="L235" s="84"/>
      <c r="M235" s="84"/>
      <c r="N235" s="84"/>
      <c r="O235" s="84"/>
      <c r="P235" s="84"/>
      <c r="Q235" s="84"/>
      <c r="R235" s="84"/>
      <c r="S235" s="84"/>
      <c r="T235" s="84"/>
      <c r="U235" s="84"/>
      <c r="V235" s="84"/>
      <c r="W235" s="84"/>
      <c r="X235" s="84"/>
      <c r="Y235" s="84"/>
      <c r="Z235" s="84"/>
    </row>
    <row r="236" ht="15.75" customHeight="1">
      <c r="A236" s="84"/>
      <c r="B236" s="84"/>
      <c r="C236" s="84"/>
      <c r="D236" s="84"/>
      <c r="E236" s="84"/>
      <c r="F236" s="84"/>
      <c r="G236" s="84"/>
      <c r="H236" s="84"/>
      <c r="I236" s="84"/>
      <c r="J236" s="84"/>
      <c r="K236" s="84"/>
      <c r="L236" s="84"/>
      <c r="M236" s="84"/>
      <c r="N236" s="84"/>
      <c r="O236" s="84"/>
      <c r="P236" s="84"/>
      <c r="Q236" s="84"/>
      <c r="R236" s="84"/>
      <c r="S236" s="84"/>
      <c r="T236" s="84"/>
      <c r="U236" s="84"/>
      <c r="V236" s="84"/>
      <c r="W236" s="84"/>
      <c r="X236" s="84"/>
      <c r="Y236" s="84"/>
      <c r="Z236" s="84"/>
    </row>
    <row r="237" ht="15.75" customHeight="1">
      <c r="A237" s="84"/>
      <c r="B237" s="84"/>
      <c r="C237" s="84"/>
      <c r="D237" s="84"/>
      <c r="E237" s="84"/>
      <c r="F237" s="84"/>
      <c r="G237" s="84"/>
      <c r="H237" s="84"/>
      <c r="I237" s="84"/>
      <c r="J237" s="84"/>
      <c r="K237" s="84"/>
      <c r="L237" s="84"/>
      <c r="M237" s="84"/>
      <c r="N237" s="84"/>
      <c r="O237" s="84"/>
      <c r="P237" s="84"/>
      <c r="Q237" s="84"/>
      <c r="R237" s="84"/>
      <c r="S237" s="84"/>
      <c r="T237" s="84"/>
      <c r="U237" s="84"/>
      <c r="V237" s="84"/>
      <c r="W237" s="84"/>
      <c r="X237" s="84"/>
      <c r="Y237" s="84"/>
      <c r="Z237" s="84"/>
    </row>
    <row r="238" ht="15.75" customHeight="1">
      <c r="A238" s="84"/>
      <c r="B238" s="84"/>
      <c r="C238" s="84"/>
      <c r="D238" s="84"/>
      <c r="E238" s="84"/>
      <c r="F238" s="84"/>
      <c r="G238" s="84"/>
      <c r="H238" s="84"/>
      <c r="I238" s="84"/>
      <c r="J238" s="84"/>
      <c r="K238" s="84"/>
      <c r="L238" s="84"/>
      <c r="M238" s="84"/>
      <c r="N238" s="84"/>
      <c r="O238" s="84"/>
      <c r="P238" s="84"/>
      <c r="Q238" s="84"/>
      <c r="R238" s="84"/>
      <c r="S238" s="84"/>
      <c r="T238" s="84"/>
      <c r="U238" s="84"/>
      <c r="V238" s="84"/>
      <c r="W238" s="84"/>
      <c r="X238" s="84"/>
      <c r="Y238" s="84"/>
      <c r="Z238" s="84"/>
    </row>
    <row r="239" ht="15.75" customHeight="1">
      <c r="A239" s="84"/>
      <c r="B239" s="84"/>
      <c r="C239" s="84"/>
      <c r="D239" s="84"/>
      <c r="E239" s="84"/>
      <c r="F239" s="84"/>
      <c r="G239" s="84"/>
      <c r="H239" s="84"/>
      <c r="I239" s="84"/>
      <c r="J239" s="84"/>
      <c r="K239" s="84"/>
      <c r="L239" s="84"/>
      <c r="M239" s="84"/>
      <c r="N239" s="84"/>
      <c r="O239" s="84"/>
      <c r="P239" s="84"/>
      <c r="Q239" s="84"/>
      <c r="R239" s="84"/>
      <c r="S239" s="84"/>
      <c r="T239" s="84"/>
      <c r="U239" s="84"/>
      <c r="V239" s="84"/>
      <c r="W239" s="84"/>
      <c r="X239" s="84"/>
      <c r="Y239" s="84"/>
      <c r="Z239" s="84"/>
    </row>
    <row r="240" ht="15.75" customHeight="1">
      <c r="A240" s="84"/>
      <c r="B240" s="84"/>
      <c r="C240" s="84"/>
      <c r="D240" s="84"/>
      <c r="E240" s="84"/>
      <c r="F240" s="84"/>
      <c r="G240" s="84"/>
      <c r="H240" s="84"/>
      <c r="I240" s="84"/>
      <c r="J240" s="84"/>
      <c r="K240" s="84"/>
      <c r="L240" s="84"/>
      <c r="M240" s="84"/>
      <c r="N240" s="84"/>
      <c r="O240" s="84"/>
      <c r="P240" s="84"/>
      <c r="Q240" s="84"/>
      <c r="R240" s="84"/>
      <c r="S240" s="84"/>
      <c r="T240" s="84"/>
      <c r="U240" s="84"/>
      <c r="V240" s="84"/>
      <c r="W240" s="84"/>
      <c r="X240" s="84"/>
      <c r="Y240" s="84"/>
      <c r="Z240" s="84"/>
    </row>
    <row r="241" ht="15.75" customHeight="1">
      <c r="A241" s="84"/>
      <c r="B241" s="84"/>
      <c r="C241" s="84"/>
      <c r="D241" s="84"/>
      <c r="E241" s="84"/>
      <c r="F241" s="84"/>
      <c r="G241" s="84"/>
      <c r="H241" s="84"/>
      <c r="I241" s="84"/>
      <c r="J241" s="84"/>
      <c r="K241" s="84"/>
      <c r="L241" s="84"/>
      <c r="M241" s="84"/>
      <c r="N241" s="84"/>
      <c r="O241" s="84"/>
      <c r="P241" s="84"/>
      <c r="Q241" s="84"/>
      <c r="R241" s="84"/>
      <c r="S241" s="84"/>
      <c r="T241" s="84"/>
      <c r="U241" s="84"/>
      <c r="V241" s="84"/>
      <c r="W241" s="84"/>
      <c r="X241" s="84"/>
      <c r="Y241" s="84"/>
      <c r="Z241" s="84"/>
    </row>
    <row r="242" ht="15.75" customHeight="1">
      <c r="A242" s="84"/>
      <c r="B242" s="84"/>
      <c r="C242" s="84"/>
      <c r="D242" s="84"/>
      <c r="E242" s="84"/>
      <c r="F242" s="84"/>
      <c r="G242" s="84"/>
      <c r="H242" s="84"/>
      <c r="I242" s="84"/>
      <c r="J242" s="84"/>
      <c r="K242" s="84"/>
      <c r="L242" s="84"/>
      <c r="M242" s="84"/>
      <c r="N242" s="84"/>
      <c r="O242" s="84"/>
      <c r="P242" s="84"/>
      <c r="Q242" s="84"/>
      <c r="R242" s="84"/>
      <c r="S242" s="84"/>
      <c r="T242" s="84"/>
      <c r="U242" s="84"/>
      <c r="V242" s="84"/>
      <c r="W242" s="84"/>
      <c r="X242" s="84"/>
      <c r="Y242" s="84"/>
      <c r="Z242" s="84"/>
    </row>
    <row r="243" ht="15.75" customHeight="1">
      <c r="A243" s="84"/>
      <c r="B243" s="84"/>
      <c r="C243" s="84"/>
      <c r="D243" s="84"/>
      <c r="E243" s="84"/>
      <c r="F243" s="84"/>
      <c r="G243" s="84"/>
      <c r="H243" s="84"/>
      <c r="I243" s="84"/>
      <c r="J243" s="84"/>
      <c r="K243" s="84"/>
      <c r="L243" s="84"/>
      <c r="M243" s="84"/>
      <c r="N243" s="84"/>
      <c r="O243" s="84"/>
      <c r="P243" s="84"/>
      <c r="Q243" s="84"/>
      <c r="R243" s="84"/>
      <c r="S243" s="84"/>
      <c r="T243" s="84"/>
      <c r="U243" s="84"/>
      <c r="V243" s="84"/>
      <c r="W243" s="84"/>
      <c r="X243" s="84"/>
      <c r="Y243" s="84"/>
      <c r="Z243" s="84"/>
    </row>
    <row r="244" ht="15.75" customHeight="1">
      <c r="A244" s="84"/>
      <c r="B244" s="84"/>
      <c r="C244" s="84"/>
      <c r="D244" s="84"/>
      <c r="E244" s="84"/>
      <c r="F244" s="84"/>
      <c r="G244" s="84"/>
      <c r="H244" s="84"/>
      <c r="I244" s="84"/>
      <c r="J244" s="84"/>
      <c r="K244" s="84"/>
      <c r="L244" s="84"/>
      <c r="M244" s="84"/>
      <c r="N244" s="84"/>
      <c r="O244" s="84"/>
      <c r="P244" s="84"/>
      <c r="Q244" s="84"/>
      <c r="R244" s="84"/>
      <c r="S244" s="84"/>
      <c r="T244" s="84"/>
      <c r="U244" s="84"/>
      <c r="V244" s="84"/>
      <c r="W244" s="84"/>
      <c r="X244" s="84"/>
      <c r="Y244" s="84"/>
      <c r="Z244" s="84"/>
    </row>
    <row r="245" ht="15.75" customHeight="1">
      <c r="A245" s="84"/>
      <c r="B245" s="84"/>
      <c r="C245" s="84"/>
      <c r="D245" s="84"/>
      <c r="E245" s="84"/>
      <c r="F245" s="84"/>
      <c r="G245" s="84"/>
      <c r="H245" s="84"/>
      <c r="I245" s="84"/>
      <c r="J245" s="84"/>
      <c r="K245" s="84"/>
      <c r="L245" s="84"/>
      <c r="M245" s="84"/>
      <c r="N245" s="84"/>
      <c r="O245" s="84"/>
      <c r="P245" s="84"/>
      <c r="Q245" s="84"/>
      <c r="R245" s="84"/>
      <c r="S245" s="84"/>
      <c r="T245" s="84"/>
      <c r="U245" s="84"/>
      <c r="V245" s="84"/>
      <c r="W245" s="84"/>
      <c r="X245" s="84"/>
      <c r="Y245" s="84"/>
      <c r="Z245" s="84"/>
    </row>
    <row r="246" ht="15.75" customHeight="1">
      <c r="A246" s="84"/>
      <c r="B246" s="84"/>
      <c r="C246" s="84"/>
      <c r="D246" s="84"/>
      <c r="E246" s="84"/>
      <c r="F246" s="84"/>
      <c r="G246" s="84"/>
      <c r="H246" s="84"/>
      <c r="I246" s="84"/>
      <c r="J246" s="84"/>
      <c r="K246" s="84"/>
      <c r="L246" s="84"/>
      <c r="M246" s="84"/>
      <c r="N246" s="84"/>
      <c r="O246" s="84"/>
      <c r="P246" s="84"/>
      <c r="Q246" s="84"/>
      <c r="R246" s="84"/>
      <c r="S246" s="84"/>
      <c r="T246" s="84"/>
      <c r="U246" s="84"/>
      <c r="V246" s="84"/>
      <c r="W246" s="84"/>
      <c r="X246" s="84"/>
      <c r="Y246" s="84"/>
      <c r="Z246" s="84"/>
    </row>
    <row r="247" ht="15.75" customHeight="1">
      <c r="A247" s="84"/>
      <c r="B247" s="84"/>
      <c r="C247" s="84"/>
      <c r="D247" s="84"/>
      <c r="E247" s="84"/>
      <c r="F247" s="84"/>
      <c r="G247" s="84"/>
      <c r="H247" s="84"/>
      <c r="I247" s="84"/>
      <c r="J247" s="84"/>
      <c r="K247" s="84"/>
      <c r="L247" s="84"/>
      <c r="M247" s="84"/>
      <c r="N247" s="84"/>
      <c r="O247" s="84"/>
      <c r="P247" s="84"/>
      <c r="Q247" s="84"/>
      <c r="R247" s="84"/>
      <c r="S247" s="84"/>
      <c r="T247" s="84"/>
      <c r="U247" s="84"/>
      <c r="V247" s="84"/>
      <c r="W247" s="84"/>
      <c r="X247" s="84"/>
      <c r="Y247" s="84"/>
      <c r="Z247" s="84"/>
    </row>
    <row r="248" ht="15.75" customHeight="1">
      <c r="A248" s="84"/>
      <c r="B248" s="84"/>
      <c r="C248" s="84"/>
      <c r="D248" s="84"/>
      <c r="E248" s="84"/>
      <c r="F248" s="84"/>
      <c r="G248" s="84"/>
      <c r="H248" s="84"/>
      <c r="I248" s="84"/>
      <c r="J248" s="84"/>
      <c r="K248" s="84"/>
      <c r="L248" s="84"/>
      <c r="M248" s="84"/>
      <c r="N248" s="84"/>
      <c r="O248" s="84"/>
      <c r="P248" s="84"/>
      <c r="Q248" s="84"/>
      <c r="R248" s="84"/>
      <c r="S248" s="84"/>
      <c r="T248" s="84"/>
      <c r="U248" s="84"/>
      <c r="V248" s="84"/>
      <c r="W248" s="84"/>
      <c r="X248" s="84"/>
      <c r="Y248" s="84"/>
      <c r="Z248" s="84"/>
    </row>
    <row r="249" ht="15.75" customHeight="1">
      <c r="A249" s="84"/>
      <c r="B249" s="84"/>
      <c r="C249" s="84"/>
      <c r="D249" s="84"/>
      <c r="E249" s="84"/>
      <c r="F249" s="84"/>
      <c r="G249" s="84"/>
      <c r="H249" s="84"/>
      <c r="I249" s="84"/>
      <c r="J249" s="84"/>
      <c r="K249" s="84"/>
      <c r="L249" s="84"/>
      <c r="M249" s="84"/>
      <c r="N249" s="84"/>
      <c r="O249" s="84"/>
      <c r="P249" s="84"/>
      <c r="Q249" s="84"/>
      <c r="R249" s="84"/>
      <c r="S249" s="84"/>
      <c r="T249" s="84"/>
      <c r="U249" s="84"/>
      <c r="V249" s="84"/>
      <c r="W249" s="84"/>
      <c r="X249" s="84"/>
      <c r="Y249" s="84"/>
      <c r="Z249" s="84"/>
    </row>
    <row r="250" ht="15.75" customHeight="1">
      <c r="A250" s="84"/>
      <c r="B250" s="84"/>
      <c r="C250" s="84"/>
      <c r="D250" s="84"/>
      <c r="E250" s="84"/>
      <c r="F250" s="84"/>
      <c r="G250" s="84"/>
      <c r="H250" s="84"/>
      <c r="I250" s="84"/>
      <c r="J250" s="84"/>
      <c r="K250" s="84"/>
      <c r="L250" s="84"/>
      <c r="M250" s="84"/>
      <c r="N250" s="84"/>
      <c r="O250" s="84"/>
      <c r="P250" s="84"/>
      <c r="Q250" s="84"/>
      <c r="R250" s="84"/>
      <c r="S250" s="84"/>
      <c r="T250" s="84"/>
      <c r="U250" s="84"/>
      <c r="V250" s="84"/>
      <c r="W250" s="84"/>
      <c r="X250" s="84"/>
      <c r="Y250" s="84"/>
      <c r="Z250" s="84"/>
    </row>
    <row r="251" ht="15.75" customHeight="1">
      <c r="A251" s="84"/>
      <c r="B251" s="84"/>
      <c r="C251" s="84"/>
      <c r="D251" s="84"/>
      <c r="E251" s="84"/>
      <c r="F251" s="84"/>
      <c r="G251" s="84"/>
      <c r="H251" s="84"/>
      <c r="I251" s="84"/>
      <c r="J251" s="84"/>
      <c r="K251" s="84"/>
      <c r="L251" s="84"/>
      <c r="M251" s="84"/>
      <c r="N251" s="84"/>
      <c r="O251" s="84"/>
      <c r="P251" s="84"/>
      <c r="Q251" s="84"/>
      <c r="R251" s="84"/>
      <c r="S251" s="84"/>
      <c r="T251" s="84"/>
      <c r="U251" s="84"/>
      <c r="V251" s="84"/>
      <c r="W251" s="84"/>
      <c r="X251" s="84"/>
      <c r="Y251" s="84"/>
      <c r="Z251" s="84"/>
    </row>
    <row r="252" ht="15.75" customHeight="1">
      <c r="A252" s="84"/>
      <c r="B252" s="84"/>
      <c r="C252" s="84"/>
      <c r="D252" s="84"/>
      <c r="E252" s="84"/>
      <c r="F252" s="84"/>
      <c r="G252" s="84"/>
      <c r="H252" s="84"/>
      <c r="I252" s="84"/>
      <c r="J252" s="84"/>
      <c r="K252" s="84"/>
      <c r="L252" s="84"/>
      <c r="M252" s="84"/>
      <c r="N252" s="84"/>
      <c r="O252" s="84"/>
      <c r="P252" s="84"/>
      <c r="Q252" s="84"/>
      <c r="R252" s="84"/>
      <c r="S252" s="84"/>
      <c r="T252" s="84"/>
      <c r="U252" s="84"/>
      <c r="V252" s="84"/>
      <c r="W252" s="84"/>
      <c r="X252" s="84"/>
      <c r="Y252" s="84"/>
      <c r="Z252" s="84"/>
    </row>
    <row r="253" ht="15.75" customHeight="1">
      <c r="A253" s="84"/>
      <c r="B253" s="84"/>
      <c r="C253" s="84"/>
      <c r="D253" s="84"/>
      <c r="E253" s="84"/>
      <c r="F253" s="84"/>
      <c r="G253" s="84"/>
      <c r="H253" s="84"/>
      <c r="I253" s="84"/>
      <c r="J253" s="84"/>
      <c r="K253" s="84"/>
      <c r="L253" s="84"/>
      <c r="M253" s="84"/>
      <c r="N253" s="84"/>
      <c r="O253" s="84"/>
      <c r="P253" s="84"/>
      <c r="Q253" s="84"/>
      <c r="R253" s="84"/>
      <c r="S253" s="84"/>
      <c r="T253" s="84"/>
      <c r="U253" s="84"/>
      <c r="V253" s="84"/>
      <c r="W253" s="84"/>
      <c r="X253" s="84"/>
      <c r="Y253" s="84"/>
      <c r="Z253" s="84"/>
    </row>
    <row r="254" ht="15.75" customHeight="1">
      <c r="A254" s="84"/>
      <c r="B254" s="84"/>
      <c r="C254" s="84"/>
      <c r="D254" s="84"/>
      <c r="E254" s="84"/>
      <c r="F254" s="84"/>
      <c r="G254" s="84"/>
      <c r="H254" s="84"/>
      <c r="I254" s="84"/>
      <c r="J254" s="84"/>
      <c r="K254" s="84"/>
      <c r="L254" s="84"/>
      <c r="M254" s="84"/>
      <c r="N254" s="84"/>
      <c r="O254" s="84"/>
      <c r="P254" s="84"/>
      <c r="Q254" s="84"/>
      <c r="R254" s="84"/>
      <c r="S254" s="84"/>
      <c r="T254" s="84"/>
      <c r="U254" s="84"/>
      <c r="V254" s="84"/>
      <c r="W254" s="84"/>
      <c r="X254" s="84"/>
      <c r="Y254" s="84"/>
      <c r="Z254" s="84"/>
    </row>
    <row r="255" ht="15.75" customHeight="1">
      <c r="A255" s="84"/>
      <c r="B255" s="84"/>
      <c r="C255" s="84"/>
      <c r="D255" s="84"/>
      <c r="E255" s="84"/>
      <c r="F255" s="84"/>
      <c r="G255" s="84"/>
      <c r="H255" s="84"/>
      <c r="I255" s="84"/>
      <c r="J255" s="84"/>
      <c r="K255" s="84"/>
      <c r="L255" s="84"/>
      <c r="M255" s="84"/>
      <c r="N255" s="84"/>
      <c r="O255" s="84"/>
      <c r="P255" s="84"/>
      <c r="Q255" s="84"/>
      <c r="R255" s="84"/>
      <c r="S255" s="84"/>
      <c r="T255" s="84"/>
      <c r="U255" s="84"/>
      <c r="V255" s="84"/>
      <c r="W255" s="84"/>
      <c r="X255" s="84"/>
      <c r="Y255" s="84"/>
      <c r="Z255" s="84"/>
    </row>
    <row r="256" ht="15.75" customHeight="1">
      <c r="A256" s="84"/>
      <c r="B256" s="84"/>
      <c r="C256" s="84"/>
      <c r="D256" s="84"/>
      <c r="E256" s="84"/>
      <c r="F256" s="84"/>
      <c r="G256" s="84"/>
      <c r="H256" s="84"/>
      <c r="I256" s="84"/>
      <c r="J256" s="84"/>
      <c r="K256" s="84"/>
      <c r="L256" s="84"/>
      <c r="M256" s="84"/>
      <c r="N256" s="84"/>
      <c r="O256" s="84"/>
      <c r="P256" s="84"/>
      <c r="Q256" s="84"/>
      <c r="R256" s="84"/>
      <c r="S256" s="84"/>
      <c r="T256" s="84"/>
      <c r="U256" s="84"/>
      <c r="V256" s="84"/>
      <c r="W256" s="84"/>
      <c r="X256" s="84"/>
      <c r="Y256" s="84"/>
      <c r="Z256" s="84"/>
    </row>
    <row r="257" ht="15.75" customHeight="1">
      <c r="A257" s="84"/>
      <c r="B257" s="84"/>
      <c r="C257" s="84"/>
      <c r="D257" s="84"/>
      <c r="E257" s="84"/>
      <c r="F257" s="84"/>
      <c r="G257" s="84"/>
      <c r="H257" s="84"/>
      <c r="I257" s="84"/>
      <c r="J257" s="84"/>
      <c r="K257" s="84"/>
      <c r="L257" s="84"/>
      <c r="M257" s="84"/>
      <c r="N257" s="84"/>
      <c r="O257" s="84"/>
      <c r="P257" s="84"/>
      <c r="Q257" s="84"/>
      <c r="R257" s="84"/>
      <c r="S257" s="84"/>
      <c r="T257" s="84"/>
      <c r="U257" s="84"/>
      <c r="V257" s="84"/>
      <c r="W257" s="84"/>
      <c r="X257" s="84"/>
      <c r="Y257" s="84"/>
      <c r="Z257" s="84"/>
    </row>
    <row r="258" ht="15.75" customHeight="1">
      <c r="A258" s="84"/>
      <c r="B258" s="84"/>
      <c r="C258" s="84"/>
      <c r="D258" s="84"/>
      <c r="E258" s="84"/>
      <c r="F258" s="84"/>
      <c r="G258" s="84"/>
      <c r="H258" s="84"/>
      <c r="I258" s="84"/>
      <c r="J258" s="84"/>
      <c r="K258" s="84"/>
      <c r="L258" s="84"/>
      <c r="M258" s="84"/>
      <c r="N258" s="84"/>
      <c r="O258" s="84"/>
      <c r="P258" s="84"/>
      <c r="Q258" s="84"/>
      <c r="R258" s="84"/>
      <c r="S258" s="84"/>
      <c r="T258" s="84"/>
      <c r="U258" s="84"/>
      <c r="V258" s="84"/>
      <c r="W258" s="84"/>
      <c r="X258" s="84"/>
      <c r="Y258" s="84"/>
      <c r="Z258" s="84"/>
    </row>
    <row r="259" ht="15.75" customHeight="1">
      <c r="A259" s="84"/>
      <c r="B259" s="84"/>
      <c r="C259" s="84"/>
      <c r="D259" s="84"/>
      <c r="E259" s="84"/>
      <c r="F259" s="84"/>
      <c r="G259" s="84"/>
      <c r="H259" s="84"/>
      <c r="I259" s="84"/>
      <c r="J259" s="84"/>
      <c r="K259" s="84"/>
      <c r="L259" s="84"/>
      <c r="M259" s="84"/>
      <c r="N259" s="84"/>
      <c r="O259" s="84"/>
      <c r="P259" s="84"/>
      <c r="Q259" s="84"/>
      <c r="R259" s="84"/>
      <c r="S259" s="84"/>
      <c r="T259" s="84"/>
      <c r="U259" s="84"/>
      <c r="V259" s="84"/>
      <c r="W259" s="84"/>
      <c r="X259" s="84"/>
      <c r="Y259" s="84"/>
      <c r="Z259" s="84"/>
    </row>
    <row r="260" ht="15.75" customHeight="1">
      <c r="A260" s="84"/>
      <c r="B260" s="84"/>
      <c r="C260" s="84"/>
      <c r="D260" s="84"/>
      <c r="E260" s="84"/>
      <c r="F260" s="84"/>
      <c r="G260" s="84"/>
      <c r="H260" s="84"/>
      <c r="I260" s="84"/>
      <c r="J260" s="84"/>
      <c r="K260" s="84"/>
      <c r="L260" s="84"/>
      <c r="M260" s="84"/>
      <c r="N260" s="84"/>
      <c r="O260" s="84"/>
      <c r="P260" s="84"/>
      <c r="Q260" s="84"/>
      <c r="R260" s="84"/>
      <c r="S260" s="84"/>
      <c r="T260" s="84"/>
      <c r="U260" s="84"/>
      <c r="V260" s="84"/>
      <c r="W260" s="84"/>
      <c r="X260" s="84"/>
      <c r="Y260" s="84"/>
      <c r="Z260" s="84"/>
    </row>
    <row r="261" ht="15.75" customHeight="1">
      <c r="A261" s="84"/>
      <c r="B261" s="84"/>
      <c r="C261" s="84"/>
      <c r="D261" s="84"/>
      <c r="E261" s="84"/>
      <c r="F261" s="84"/>
      <c r="G261" s="84"/>
      <c r="H261" s="84"/>
      <c r="I261" s="84"/>
      <c r="J261" s="84"/>
      <c r="K261" s="84"/>
      <c r="L261" s="84"/>
      <c r="M261" s="84"/>
      <c r="N261" s="84"/>
      <c r="O261" s="84"/>
      <c r="P261" s="84"/>
      <c r="Q261" s="84"/>
      <c r="R261" s="84"/>
      <c r="S261" s="84"/>
      <c r="T261" s="84"/>
      <c r="U261" s="84"/>
      <c r="V261" s="84"/>
      <c r="W261" s="84"/>
      <c r="X261" s="84"/>
      <c r="Y261" s="84"/>
      <c r="Z261" s="84"/>
    </row>
    <row r="262" ht="15.75" customHeight="1">
      <c r="A262" s="84"/>
      <c r="B262" s="84"/>
      <c r="C262" s="84"/>
      <c r="D262" s="84"/>
      <c r="E262" s="84"/>
      <c r="F262" s="84"/>
      <c r="G262" s="84"/>
      <c r="H262" s="84"/>
      <c r="I262" s="84"/>
      <c r="J262" s="84"/>
      <c r="K262" s="84"/>
      <c r="L262" s="84"/>
      <c r="M262" s="84"/>
      <c r="N262" s="84"/>
      <c r="O262" s="84"/>
      <c r="P262" s="84"/>
      <c r="Q262" s="84"/>
      <c r="R262" s="84"/>
      <c r="S262" s="84"/>
      <c r="T262" s="84"/>
      <c r="U262" s="84"/>
      <c r="V262" s="84"/>
      <c r="W262" s="84"/>
      <c r="X262" s="84"/>
      <c r="Y262" s="84"/>
      <c r="Z262" s="84"/>
    </row>
    <row r="263" ht="15.75" customHeight="1">
      <c r="A263" s="84"/>
      <c r="B263" s="84"/>
      <c r="C263" s="84"/>
      <c r="D263" s="84"/>
      <c r="E263" s="84"/>
      <c r="F263" s="84"/>
      <c r="G263" s="84"/>
      <c r="H263" s="84"/>
      <c r="I263" s="84"/>
      <c r="J263" s="84"/>
      <c r="K263" s="84"/>
      <c r="L263" s="84"/>
      <c r="M263" s="84"/>
      <c r="N263" s="84"/>
      <c r="O263" s="84"/>
      <c r="P263" s="84"/>
      <c r="Q263" s="84"/>
      <c r="R263" s="84"/>
      <c r="S263" s="84"/>
      <c r="T263" s="84"/>
      <c r="U263" s="84"/>
      <c r="V263" s="84"/>
      <c r="W263" s="84"/>
      <c r="X263" s="84"/>
      <c r="Y263" s="84"/>
      <c r="Z263" s="84"/>
    </row>
    <row r="264" ht="15.75" customHeight="1">
      <c r="A264" s="84"/>
      <c r="B264" s="84"/>
      <c r="C264" s="84"/>
      <c r="D264" s="84"/>
      <c r="E264" s="84"/>
      <c r="F264" s="84"/>
      <c r="G264" s="84"/>
      <c r="H264" s="84"/>
      <c r="I264" s="84"/>
      <c r="J264" s="84"/>
      <c r="K264" s="84"/>
      <c r="L264" s="84"/>
      <c r="M264" s="84"/>
      <c r="N264" s="84"/>
      <c r="O264" s="84"/>
      <c r="P264" s="84"/>
      <c r="Q264" s="84"/>
      <c r="R264" s="84"/>
      <c r="S264" s="84"/>
      <c r="T264" s="84"/>
      <c r="U264" s="84"/>
      <c r="V264" s="84"/>
      <c r="W264" s="84"/>
      <c r="X264" s="84"/>
      <c r="Y264" s="84"/>
      <c r="Z264" s="84"/>
    </row>
    <row r="265" ht="15.75" customHeight="1">
      <c r="A265" s="84"/>
      <c r="B265" s="84"/>
      <c r="C265" s="84"/>
      <c r="D265" s="84"/>
      <c r="E265" s="84"/>
      <c r="F265" s="84"/>
      <c r="G265" s="84"/>
      <c r="H265" s="84"/>
      <c r="I265" s="84"/>
      <c r="J265" s="84"/>
      <c r="K265" s="84"/>
      <c r="L265" s="84"/>
      <c r="M265" s="84"/>
      <c r="N265" s="84"/>
      <c r="O265" s="84"/>
      <c r="P265" s="84"/>
      <c r="Q265" s="84"/>
      <c r="R265" s="84"/>
      <c r="S265" s="84"/>
      <c r="T265" s="84"/>
      <c r="U265" s="84"/>
      <c r="V265" s="84"/>
      <c r="W265" s="84"/>
      <c r="X265" s="84"/>
      <c r="Y265" s="84"/>
      <c r="Z265" s="84"/>
    </row>
    <row r="266" ht="15.75" customHeight="1">
      <c r="A266" s="84"/>
      <c r="B266" s="84"/>
      <c r="C266" s="84"/>
      <c r="D266" s="84"/>
      <c r="E266" s="84"/>
      <c r="F266" s="84"/>
      <c r="G266" s="84"/>
      <c r="H266" s="84"/>
      <c r="I266" s="84"/>
      <c r="J266" s="84"/>
      <c r="K266" s="84"/>
      <c r="L266" s="84"/>
      <c r="M266" s="84"/>
      <c r="N266" s="84"/>
      <c r="O266" s="84"/>
      <c r="P266" s="84"/>
      <c r="Q266" s="84"/>
      <c r="R266" s="84"/>
      <c r="S266" s="84"/>
      <c r="T266" s="84"/>
      <c r="U266" s="84"/>
      <c r="V266" s="84"/>
      <c r="W266" s="84"/>
      <c r="X266" s="84"/>
      <c r="Y266" s="84"/>
      <c r="Z266" s="84"/>
    </row>
    <row r="267" ht="15.75" customHeight="1">
      <c r="A267" s="84"/>
      <c r="B267" s="84"/>
      <c r="C267" s="84"/>
      <c r="D267" s="84"/>
      <c r="E267" s="84"/>
      <c r="F267" s="84"/>
      <c r="G267" s="84"/>
      <c r="H267" s="84"/>
      <c r="I267" s="84"/>
      <c r="J267" s="84"/>
      <c r="K267" s="84"/>
      <c r="L267" s="84"/>
      <c r="M267" s="84"/>
      <c r="N267" s="84"/>
      <c r="O267" s="84"/>
      <c r="P267" s="84"/>
      <c r="Q267" s="84"/>
      <c r="R267" s="84"/>
      <c r="S267" s="84"/>
      <c r="T267" s="84"/>
      <c r="U267" s="84"/>
      <c r="V267" s="84"/>
      <c r="W267" s="84"/>
      <c r="X267" s="84"/>
      <c r="Y267" s="84"/>
      <c r="Z267" s="84"/>
    </row>
    <row r="268" ht="15.75" customHeight="1">
      <c r="A268" s="84"/>
      <c r="B268" s="84"/>
      <c r="C268" s="84"/>
      <c r="D268" s="84"/>
      <c r="E268" s="84"/>
      <c r="F268" s="84"/>
      <c r="G268" s="84"/>
      <c r="H268" s="84"/>
      <c r="I268" s="84"/>
      <c r="J268" s="84"/>
      <c r="K268" s="84"/>
      <c r="L268" s="84"/>
      <c r="M268" s="84"/>
      <c r="N268" s="84"/>
      <c r="O268" s="84"/>
      <c r="P268" s="84"/>
      <c r="Q268" s="84"/>
      <c r="R268" s="84"/>
      <c r="S268" s="84"/>
      <c r="T268" s="84"/>
      <c r="U268" s="84"/>
      <c r="V268" s="84"/>
      <c r="W268" s="84"/>
      <c r="X268" s="84"/>
      <c r="Y268" s="84"/>
      <c r="Z268" s="84"/>
    </row>
    <row r="269" ht="15.75" customHeight="1">
      <c r="A269" s="84"/>
      <c r="B269" s="84"/>
      <c r="C269" s="84"/>
      <c r="D269" s="84"/>
      <c r="E269" s="84"/>
      <c r="F269" s="84"/>
      <c r="G269" s="84"/>
      <c r="H269" s="84"/>
      <c r="I269" s="84"/>
      <c r="J269" s="84"/>
      <c r="K269" s="84"/>
      <c r="L269" s="84"/>
      <c r="M269" s="84"/>
      <c r="N269" s="84"/>
      <c r="O269" s="84"/>
      <c r="P269" s="84"/>
      <c r="Q269" s="84"/>
      <c r="R269" s="84"/>
      <c r="S269" s="84"/>
      <c r="T269" s="84"/>
      <c r="U269" s="84"/>
      <c r="V269" s="84"/>
      <c r="W269" s="84"/>
      <c r="X269" s="84"/>
      <c r="Y269" s="84"/>
      <c r="Z269" s="84"/>
    </row>
    <row r="270" ht="15.75" customHeight="1">
      <c r="A270" s="84"/>
      <c r="B270" s="84"/>
      <c r="C270" s="84"/>
      <c r="D270" s="84"/>
      <c r="E270" s="84"/>
      <c r="F270" s="84"/>
      <c r="G270" s="84"/>
      <c r="H270" s="84"/>
      <c r="I270" s="84"/>
      <c r="J270" s="84"/>
      <c r="K270" s="84"/>
      <c r="L270" s="84"/>
      <c r="M270" s="84"/>
      <c r="N270" s="84"/>
      <c r="O270" s="84"/>
      <c r="P270" s="84"/>
      <c r="Q270" s="84"/>
      <c r="R270" s="84"/>
      <c r="S270" s="84"/>
      <c r="T270" s="84"/>
      <c r="U270" s="84"/>
      <c r="V270" s="84"/>
      <c r="W270" s="84"/>
      <c r="X270" s="84"/>
      <c r="Y270" s="84"/>
      <c r="Z270" s="84"/>
    </row>
    <row r="271" ht="15.75" customHeight="1">
      <c r="A271" s="84"/>
      <c r="B271" s="84"/>
      <c r="C271" s="84"/>
      <c r="D271" s="84"/>
      <c r="E271" s="84"/>
      <c r="F271" s="84"/>
    </row>
    <row r="272" ht="15.75" customHeight="1">
      <c r="A272" s="84"/>
      <c r="B272" s="84"/>
      <c r="C272" s="84"/>
      <c r="D272" s="84"/>
      <c r="E272" s="84"/>
      <c r="F272" s="84"/>
    </row>
    <row r="273" ht="15.75" customHeight="1">
      <c r="A273" s="84"/>
      <c r="B273" s="84"/>
      <c r="C273" s="84"/>
      <c r="D273" s="84"/>
      <c r="E273" s="84"/>
      <c r="F273" s="84"/>
    </row>
    <row r="274" ht="15.75" customHeight="1">
      <c r="A274" s="84"/>
      <c r="B274" s="84"/>
      <c r="C274" s="84"/>
      <c r="D274" s="84"/>
      <c r="E274" s="84"/>
      <c r="F274" s="84"/>
    </row>
    <row r="275" ht="15.75" customHeight="1">
      <c r="A275" s="84"/>
      <c r="B275" s="84"/>
      <c r="C275" s="84"/>
      <c r="D275" s="84"/>
      <c r="E275" s="84"/>
      <c r="F275" s="84"/>
    </row>
    <row r="276" ht="15.75" customHeight="1">
      <c r="A276" s="84"/>
      <c r="B276" s="84"/>
      <c r="C276" s="84"/>
      <c r="D276" s="84"/>
      <c r="E276" s="84"/>
      <c r="F276" s="84"/>
    </row>
    <row r="277" ht="15.75" customHeight="1">
      <c r="A277" s="84"/>
      <c r="B277" s="84"/>
      <c r="C277" s="84"/>
      <c r="D277" s="84"/>
      <c r="E277" s="84"/>
      <c r="F277" s="84"/>
    </row>
    <row r="278" ht="15.75" customHeight="1">
      <c r="A278" s="84"/>
      <c r="B278" s="84"/>
      <c r="C278" s="84"/>
      <c r="D278" s="84"/>
      <c r="E278" s="84"/>
      <c r="F278" s="84"/>
    </row>
    <row r="279" ht="15.75" customHeight="1">
      <c r="A279" s="84"/>
      <c r="B279" s="84"/>
      <c r="C279" s="84"/>
      <c r="D279" s="84"/>
      <c r="E279" s="84"/>
      <c r="F279" s="84"/>
    </row>
    <row r="280" ht="15.75" customHeight="1">
      <c r="A280" s="84"/>
      <c r="B280" s="84"/>
      <c r="C280" s="84"/>
      <c r="D280" s="84"/>
      <c r="E280" s="84"/>
      <c r="F280" s="84"/>
    </row>
    <row r="281" ht="15.75" customHeight="1">
      <c r="A281" s="84"/>
      <c r="B281" s="84"/>
      <c r="C281" s="84"/>
      <c r="D281" s="84"/>
      <c r="E281" s="84"/>
      <c r="F281" s="84"/>
    </row>
    <row r="282" ht="15.75" customHeight="1">
      <c r="A282" s="84"/>
      <c r="B282" s="84"/>
      <c r="C282" s="84"/>
      <c r="D282" s="84"/>
      <c r="E282" s="84"/>
      <c r="F282" s="84"/>
    </row>
    <row r="283" ht="15.75" customHeight="1">
      <c r="A283" s="84"/>
      <c r="B283" s="84"/>
      <c r="C283" s="84"/>
      <c r="D283" s="84"/>
      <c r="E283" s="84"/>
      <c r="F283" s="84"/>
    </row>
    <row r="284" ht="15.75" customHeight="1">
      <c r="A284" s="84"/>
      <c r="B284" s="84"/>
      <c r="C284" s="84"/>
      <c r="D284" s="84"/>
      <c r="E284" s="84"/>
      <c r="F284" s="84"/>
    </row>
    <row r="285" ht="15.75" customHeight="1">
      <c r="A285" s="84"/>
      <c r="B285" s="84"/>
      <c r="C285" s="84"/>
      <c r="D285" s="84"/>
      <c r="E285" s="84"/>
      <c r="F285" s="84"/>
    </row>
    <row r="286" ht="15.75" customHeight="1">
      <c r="A286" s="84"/>
      <c r="B286" s="84"/>
      <c r="C286" s="84"/>
      <c r="D286" s="84"/>
      <c r="E286" s="84"/>
      <c r="F286" s="84"/>
    </row>
    <row r="287" ht="15.75" customHeight="1">
      <c r="A287" s="84"/>
      <c r="B287" s="84"/>
      <c r="C287" s="84"/>
      <c r="D287" s="84"/>
      <c r="E287" s="84"/>
      <c r="F287" s="84"/>
    </row>
    <row r="288" ht="15.75" customHeight="1">
      <c r="A288" s="84"/>
      <c r="B288" s="84"/>
      <c r="C288" s="84"/>
      <c r="D288" s="84"/>
      <c r="E288" s="84"/>
      <c r="F288" s="84"/>
    </row>
    <row r="289" ht="15.75" customHeight="1">
      <c r="A289" s="84"/>
      <c r="B289" s="84"/>
      <c r="C289" s="84"/>
      <c r="D289" s="84"/>
      <c r="E289" s="84"/>
      <c r="F289" s="84"/>
    </row>
    <row r="290" ht="15.75" customHeight="1">
      <c r="A290" s="84"/>
      <c r="B290" s="84"/>
      <c r="C290" s="84"/>
      <c r="D290" s="84"/>
      <c r="E290" s="84"/>
      <c r="F290" s="84"/>
    </row>
    <row r="291" ht="15.75" customHeight="1">
      <c r="A291" s="84"/>
      <c r="B291" s="84"/>
      <c r="C291" s="84"/>
      <c r="D291" s="84"/>
      <c r="E291" s="84"/>
      <c r="F291" s="84"/>
    </row>
    <row r="292" ht="15.75" customHeight="1">
      <c r="A292" s="84"/>
      <c r="B292" s="84"/>
      <c r="C292" s="84"/>
      <c r="D292" s="84"/>
      <c r="E292" s="84"/>
      <c r="F292" s="84"/>
    </row>
    <row r="293" ht="15.75" customHeight="1">
      <c r="A293" s="84"/>
      <c r="B293" s="84"/>
      <c r="C293" s="84"/>
      <c r="D293" s="84"/>
      <c r="E293" s="84"/>
      <c r="F293" s="84"/>
    </row>
    <row r="294" ht="15.75" customHeight="1">
      <c r="A294" s="84"/>
      <c r="B294" s="84"/>
      <c r="C294" s="84"/>
      <c r="D294" s="84"/>
      <c r="E294" s="84"/>
      <c r="F294" s="84"/>
    </row>
    <row r="295" ht="15.75" customHeight="1">
      <c r="A295" s="84"/>
      <c r="B295" s="84"/>
      <c r="C295" s="84"/>
      <c r="D295" s="84"/>
      <c r="E295" s="84"/>
      <c r="F295" s="84"/>
    </row>
    <row r="296" ht="15.75" customHeight="1">
      <c r="A296" s="84"/>
      <c r="B296" s="84"/>
      <c r="C296" s="84"/>
      <c r="D296" s="84"/>
      <c r="E296" s="84"/>
      <c r="F296" s="84"/>
    </row>
    <row r="297" ht="15.75" customHeight="1">
      <c r="A297" s="84"/>
      <c r="B297" s="84"/>
      <c r="C297" s="84"/>
      <c r="D297" s="84"/>
      <c r="E297" s="84"/>
      <c r="F297" s="84"/>
    </row>
    <row r="298" ht="15.75" customHeight="1">
      <c r="A298" s="84"/>
      <c r="B298" s="84"/>
      <c r="C298" s="84"/>
      <c r="D298" s="84"/>
      <c r="E298" s="84"/>
      <c r="F298" s="84"/>
    </row>
    <row r="299" ht="15.75" customHeight="1">
      <c r="A299" s="84"/>
      <c r="B299" s="84"/>
      <c r="C299" s="84"/>
      <c r="D299" s="84"/>
      <c r="E299" s="84"/>
      <c r="F299" s="84"/>
    </row>
    <row r="300" ht="15.75" customHeight="1">
      <c r="A300" s="84"/>
      <c r="B300" s="84"/>
      <c r="C300" s="84"/>
      <c r="D300" s="84"/>
      <c r="E300" s="84"/>
      <c r="F300" s="84"/>
    </row>
    <row r="301" ht="15.75" customHeight="1">
      <c r="A301" s="84"/>
      <c r="B301" s="84"/>
      <c r="C301" s="84"/>
      <c r="D301" s="84"/>
      <c r="E301" s="84"/>
      <c r="F301" s="84"/>
    </row>
    <row r="302" ht="15.75" customHeight="1">
      <c r="A302" s="84"/>
      <c r="B302" s="84"/>
      <c r="C302" s="84"/>
      <c r="D302" s="84"/>
      <c r="E302" s="84"/>
      <c r="F302" s="84"/>
    </row>
    <row r="303" ht="15.75" customHeight="1">
      <c r="A303" s="84"/>
      <c r="B303" s="84"/>
      <c r="C303" s="84"/>
      <c r="D303" s="84"/>
      <c r="E303" s="84"/>
      <c r="F303" s="84"/>
    </row>
    <row r="304" ht="15.75" customHeight="1">
      <c r="A304" s="84"/>
      <c r="B304" s="84"/>
      <c r="C304" s="84"/>
      <c r="D304" s="84"/>
      <c r="E304" s="84"/>
      <c r="F304" s="84"/>
    </row>
    <row r="305" ht="15.75" customHeight="1">
      <c r="A305" s="84"/>
      <c r="B305" s="84"/>
      <c r="C305" s="84"/>
      <c r="D305" s="84"/>
      <c r="E305" s="84"/>
      <c r="F305" s="84"/>
    </row>
    <row r="306" ht="15.75" customHeight="1">
      <c r="A306" s="84"/>
      <c r="B306" s="84"/>
      <c r="C306" s="84"/>
      <c r="D306" s="84"/>
      <c r="E306" s="84"/>
      <c r="F306" s="84"/>
    </row>
    <row r="307" ht="15.75" customHeight="1">
      <c r="A307" s="84"/>
      <c r="B307" s="84"/>
      <c r="C307" s="84"/>
      <c r="D307" s="84"/>
      <c r="E307" s="84"/>
      <c r="F307" s="84"/>
    </row>
    <row r="308" ht="15.75" customHeight="1">
      <c r="A308" s="84"/>
      <c r="B308" s="84"/>
      <c r="C308" s="84"/>
      <c r="D308" s="84"/>
      <c r="E308" s="84"/>
      <c r="F308" s="84"/>
    </row>
    <row r="309" ht="15.75" customHeight="1">
      <c r="A309" s="84"/>
      <c r="B309" s="84"/>
      <c r="C309" s="84"/>
      <c r="D309" s="84"/>
      <c r="E309" s="84"/>
      <c r="F309" s="84"/>
    </row>
    <row r="310" ht="15.75" customHeight="1">
      <c r="A310" s="84"/>
      <c r="B310" s="84"/>
      <c r="C310" s="84"/>
      <c r="D310" s="84"/>
      <c r="E310" s="84"/>
      <c r="F310" s="84"/>
    </row>
    <row r="311" ht="15.75" customHeight="1">
      <c r="A311" s="84"/>
      <c r="B311" s="84"/>
      <c r="C311" s="84"/>
      <c r="D311" s="84"/>
      <c r="E311" s="84"/>
      <c r="F311" s="84"/>
    </row>
    <row r="312" ht="15.75" customHeight="1">
      <c r="A312" s="84"/>
      <c r="B312" s="84"/>
      <c r="C312" s="84"/>
      <c r="D312" s="84"/>
      <c r="E312" s="84"/>
      <c r="F312" s="84"/>
    </row>
    <row r="313" ht="15.75" customHeight="1">
      <c r="A313" s="84"/>
      <c r="B313" s="84"/>
      <c r="C313" s="84"/>
      <c r="D313" s="84"/>
      <c r="E313" s="84"/>
      <c r="F313" s="84"/>
    </row>
    <row r="314" ht="15.75" customHeight="1">
      <c r="A314" s="84"/>
      <c r="B314" s="84"/>
      <c r="C314" s="84"/>
      <c r="D314" s="84"/>
      <c r="E314" s="84"/>
      <c r="F314" s="84"/>
    </row>
    <row r="315" ht="15.75" customHeight="1">
      <c r="A315" s="84"/>
      <c r="B315" s="84"/>
      <c r="C315" s="84"/>
      <c r="D315" s="84"/>
      <c r="E315" s="84"/>
      <c r="F315" s="84"/>
    </row>
    <row r="316" ht="15.75" customHeight="1">
      <c r="A316" s="84"/>
      <c r="B316" s="84"/>
      <c r="C316" s="84"/>
      <c r="D316" s="84"/>
      <c r="E316" s="84"/>
      <c r="F316" s="84"/>
    </row>
    <row r="317" ht="15.75" customHeight="1">
      <c r="A317" s="84"/>
      <c r="B317" s="84"/>
      <c r="C317" s="84"/>
      <c r="D317" s="84"/>
      <c r="E317" s="84"/>
      <c r="F317" s="84"/>
    </row>
    <row r="318" ht="15.75" customHeight="1">
      <c r="A318" s="84"/>
      <c r="B318" s="84"/>
      <c r="C318" s="84"/>
      <c r="D318" s="84"/>
      <c r="E318" s="84"/>
      <c r="F318" s="84"/>
    </row>
    <row r="319" ht="15.75" customHeight="1">
      <c r="A319" s="84"/>
      <c r="B319" s="84"/>
      <c r="C319" s="84"/>
      <c r="D319" s="84"/>
      <c r="E319" s="84"/>
      <c r="F319" s="84"/>
    </row>
    <row r="320" ht="15.75" customHeight="1">
      <c r="A320" s="84"/>
      <c r="B320" s="84"/>
      <c r="C320" s="84"/>
      <c r="D320" s="84"/>
      <c r="E320" s="84"/>
      <c r="F320" s="84"/>
    </row>
    <row r="321" ht="15.75" customHeight="1">
      <c r="A321" s="84"/>
      <c r="B321" s="84"/>
      <c r="C321" s="84"/>
      <c r="D321" s="84"/>
      <c r="E321" s="84"/>
      <c r="F321" s="84"/>
    </row>
    <row r="322" ht="15.75" customHeight="1">
      <c r="A322" s="84"/>
      <c r="B322" s="84"/>
      <c r="C322" s="84"/>
      <c r="D322" s="84"/>
      <c r="E322" s="84"/>
      <c r="F322" s="84"/>
    </row>
    <row r="323" ht="15.75" customHeight="1">
      <c r="A323" s="84"/>
      <c r="B323" s="84"/>
      <c r="C323" s="84"/>
      <c r="D323" s="84"/>
      <c r="E323" s="84"/>
      <c r="F323" s="84"/>
    </row>
    <row r="324" ht="15.75" customHeight="1">
      <c r="A324" s="84"/>
      <c r="B324" s="84"/>
      <c r="C324" s="84"/>
      <c r="D324" s="84"/>
      <c r="E324" s="84"/>
      <c r="F324" s="84"/>
    </row>
    <row r="325" ht="15.75" customHeight="1">
      <c r="A325" s="84"/>
      <c r="B325" s="84"/>
      <c r="C325" s="84"/>
      <c r="D325" s="84"/>
      <c r="E325" s="84"/>
      <c r="F325" s="84"/>
    </row>
    <row r="326" ht="15.75" customHeight="1">
      <c r="A326" s="84"/>
      <c r="B326" s="84"/>
      <c r="C326" s="84"/>
      <c r="D326" s="84"/>
      <c r="E326" s="84"/>
      <c r="F326" s="84"/>
    </row>
    <row r="327" ht="15.75" customHeight="1">
      <c r="A327" s="84"/>
      <c r="B327" s="84"/>
      <c r="C327" s="84"/>
      <c r="D327" s="84"/>
      <c r="E327" s="84"/>
      <c r="F327" s="84"/>
    </row>
    <row r="328" ht="15.75" customHeight="1">
      <c r="A328" s="84"/>
      <c r="B328" s="84"/>
      <c r="C328" s="84"/>
      <c r="D328" s="84"/>
      <c r="E328" s="84"/>
      <c r="F328" s="84"/>
    </row>
    <row r="329" ht="15.75" customHeight="1">
      <c r="A329" s="84"/>
      <c r="B329" s="84"/>
      <c r="C329" s="84"/>
      <c r="D329" s="84"/>
      <c r="E329" s="84"/>
      <c r="F329" s="84"/>
    </row>
    <row r="330" ht="15.75" customHeight="1">
      <c r="A330" s="84"/>
      <c r="B330" s="84"/>
      <c r="C330" s="84"/>
      <c r="D330" s="84"/>
      <c r="E330" s="84"/>
      <c r="F330" s="84"/>
    </row>
    <row r="331" ht="15.75" customHeight="1">
      <c r="A331" s="84"/>
      <c r="B331" s="84"/>
      <c r="C331" s="84"/>
      <c r="D331" s="84"/>
      <c r="E331" s="84"/>
      <c r="F331" s="84"/>
    </row>
    <row r="332" ht="15.75" customHeight="1">
      <c r="A332" s="84"/>
      <c r="B332" s="84"/>
      <c r="C332" s="84"/>
      <c r="D332" s="84"/>
      <c r="E332" s="84"/>
      <c r="F332" s="84"/>
    </row>
    <row r="333" ht="15.75" customHeight="1">
      <c r="A333" s="84"/>
      <c r="B333" s="84"/>
      <c r="C333" s="84"/>
      <c r="D333" s="84"/>
      <c r="E333" s="84"/>
      <c r="F333" s="84"/>
    </row>
    <row r="334" ht="15.75" customHeight="1">
      <c r="A334" s="84"/>
      <c r="B334" s="84"/>
      <c r="C334" s="84"/>
      <c r="D334" s="84"/>
      <c r="E334" s="84"/>
      <c r="F334" s="84"/>
    </row>
    <row r="335" ht="15.75" customHeight="1">
      <c r="A335" s="84"/>
      <c r="B335" s="84"/>
      <c r="C335" s="84"/>
      <c r="D335" s="84"/>
      <c r="E335" s="84"/>
      <c r="F335" s="84"/>
    </row>
    <row r="336" ht="15.75" customHeight="1">
      <c r="A336" s="84"/>
      <c r="B336" s="84"/>
      <c r="C336" s="84"/>
      <c r="D336" s="84"/>
      <c r="E336" s="84"/>
      <c r="F336" s="84"/>
    </row>
    <row r="337" ht="15.75" customHeight="1">
      <c r="A337" s="84"/>
      <c r="B337" s="84"/>
      <c r="C337" s="84"/>
      <c r="D337" s="84"/>
      <c r="E337" s="84"/>
      <c r="F337" s="84"/>
    </row>
    <row r="338" ht="15.75" customHeight="1">
      <c r="A338" s="84"/>
      <c r="B338" s="84"/>
      <c r="C338" s="84"/>
      <c r="D338" s="84"/>
      <c r="E338" s="84"/>
      <c r="F338" s="84"/>
    </row>
    <row r="339" ht="15.75" customHeight="1">
      <c r="A339" s="84"/>
      <c r="B339" s="84"/>
      <c r="C339" s="84"/>
      <c r="D339" s="84"/>
      <c r="E339" s="84"/>
      <c r="F339" s="84"/>
    </row>
    <row r="340" ht="15.75" customHeight="1">
      <c r="A340" s="84"/>
      <c r="B340" s="84"/>
      <c r="C340" s="84"/>
      <c r="D340" s="84"/>
      <c r="E340" s="84"/>
      <c r="F340" s="84"/>
    </row>
    <row r="341" ht="15.75" customHeight="1">
      <c r="A341" s="84"/>
      <c r="B341" s="84"/>
      <c r="C341" s="84"/>
      <c r="D341" s="84"/>
      <c r="E341" s="84"/>
      <c r="F341" s="84"/>
    </row>
    <row r="342" ht="15.75" customHeight="1">
      <c r="A342" s="84"/>
      <c r="B342" s="84"/>
      <c r="C342" s="84"/>
      <c r="D342" s="84"/>
      <c r="E342" s="84"/>
      <c r="F342" s="84"/>
    </row>
    <row r="343" ht="15.75" customHeight="1">
      <c r="A343" s="84"/>
      <c r="B343" s="84"/>
      <c r="C343" s="84"/>
      <c r="D343" s="84"/>
      <c r="E343" s="84"/>
      <c r="F343" s="84"/>
    </row>
    <row r="344" ht="15.75" customHeight="1">
      <c r="A344" s="84"/>
      <c r="B344" s="84"/>
      <c r="C344" s="84"/>
      <c r="D344" s="84"/>
      <c r="E344" s="84"/>
      <c r="F344" s="84"/>
    </row>
    <row r="345" ht="15.75" customHeight="1">
      <c r="A345" s="84"/>
      <c r="B345" s="84"/>
      <c r="C345" s="84"/>
      <c r="D345" s="84"/>
      <c r="E345" s="84"/>
      <c r="F345" s="84"/>
    </row>
    <row r="346" ht="15.75" customHeight="1">
      <c r="A346" s="84"/>
      <c r="B346" s="84"/>
      <c r="C346" s="84"/>
      <c r="D346" s="84"/>
      <c r="E346" s="84"/>
      <c r="F346" s="84"/>
    </row>
    <row r="347" ht="15.75" customHeight="1">
      <c r="A347" s="84"/>
      <c r="B347" s="84"/>
      <c r="C347" s="84"/>
      <c r="D347" s="84"/>
      <c r="E347" s="84"/>
      <c r="F347" s="84"/>
    </row>
    <row r="348" ht="15.75" customHeight="1">
      <c r="A348" s="84"/>
      <c r="B348" s="84"/>
      <c r="C348" s="84"/>
      <c r="D348" s="84"/>
      <c r="E348" s="84"/>
      <c r="F348" s="84"/>
    </row>
    <row r="349" ht="15.75" customHeight="1">
      <c r="A349" s="84"/>
      <c r="B349" s="84"/>
      <c r="C349" s="84"/>
      <c r="D349" s="84"/>
      <c r="E349" s="84"/>
      <c r="F349" s="84"/>
    </row>
    <row r="350" ht="15.75" customHeight="1">
      <c r="A350" s="84"/>
      <c r="B350" s="84"/>
      <c r="C350" s="84"/>
      <c r="D350" s="84"/>
      <c r="E350" s="84"/>
      <c r="F350" s="84"/>
    </row>
    <row r="351" ht="15.75" customHeight="1">
      <c r="A351" s="84"/>
      <c r="B351" s="84"/>
      <c r="C351" s="84"/>
      <c r="D351" s="84"/>
      <c r="E351" s="84"/>
      <c r="F351" s="84"/>
    </row>
    <row r="352" ht="15.75" customHeight="1">
      <c r="A352" s="84"/>
      <c r="B352" s="84"/>
      <c r="C352" s="84"/>
      <c r="D352" s="84"/>
      <c r="E352" s="84"/>
      <c r="F352" s="84"/>
    </row>
    <row r="353" ht="15.75" customHeight="1">
      <c r="A353" s="84"/>
      <c r="B353" s="84"/>
      <c r="C353" s="84"/>
      <c r="D353" s="84"/>
      <c r="E353" s="84"/>
      <c r="F353" s="84"/>
    </row>
    <row r="354" ht="15.75" customHeight="1">
      <c r="A354" s="84"/>
      <c r="B354" s="84"/>
      <c r="C354" s="84"/>
      <c r="D354" s="84"/>
      <c r="E354" s="84"/>
      <c r="F354" s="84"/>
    </row>
    <row r="355" ht="15.75" customHeight="1">
      <c r="A355" s="84"/>
      <c r="B355" s="84"/>
      <c r="C355" s="84"/>
      <c r="D355" s="84"/>
      <c r="E355" s="84"/>
      <c r="F355" s="84"/>
    </row>
    <row r="356" ht="15.75" customHeight="1">
      <c r="A356" s="84"/>
      <c r="B356" s="84"/>
      <c r="C356" s="84"/>
      <c r="D356" s="84"/>
      <c r="E356" s="84"/>
      <c r="F356" s="84"/>
    </row>
    <row r="357" ht="15.75" customHeight="1">
      <c r="A357" s="84"/>
      <c r="B357" s="84"/>
      <c r="C357" s="84"/>
      <c r="D357" s="84"/>
      <c r="E357" s="84"/>
      <c r="F357" s="84"/>
    </row>
    <row r="358" ht="15.75" customHeight="1">
      <c r="A358" s="84"/>
      <c r="B358" s="84"/>
      <c r="C358" s="84"/>
      <c r="D358" s="84"/>
      <c r="E358" s="84"/>
      <c r="F358" s="84"/>
    </row>
    <row r="359" ht="15.75" customHeight="1">
      <c r="A359" s="84"/>
      <c r="B359" s="84"/>
      <c r="C359" s="84"/>
      <c r="D359" s="84"/>
      <c r="E359" s="84"/>
      <c r="F359" s="84"/>
    </row>
    <row r="360" ht="15.75" customHeight="1">
      <c r="A360" s="84"/>
      <c r="B360" s="84"/>
      <c r="C360" s="84"/>
      <c r="D360" s="84"/>
      <c r="E360" s="84"/>
      <c r="F360" s="84"/>
    </row>
    <row r="361" ht="15.75" customHeight="1">
      <c r="A361" s="84"/>
      <c r="B361" s="84"/>
      <c r="C361" s="84"/>
      <c r="D361" s="84"/>
      <c r="E361" s="84"/>
      <c r="F361" s="84"/>
    </row>
    <row r="362" ht="15.75" customHeight="1">
      <c r="A362" s="84"/>
      <c r="B362" s="84"/>
      <c r="C362" s="84"/>
      <c r="D362" s="84"/>
      <c r="E362" s="84"/>
      <c r="F362" s="84"/>
    </row>
    <row r="363" ht="15.75" customHeight="1">
      <c r="A363" s="84"/>
      <c r="B363" s="84"/>
      <c r="C363" s="84"/>
      <c r="D363" s="84"/>
      <c r="E363" s="84"/>
      <c r="F363" s="84"/>
    </row>
    <row r="364" ht="15.75" customHeight="1">
      <c r="A364" s="84"/>
      <c r="B364" s="84"/>
      <c r="C364" s="84"/>
      <c r="D364" s="84"/>
      <c r="E364" s="84"/>
      <c r="F364" s="84"/>
    </row>
    <row r="365" ht="15.75" customHeight="1">
      <c r="A365" s="84"/>
      <c r="B365" s="84"/>
      <c r="C365" s="84"/>
      <c r="D365" s="84"/>
      <c r="E365" s="84"/>
      <c r="F365" s="84"/>
    </row>
    <row r="366" ht="15.75" customHeight="1">
      <c r="A366" s="84"/>
      <c r="B366" s="84"/>
      <c r="C366" s="84"/>
      <c r="D366" s="84"/>
      <c r="E366" s="84"/>
      <c r="F366" s="84"/>
    </row>
    <row r="367" ht="15.75" customHeight="1">
      <c r="A367" s="84"/>
      <c r="B367" s="84"/>
      <c r="C367" s="84"/>
      <c r="D367" s="84"/>
      <c r="E367" s="84"/>
      <c r="F367" s="84"/>
    </row>
    <row r="368" ht="15.75" customHeight="1">
      <c r="A368" s="84"/>
      <c r="B368" s="84"/>
      <c r="C368" s="84"/>
      <c r="D368" s="84"/>
      <c r="E368" s="84"/>
      <c r="F368" s="84"/>
    </row>
    <row r="369" ht="15.75" customHeight="1">
      <c r="A369" s="84"/>
      <c r="B369" s="84"/>
      <c r="C369" s="84"/>
      <c r="D369" s="84"/>
      <c r="E369" s="84"/>
      <c r="F369" s="84"/>
    </row>
    <row r="370" ht="15.75" customHeight="1">
      <c r="A370" s="84"/>
      <c r="B370" s="84"/>
      <c r="C370" s="84"/>
      <c r="D370" s="84"/>
      <c r="E370" s="84"/>
      <c r="F370" s="84"/>
    </row>
    <row r="371" ht="15.75" customHeight="1">
      <c r="A371" s="84"/>
      <c r="B371" s="84"/>
      <c r="C371" s="84"/>
      <c r="D371" s="84"/>
      <c r="E371" s="84"/>
      <c r="F371" s="84"/>
    </row>
    <row r="372" ht="15.75" customHeight="1">
      <c r="A372" s="84"/>
      <c r="B372" s="84"/>
      <c r="C372" s="84"/>
      <c r="D372" s="84"/>
      <c r="E372" s="84"/>
      <c r="F372" s="84"/>
    </row>
    <row r="373" ht="15.75" customHeight="1">
      <c r="A373" s="84"/>
      <c r="B373" s="84"/>
      <c r="C373" s="84"/>
      <c r="D373" s="84"/>
      <c r="E373" s="84"/>
      <c r="F373" s="84"/>
    </row>
    <row r="374" ht="15.75" customHeight="1">
      <c r="A374" s="84"/>
      <c r="B374" s="84"/>
      <c r="C374" s="84"/>
      <c r="D374" s="84"/>
      <c r="E374" s="84"/>
      <c r="F374" s="84"/>
    </row>
    <row r="375" ht="15.75" customHeight="1">
      <c r="A375" s="84"/>
      <c r="B375" s="84"/>
      <c r="C375" s="84"/>
      <c r="D375" s="84"/>
      <c r="E375" s="84"/>
      <c r="F375" s="84"/>
    </row>
    <row r="376" ht="15.75" customHeight="1">
      <c r="A376" s="84"/>
      <c r="B376" s="84"/>
      <c r="C376" s="84"/>
      <c r="D376" s="84"/>
      <c r="E376" s="84"/>
      <c r="F376" s="84"/>
    </row>
    <row r="377" ht="15.75" customHeight="1">
      <c r="A377" s="84"/>
      <c r="B377" s="84"/>
      <c r="C377" s="84"/>
      <c r="D377" s="84"/>
      <c r="E377" s="84"/>
      <c r="F377" s="84"/>
    </row>
    <row r="378" ht="15.75" customHeight="1">
      <c r="A378" s="84"/>
      <c r="B378" s="84"/>
      <c r="C378" s="84"/>
      <c r="D378" s="84"/>
      <c r="E378" s="84"/>
      <c r="F378" s="84"/>
    </row>
    <row r="379" ht="15.75" customHeight="1">
      <c r="A379" s="84"/>
      <c r="B379" s="84"/>
      <c r="C379" s="84"/>
      <c r="D379" s="84"/>
      <c r="E379" s="84"/>
      <c r="F379" s="84"/>
    </row>
    <row r="380" ht="15.75" customHeight="1">
      <c r="A380" s="84"/>
      <c r="B380" s="84"/>
      <c r="C380" s="84"/>
      <c r="D380" s="84"/>
      <c r="E380" s="84"/>
      <c r="F380" s="84"/>
    </row>
    <row r="381" ht="15.75" customHeight="1">
      <c r="A381" s="84"/>
      <c r="B381" s="84"/>
      <c r="C381" s="84"/>
      <c r="D381" s="84"/>
      <c r="E381" s="84"/>
      <c r="F381" s="84"/>
    </row>
    <row r="382" ht="15.75" customHeight="1">
      <c r="A382" s="84"/>
      <c r="B382" s="84"/>
      <c r="C382" s="84"/>
      <c r="D382" s="84"/>
      <c r="E382" s="84"/>
      <c r="F382" s="84"/>
    </row>
    <row r="383" ht="15.75" customHeight="1">
      <c r="A383" s="84"/>
      <c r="B383" s="84"/>
      <c r="C383" s="84"/>
      <c r="D383" s="84"/>
      <c r="E383" s="84"/>
      <c r="F383" s="84"/>
    </row>
    <row r="384" ht="15.75" customHeight="1">
      <c r="A384" s="84"/>
      <c r="B384" s="84"/>
      <c r="C384" s="84"/>
      <c r="D384" s="84"/>
      <c r="E384" s="84"/>
      <c r="F384" s="84"/>
    </row>
    <row r="385" ht="15.75" customHeight="1">
      <c r="A385" s="84"/>
      <c r="B385" s="84"/>
      <c r="C385" s="84"/>
      <c r="D385" s="84"/>
      <c r="E385" s="84"/>
      <c r="F385" s="84"/>
    </row>
    <row r="386" ht="15.75" customHeight="1">
      <c r="A386" s="84"/>
      <c r="B386" s="84"/>
      <c r="C386" s="84"/>
      <c r="D386" s="84"/>
      <c r="E386" s="84"/>
      <c r="F386" s="84"/>
    </row>
    <row r="387" ht="15.75" customHeight="1">
      <c r="A387" s="84"/>
      <c r="B387" s="84"/>
      <c r="C387" s="84"/>
      <c r="D387" s="84"/>
      <c r="E387" s="84"/>
      <c r="F387" s="84"/>
    </row>
    <row r="388" ht="15.75" customHeight="1">
      <c r="A388" s="84"/>
      <c r="B388" s="84"/>
      <c r="C388" s="84"/>
      <c r="D388" s="84"/>
      <c r="E388" s="84"/>
      <c r="F388" s="84"/>
    </row>
    <row r="389" ht="15.75" customHeight="1">
      <c r="A389" s="84"/>
      <c r="B389" s="84"/>
      <c r="C389" s="84"/>
      <c r="D389" s="84"/>
      <c r="E389" s="84"/>
      <c r="F389" s="84"/>
    </row>
    <row r="390" ht="15.75" customHeight="1">
      <c r="A390" s="84"/>
      <c r="B390" s="84"/>
      <c r="C390" s="84"/>
      <c r="D390" s="84"/>
      <c r="E390" s="84"/>
      <c r="F390" s="84"/>
    </row>
    <row r="391" ht="15.75" customHeight="1">
      <c r="A391" s="84"/>
      <c r="B391" s="84"/>
      <c r="C391" s="84"/>
      <c r="D391" s="84"/>
      <c r="E391" s="84"/>
      <c r="F391" s="84"/>
    </row>
    <row r="392" ht="15.75" customHeight="1">
      <c r="A392" s="84"/>
      <c r="B392" s="84"/>
      <c r="C392" s="84"/>
      <c r="D392" s="84"/>
      <c r="E392" s="84"/>
      <c r="F392" s="84"/>
    </row>
    <row r="393" ht="15.75" customHeight="1">
      <c r="A393" s="84"/>
      <c r="B393" s="84"/>
      <c r="C393" s="84"/>
      <c r="D393" s="84"/>
      <c r="E393" s="84"/>
      <c r="F393" s="84"/>
    </row>
    <row r="394" ht="15.75" customHeight="1">
      <c r="A394" s="84"/>
      <c r="B394" s="84"/>
      <c r="C394" s="84"/>
      <c r="D394" s="84"/>
      <c r="E394" s="84"/>
      <c r="F394" s="84"/>
    </row>
    <row r="395" ht="15.75" customHeight="1">
      <c r="A395" s="84"/>
      <c r="B395" s="84"/>
      <c r="C395" s="84"/>
      <c r="D395" s="84"/>
      <c r="E395" s="84"/>
      <c r="F395" s="84"/>
    </row>
    <row r="396" ht="15.75" customHeight="1">
      <c r="A396" s="84"/>
      <c r="B396" s="84"/>
      <c r="C396" s="84"/>
      <c r="D396" s="84"/>
      <c r="E396" s="84"/>
      <c r="F396" s="84"/>
    </row>
    <row r="397" ht="15.75" customHeight="1">
      <c r="A397" s="84"/>
      <c r="B397" s="84"/>
      <c r="C397" s="84"/>
      <c r="D397" s="84"/>
      <c r="E397" s="84"/>
      <c r="F397" s="84"/>
    </row>
    <row r="398" ht="15.75" customHeight="1">
      <c r="A398" s="84"/>
      <c r="B398" s="84"/>
      <c r="C398" s="84"/>
      <c r="D398" s="84"/>
      <c r="E398" s="84"/>
      <c r="F398" s="84"/>
    </row>
    <row r="399" ht="15.75" customHeight="1">
      <c r="A399" s="84"/>
      <c r="B399" s="84"/>
      <c r="C399" s="84"/>
      <c r="D399" s="84"/>
      <c r="E399" s="84"/>
      <c r="F399" s="84"/>
    </row>
    <row r="400" ht="15.75" customHeight="1">
      <c r="A400" s="84"/>
      <c r="B400" s="84"/>
      <c r="C400" s="84"/>
      <c r="D400" s="84"/>
      <c r="E400" s="84"/>
      <c r="F400" s="84"/>
    </row>
    <row r="401" ht="15.75" customHeight="1">
      <c r="A401" s="84"/>
      <c r="B401" s="84"/>
      <c r="C401" s="84"/>
      <c r="D401" s="84"/>
      <c r="E401" s="84"/>
      <c r="F401" s="84"/>
    </row>
    <row r="402" ht="15.75" customHeight="1">
      <c r="A402" s="84"/>
      <c r="B402" s="84"/>
      <c r="C402" s="84"/>
      <c r="D402" s="84"/>
      <c r="E402" s="84"/>
      <c r="F402" s="84"/>
    </row>
    <row r="403" ht="15.75" customHeight="1">
      <c r="A403" s="84"/>
      <c r="B403" s="84"/>
      <c r="C403" s="84"/>
      <c r="D403" s="84"/>
      <c r="E403" s="84"/>
      <c r="F403" s="84"/>
    </row>
    <row r="404" ht="15.75" customHeight="1">
      <c r="A404" s="84"/>
      <c r="B404" s="84"/>
      <c r="C404" s="84"/>
      <c r="D404" s="84"/>
      <c r="E404" s="84"/>
      <c r="F404" s="84"/>
    </row>
    <row r="405" ht="15.75" customHeight="1">
      <c r="A405" s="84"/>
      <c r="B405" s="84"/>
      <c r="C405" s="84"/>
      <c r="D405" s="84"/>
      <c r="E405" s="84"/>
      <c r="F405" s="84"/>
    </row>
    <row r="406" ht="15.75" customHeight="1">
      <c r="A406" s="84"/>
      <c r="B406" s="84"/>
      <c r="C406" s="84"/>
      <c r="D406" s="84"/>
      <c r="E406" s="84"/>
      <c r="F406" s="84"/>
    </row>
    <row r="407" ht="15.75" customHeight="1">
      <c r="A407" s="84"/>
      <c r="B407" s="84"/>
      <c r="C407" s="84"/>
      <c r="D407" s="84"/>
      <c r="E407" s="84"/>
      <c r="F407" s="84"/>
    </row>
    <row r="408" ht="15.75" customHeight="1">
      <c r="A408" s="84"/>
      <c r="B408" s="84"/>
      <c r="C408" s="84"/>
      <c r="D408" s="84"/>
      <c r="E408" s="84"/>
      <c r="F408" s="84"/>
    </row>
    <row r="409" ht="15.75" customHeight="1">
      <c r="A409" s="84"/>
      <c r="B409" s="84"/>
      <c r="C409" s="84"/>
      <c r="D409" s="84"/>
      <c r="E409" s="84"/>
      <c r="F409" s="84"/>
    </row>
    <row r="410" ht="15.75" customHeight="1">
      <c r="A410" s="84"/>
      <c r="B410" s="84"/>
      <c r="C410" s="84"/>
      <c r="D410" s="84"/>
      <c r="E410" s="84"/>
      <c r="F410" s="84"/>
    </row>
    <row r="411" ht="15.75" customHeight="1">
      <c r="A411" s="84"/>
      <c r="B411" s="84"/>
      <c r="C411" s="84"/>
      <c r="D411" s="84"/>
      <c r="E411" s="84"/>
      <c r="F411" s="84"/>
    </row>
    <row r="412" ht="15.75" customHeight="1">
      <c r="A412" s="84"/>
      <c r="B412" s="84"/>
      <c r="C412" s="84"/>
      <c r="D412" s="84"/>
      <c r="E412" s="84"/>
      <c r="F412" s="84"/>
    </row>
    <row r="413" ht="15.75" customHeight="1">
      <c r="A413" s="84"/>
      <c r="B413" s="84"/>
      <c r="C413" s="84"/>
      <c r="D413" s="84"/>
      <c r="E413" s="84"/>
      <c r="F413" s="84"/>
    </row>
    <row r="414" ht="15.75" customHeight="1">
      <c r="A414" s="84"/>
      <c r="B414" s="84"/>
      <c r="C414" s="84"/>
      <c r="D414" s="84"/>
      <c r="E414" s="84"/>
      <c r="F414" s="84"/>
    </row>
    <row r="415" ht="15.75" customHeight="1">
      <c r="A415" s="84"/>
      <c r="B415" s="84"/>
      <c r="C415" s="84"/>
      <c r="D415" s="84"/>
      <c r="E415" s="84"/>
      <c r="F415" s="84"/>
    </row>
    <row r="416" ht="15.75" customHeight="1">
      <c r="A416" s="84"/>
      <c r="B416" s="84"/>
      <c r="C416" s="84"/>
      <c r="D416" s="84"/>
      <c r="E416" s="84"/>
      <c r="F416" s="84"/>
    </row>
    <row r="417" ht="15.75" customHeight="1">
      <c r="A417" s="84"/>
      <c r="B417" s="84"/>
      <c r="C417" s="84"/>
      <c r="D417" s="84"/>
      <c r="E417" s="84"/>
      <c r="F417" s="84"/>
    </row>
    <row r="418" ht="15.75" customHeight="1">
      <c r="A418" s="84"/>
      <c r="B418" s="84"/>
      <c r="C418" s="84"/>
      <c r="D418" s="84"/>
      <c r="E418" s="84"/>
      <c r="F418" s="84"/>
    </row>
    <row r="419" ht="15.75" customHeight="1">
      <c r="A419" s="84"/>
      <c r="B419" s="84"/>
      <c r="C419" s="84"/>
      <c r="D419" s="84"/>
      <c r="E419" s="84"/>
      <c r="F419" s="84"/>
    </row>
    <row r="420" ht="15.75" customHeight="1">
      <c r="A420" s="84"/>
      <c r="B420" s="84"/>
      <c r="C420" s="84"/>
      <c r="D420" s="84"/>
      <c r="E420" s="84"/>
      <c r="F420" s="84"/>
    </row>
    <row r="421" ht="15.75" customHeight="1">
      <c r="A421" s="84"/>
      <c r="B421" s="84"/>
      <c r="C421" s="84"/>
      <c r="D421" s="84"/>
      <c r="E421" s="84"/>
      <c r="F421" s="84"/>
    </row>
    <row r="422" ht="15.75" customHeight="1">
      <c r="A422" s="84"/>
      <c r="B422" s="84"/>
      <c r="C422" s="84"/>
      <c r="D422" s="84"/>
      <c r="E422" s="84"/>
      <c r="F422" s="84"/>
    </row>
    <row r="423" ht="15.75" customHeight="1">
      <c r="A423" s="84"/>
      <c r="B423" s="84"/>
      <c r="C423" s="84"/>
      <c r="D423" s="84"/>
      <c r="E423" s="84"/>
      <c r="F423" s="84"/>
    </row>
    <row r="424" ht="15.75" customHeight="1">
      <c r="A424" s="84"/>
      <c r="B424" s="84"/>
      <c r="C424" s="84"/>
      <c r="D424" s="84"/>
      <c r="E424" s="84"/>
      <c r="F424" s="84"/>
    </row>
    <row r="425" ht="15.75" customHeight="1">
      <c r="A425" s="84"/>
      <c r="B425" s="84"/>
      <c r="C425" s="84"/>
      <c r="D425" s="84"/>
      <c r="E425" s="84"/>
      <c r="F425" s="84"/>
    </row>
    <row r="426" ht="15.75" customHeight="1">
      <c r="A426" s="84"/>
      <c r="B426" s="84"/>
      <c r="C426" s="84"/>
      <c r="D426" s="84"/>
      <c r="E426" s="84"/>
      <c r="F426" s="84"/>
    </row>
    <row r="427" ht="15.75" customHeight="1">
      <c r="A427" s="84"/>
      <c r="B427" s="84"/>
      <c r="C427" s="84"/>
      <c r="D427" s="84"/>
      <c r="E427" s="84"/>
      <c r="F427" s="84"/>
    </row>
    <row r="428" ht="15.75" customHeight="1">
      <c r="A428" s="84"/>
      <c r="B428" s="84"/>
      <c r="C428" s="84"/>
      <c r="D428" s="84"/>
      <c r="E428" s="84"/>
      <c r="F428" s="84"/>
    </row>
    <row r="429" ht="15.75" customHeight="1">
      <c r="A429" s="84"/>
      <c r="B429" s="84"/>
      <c r="C429" s="84"/>
      <c r="D429" s="84"/>
      <c r="E429" s="84"/>
      <c r="F429" s="84"/>
    </row>
    <row r="430" ht="15.75" customHeight="1">
      <c r="A430" s="84"/>
      <c r="B430" s="84"/>
      <c r="C430" s="84"/>
      <c r="D430" s="84"/>
      <c r="E430" s="84"/>
      <c r="F430" s="84"/>
    </row>
    <row r="431" ht="15.75" customHeight="1">
      <c r="A431" s="84"/>
      <c r="B431" s="84"/>
      <c r="C431" s="84"/>
      <c r="D431" s="84"/>
      <c r="E431" s="84"/>
      <c r="F431" s="84"/>
    </row>
    <row r="432" ht="15.75" customHeight="1">
      <c r="A432" s="84"/>
      <c r="B432" s="84"/>
      <c r="C432" s="84"/>
      <c r="D432" s="84"/>
      <c r="E432" s="84"/>
      <c r="F432" s="84"/>
    </row>
    <row r="433" ht="15.75" customHeight="1">
      <c r="A433" s="84"/>
      <c r="B433" s="84"/>
      <c r="C433" s="84"/>
      <c r="D433" s="84"/>
      <c r="E433" s="84"/>
      <c r="F433" s="84"/>
    </row>
    <row r="434" ht="15.75" customHeight="1">
      <c r="A434" s="84"/>
      <c r="B434" s="84"/>
      <c r="C434" s="84"/>
      <c r="D434" s="84"/>
      <c r="E434" s="84"/>
      <c r="F434" s="84"/>
    </row>
    <row r="435" ht="15.75" customHeight="1">
      <c r="A435" s="84"/>
      <c r="B435" s="84"/>
      <c r="C435" s="84"/>
      <c r="D435" s="84"/>
      <c r="E435" s="84"/>
      <c r="F435" s="84"/>
    </row>
    <row r="436" ht="15.75" customHeight="1">
      <c r="A436" s="84"/>
      <c r="B436" s="84"/>
      <c r="C436" s="84"/>
      <c r="D436" s="84"/>
      <c r="E436" s="84"/>
      <c r="F436" s="84"/>
    </row>
    <row r="437" ht="15.75" customHeight="1">
      <c r="A437" s="84"/>
      <c r="B437" s="84"/>
      <c r="C437" s="84"/>
      <c r="D437" s="84"/>
      <c r="E437" s="84"/>
      <c r="F437" s="84"/>
    </row>
    <row r="438" ht="15.75" customHeight="1">
      <c r="A438" s="84"/>
      <c r="B438" s="84"/>
      <c r="C438" s="84"/>
      <c r="D438" s="84"/>
      <c r="E438" s="84"/>
      <c r="F438" s="84"/>
    </row>
    <row r="439" ht="15.75" customHeight="1">
      <c r="A439" s="84"/>
      <c r="B439" s="84"/>
      <c r="C439" s="84"/>
      <c r="D439" s="84"/>
      <c r="E439" s="84"/>
      <c r="F439" s="84"/>
    </row>
    <row r="440" ht="15.75" customHeight="1">
      <c r="A440" s="84"/>
      <c r="B440" s="84"/>
      <c r="C440" s="84"/>
      <c r="D440" s="84"/>
      <c r="E440" s="84"/>
      <c r="F440" s="84"/>
    </row>
    <row r="441" ht="15.75" customHeight="1">
      <c r="A441" s="84"/>
      <c r="B441" s="84"/>
      <c r="C441" s="84"/>
      <c r="D441" s="84"/>
      <c r="E441" s="84"/>
      <c r="F441" s="84"/>
    </row>
    <row r="442" ht="15.75" customHeight="1">
      <c r="A442" s="84"/>
      <c r="B442" s="84"/>
      <c r="C442" s="84"/>
      <c r="D442" s="84"/>
      <c r="E442" s="84"/>
      <c r="F442" s="84"/>
    </row>
    <row r="443" ht="15.75" customHeight="1">
      <c r="A443" s="84"/>
      <c r="B443" s="84"/>
      <c r="C443" s="84"/>
      <c r="D443" s="84"/>
      <c r="E443" s="84"/>
      <c r="F443" s="84"/>
    </row>
    <row r="444" ht="15.75" customHeight="1">
      <c r="A444" s="84"/>
      <c r="B444" s="84"/>
      <c r="C444" s="84"/>
      <c r="D444" s="84"/>
      <c r="E444" s="84"/>
      <c r="F444" s="84"/>
    </row>
    <row r="445" ht="15.75" customHeight="1">
      <c r="A445" s="84"/>
      <c r="B445" s="84"/>
      <c r="C445" s="84"/>
      <c r="D445" s="84"/>
      <c r="E445" s="84"/>
      <c r="F445" s="84"/>
    </row>
    <row r="446" ht="15.75" customHeight="1">
      <c r="A446" s="84"/>
      <c r="B446" s="84"/>
      <c r="C446" s="84"/>
      <c r="D446" s="84"/>
      <c r="E446" s="84"/>
      <c r="F446" s="84"/>
    </row>
    <row r="447" ht="15.75" customHeight="1">
      <c r="A447" s="84"/>
      <c r="B447" s="84"/>
      <c r="C447" s="84"/>
      <c r="D447" s="84"/>
      <c r="E447" s="84"/>
      <c r="F447" s="84"/>
    </row>
    <row r="448" ht="15.75" customHeight="1">
      <c r="A448" s="84"/>
      <c r="B448" s="84"/>
      <c r="C448" s="84"/>
      <c r="D448" s="84"/>
      <c r="E448" s="84"/>
      <c r="F448" s="84"/>
    </row>
    <row r="449" ht="15.75" customHeight="1">
      <c r="A449" s="84"/>
      <c r="B449" s="84"/>
      <c r="C449" s="84"/>
      <c r="D449" s="84"/>
      <c r="E449" s="84"/>
      <c r="F449" s="84"/>
    </row>
    <row r="450" ht="15.75" customHeight="1">
      <c r="A450" s="84"/>
      <c r="B450" s="84"/>
      <c r="C450" s="84"/>
      <c r="D450" s="84"/>
      <c r="E450" s="84"/>
      <c r="F450" s="84"/>
    </row>
    <row r="451" ht="15.75" customHeight="1">
      <c r="A451" s="84"/>
      <c r="B451" s="84"/>
      <c r="C451" s="84"/>
      <c r="D451" s="84"/>
      <c r="E451" s="84"/>
      <c r="F451" s="84"/>
    </row>
    <row r="452" ht="15.75" customHeight="1">
      <c r="A452" s="84"/>
      <c r="B452" s="84"/>
      <c r="C452" s="84"/>
      <c r="D452" s="84"/>
      <c r="E452" s="84"/>
      <c r="F452" s="84"/>
    </row>
    <row r="453" ht="15.75" customHeight="1">
      <c r="A453" s="84"/>
      <c r="B453" s="84"/>
      <c r="C453" s="84"/>
      <c r="D453" s="84"/>
      <c r="E453" s="84"/>
      <c r="F453" s="84"/>
    </row>
    <row r="454" ht="15.75" customHeight="1">
      <c r="A454" s="84"/>
      <c r="B454" s="84"/>
      <c r="C454" s="84"/>
      <c r="D454" s="84"/>
      <c r="E454" s="84"/>
      <c r="F454" s="84"/>
    </row>
    <row r="455" ht="15.75" customHeight="1">
      <c r="A455" s="84"/>
      <c r="B455" s="84"/>
      <c r="C455" s="84"/>
      <c r="D455" s="84"/>
      <c r="E455" s="84"/>
      <c r="F455" s="84"/>
    </row>
    <row r="456" ht="15.75" customHeight="1">
      <c r="A456" s="84"/>
      <c r="B456" s="84"/>
      <c r="C456" s="84"/>
      <c r="D456" s="84"/>
      <c r="E456" s="84"/>
      <c r="F456" s="84"/>
    </row>
    <row r="457" ht="15.75" customHeight="1">
      <c r="A457" s="84"/>
      <c r="B457" s="84"/>
      <c r="C457" s="84"/>
      <c r="D457" s="84"/>
      <c r="E457" s="84"/>
      <c r="F457" s="84"/>
    </row>
    <row r="458" ht="15.75" customHeight="1">
      <c r="A458" s="84"/>
      <c r="B458" s="84"/>
      <c r="C458" s="84"/>
      <c r="D458" s="84"/>
      <c r="E458" s="84"/>
      <c r="F458" s="84"/>
    </row>
    <row r="459" ht="15.75" customHeight="1">
      <c r="A459" s="84"/>
      <c r="B459" s="84"/>
      <c r="C459" s="84"/>
      <c r="D459" s="84"/>
      <c r="E459" s="84"/>
      <c r="F459" s="84"/>
    </row>
    <row r="460" ht="15.75" customHeight="1">
      <c r="A460" s="84"/>
      <c r="B460" s="84"/>
      <c r="C460" s="84"/>
      <c r="D460" s="84"/>
      <c r="E460" s="84"/>
      <c r="F460" s="84"/>
    </row>
    <row r="461" ht="15.75" customHeight="1">
      <c r="A461" s="84"/>
      <c r="B461" s="84"/>
      <c r="C461" s="84"/>
      <c r="D461" s="84"/>
      <c r="E461" s="84"/>
      <c r="F461" s="84"/>
    </row>
    <row r="462" ht="15.75" customHeight="1">
      <c r="A462" s="84"/>
      <c r="B462" s="84"/>
      <c r="C462" s="84"/>
      <c r="D462" s="84"/>
      <c r="E462" s="84"/>
      <c r="F462" s="84"/>
    </row>
    <row r="463" ht="15.75" customHeight="1">
      <c r="A463" s="84"/>
      <c r="B463" s="84"/>
      <c r="C463" s="84"/>
      <c r="D463" s="84"/>
      <c r="E463" s="84"/>
      <c r="F463" s="84"/>
    </row>
    <row r="464" ht="15.75" customHeight="1">
      <c r="A464" s="84"/>
      <c r="B464" s="84"/>
      <c r="C464" s="84"/>
      <c r="D464" s="84"/>
      <c r="E464" s="84"/>
      <c r="F464" s="84"/>
    </row>
    <row r="465" ht="15.75" customHeight="1">
      <c r="A465" s="84"/>
      <c r="B465" s="84"/>
      <c r="C465" s="84"/>
      <c r="D465" s="84"/>
      <c r="E465" s="84"/>
      <c r="F465" s="84"/>
    </row>
    <row r="466" ht="15.75" customHeight="1">
      <c r="A466" s="84"/>
      <c r="B466" s="84"/>
      <c r="C466" s="84"/>
      <c r="D466" s="84"/>
      <c r="E466" s="84"/>
      <c r="F466" s="84"/>
    </row>
    <row r="467" ht="15.75" customHeight="1">
      <c r="A467" s="84"/>
      <c r="B467" s="84"/>
      <c r="C467" s="84"/>
      <c r="D467" s="84"/>
      <c r="E467" s="84"/>
      <c r="F467" s="84"/>
    </row>
    <row r="468" ht="15.75" customHeight="1">
      <c r="A468" s="84"/>
      <c r="B468" s="84"/>
      <c r="C468" s="84"/>
      <c r="D468" s="84"/>
      <c r="E468" s="84"/>
      <c r="F468" s="84"/>
    </row>
    <row r="469" ht="15.75" customHeight="1">
      <c r="A469" s="84"/>
      <c r="B469" s="84"/>
      <c r="C469" s="84"/>
      <c r="D469" s="84"/>
      <c r="E469" s="84"/>
      <c r="F469" s="84"/>
    </row>
    <row r="470" ht="15.75" customHeight="1">
      <c r="A470" s="84"/>
      <c r="B470" s="84"/>
      <c r="C470" s="84"/>
      <c r="D470" s="84"/>
      <c r="E470" s="84"/>
      <c r="F470" s="84"/>
    </row>
    <row r="471" ht="15.75" customHeight="1">
      <c r="A471" s="84"/>
      <c r="B471" s="84"/>
      <c r="C471" s="84"/>
      <c r="D471" s="84"/>
      <c r="E471" s="84"/>
      <c r="F471" s="84"/>
    </row>
    <row r="472" ht="15.75" customHeight="1">
      <c r="A472" s="84"/>
      <c r="B472" s="84"/>
      <c r="C472" s="84"/>
      <c r="D472" s="84"/>
      <c r="E472" s="84"/>
      <c r="F472" s="84"/>
    </row>
    <row r="473" ht="15.75" customHeight="1">
      <c r="A473" s="84"/>
      <c r="B473" s="84"/>
      <c r="C473" s="84"/>
      <c r="D473" s="84"/>
      <c r="E473" s="84"/>
      <c r="F473" s="84"/>
    </row>
    <row r="474" ht="15.75" customHeight="1">
      <c r="A474" s="84"/>
      <c r="B474" s="84"/>
      <c r="C474" s="84"/>
      <c r="D474" s="84"/>
      <c r="E474" s="84"/>
      <c r="F474" s="84"/>
    </row>
    <row r="475" ht="15.75" customHeight="1">
      <c r="A475" s="84"/>
      <c r="B475" s="84"/>
      <c r="C475" s="84"/>
      <c r="D475" s="84"/>
      <c r="E475" s="84"/>
      <c r="F475" s="84"/>
    </row>
    <row r="476" ht="15.75" customHeight="1">
      <c r="A476" s="84"/>
      <c r="B476" s="84"/>
      <c r="C476" s="84"/>
      <c r="D476" s="84"/>
      <c r="E476" s="84"/>
      <c r="F476" s="84"/>
    </row>
    <row r="477" ht="15.75" customHeight="1">
      <c r="A477" s="84"/>
      <c r="B477" s="84"/>
      <c r="C477" s="84"/>
      <c r="D477" s="84"/>
      <c r="E477" s="84"/>
      <c r="F477" s="84"/>
    </row>
    <row r="478" ht="15.75" customHeight="1">
      <c r="A478" s="84"/>
      <c r="B478" s="84"/>
      <c r="C478" s="84"/>
      <c r="D478" s="84"/>
      <c r="E478" s="84"/>
      <c r="F478" s="84"/>
    </row>
    <row r="479" ht="15.75" customHeight="1">
      <c r="A479" s="84"/>
      <c r="B479" s="84"/>
      <c r="C479" s="84"/>
      <c r="D479" s="84"/>
      <c r="E479" s="84"/>
      <c r="F479" s="84"/>
    </row>
    <row r="480" ht="15.75" customHeight="1">
      <c r="A480" s="84"/>
      <c r="B480" s="84"/>
      <c r="C480" s="84"/>
      <c r="D480" s="84"/>
      <c r="E480" s="84"/>
      <c r="F480" s="84"/>
    </row>
    <row r="481" ht="15.75" customHeight="1">
      <c r="A481" s="84"/>
      <c r="B481" s="84"/>
      <c r="C481" s="84"/>
      <c r="D481" s="84"/>
      <c r="E481" s="84"/>
      <c r="F481" s="84"/>
    </row>
    <row r="482" ht="15.75" customHeight="1">
      <c r="A482" s="84"/>
      <c r="B482" s="84"/>
      <c r="C482" s="84"/>
      <c r="D482" s="84"/>
      <c r="E482" s="84"/>
      <c r="F482" s="84"/>
    </row>
    <row r="483" ht="15.75" customHeight="1">
      <c r="A483" s="84"/>
      <c r="B483" s="84"/>
      <c r="C483" s="84"/>
      <c r="D483" s="84"/>
      <c r="E483" s="84"/>
      <c r="F483" s="84"/>
    </row>
    <row r="484" ht="15.75" customHeight="1">
      <c r="A484" s="84"/>
      <c r="B484" s="84"/>
      <c r="C484" s="84"/>
      <c r="D484" s="84"/>
      <c r="E484" s="84"/>
      <c r="F484" s="84"/>
    </row>
    <row r="485" ht="15.75" customHeight="1">
      <c r="A485" s="84"/>
      <c r="B485" s="84"/>
      <c r="C485" s="84"/>
      <c r="D485" s="84"/>
      <c r="E485" s="84"/>
      <c r="F485" s="84"/>
    </row>
    <row r="486" ht="15.75" customHeight="1">
      <c r="A486" s="84"/>
      <c r="B486" s="84"/>
      <c r="C486" s="84"/>
      <c r="D486" s="84"/>
      <c r="E486" s="84"/>
      <c r="F486" s="84"/>
    </row>
    <row r="487" ht="15.75" customHeight="1">
      <c r="A487" s="84"/>
      <c r="B487" s="84"/>
      <c r="C487" s="84"/>
      <c r="D487" s="84"/>
      <c r="E487" s="84"/>
      <c r="F487" s="84"/>
    </row>
    <row r="488" ht="15.75" customHeight="1">
      <c r="A488" s="84"/>
      <c r="B488" s="84"/>
      <c r="C488" s="84"/>
      <c r="D488" s="84"/>
      <c r="E488" s="84"/>
      <c r="F488" s="84"/>
    </row>
    <row r="489" ht="15.75" customHeight="1">
      <c r="A489" s="84"/>
      <c r="B489" s="84"/>
      <c r="C489" s="84"/>
      <c r="D489" s="84"/>
      <c r="E489" s="84"/>
      <c r="F489" s="84"/>
    </row>
    <row r="490" ht="15.75" customHeight="1">
      <c r="A490" s="84"/>
      <c r="B490" s="84"/>
      <c r="C490" s="84"/>
      <c r="D490" s="84"/>
      <c r="E490" s="84"/>
      <c r="F490" s="84"/>
    </row>
    <row r="491" ht="15.75" customHeight="1">
      <c r="A491" s="84"/>
      <c r="B491" s="84"/>
      <c r="C491" s="84"/>
      <c r="D491" s="84"/>
      <c r="E491" s="84"/>
      <c r="F491" s="84"/>
    </row>
    <row r="492" ht="15.75" customHeight="1">
      <c r="A492" s="84"/>
      <c r="B492" s="84"/>
      <c r="C492" s="84"/>
      <c r="D492" s="84"/>
      <c r="E492" s="84"/>
      <c r="F492" s="84"/>
    </row>
    <row r="493" ht="15.75" customHeight="1">
      <c r="A493" s="84"/>
      <c r="B493" s="84"/>
      <c r="C493" s="84"/>
      <c r="D493" s="84"/>
      <c r="E493" s="84"/>
      <c r="F493" s="84"/>
    </row>
    <row r="494" ht="15.75" customHeight="1">
      <c r="A494" s="84"/>
      <c r="B494" s="84"/>
      <c r="C494" s="84"/>
      <c r="D494" s="84"/>
      <c r="E494" s="84"/>
      <c r="F494" s="84"/>
    </row>
    <row r="495" ht="15.75" customHeight="1">
      <c r="A495" s="84"/>
      <c r="B495" s="84"/>
      <c r="C495" s="84"/>
      <c r="D495" s="84"/>
      <c r="E495" s="84"/>
      <c r="F495" s="84"/>
    </row>
    <row r="496" ht="15.75" customHeight="1">
      <c r="A496" s="84"/>
      <c r="B496" s="84"/>
      <c r="C496" s="84"/>
      <c r="D496" s="84"/>
      <c r="E496" s="84"/>
      <c r="F496" s="84"/>
    </row>
    <row r="497" ht="15.75" customHeight="1">
      <c r="A497" s="84"/>
      <c r="B497" s="84"/>
      <c r="C497" s="84"/>
      <c r="D497" s="84"/>
      <c r="E497" s="84"/>
      <c r="F497" s="84"/>
    </row>
    <row r="498" ht="15.75" customHeight="1">
      <c r="A498" s="84"/>
      <c r="B498" s="84"/>
      <c r="C498" s="84"/>
      <c r="D498" s="84"/>
      <c r="E498" s="84"/>
      <c r="F498" s="84"/>
    </row>
    <row r="499" ht="15.75" customHeight="1">
      <c r="A499" s="84"/>
      <c r="B499" s="84"/>
      <c r="C499" s="84"/>
      <c r="D499" s="84"/>
      <c r="E499" s="84"/>
      <c r="F499" s="84"/>
    </row>
    <row r="500" ht="15.75" customHeight="1">
      <c r="A500" s="84"/>
      <c r="B500" s="84"/>
      <c r="C500" s="84"/>
      <c r="D500" s="84"/>
      <c r="E500" s="84"/>
      <c r="F500" s="84"/>
    </row>
    <row r="501" ht="15.75" customHeight="1">
      <c r="A501" s="84"/>
      <c r="B501" s="84"/>
      <c r="C501" s="84"/>
      <c r="D501" s="84"/>
      <c r="E501" s="84"/>
      <c r="F501" s="84"/>
    </row>
    <row r="502" ht="15.75" customHeight="1">
      <c r="A502" s="84"/>
      <c r="B502" s="84"/>
      <c r="C502" s="84"/>
      <c r="D502" s="84"/>
      <c r="E502" s="84"/>
      <c r="F502" s="84"/>
    </row>
    <row r="503" ht="15.75" customHeight="1">
      <c r="A503" s="84"/>
      <c r="B503" s="84"/>
      <c r="C503" s="84"/>
      <c r="D503" s="84"/>
      <c r="E503" s="84"/>
      <c r="F503" s="84"/>
    </row>
    <row r="504" ht="15.75" customHeight="1">
      <c r="A504" s="84"/>
      <c r="B504" s="84"/>
      <c r="C504" s="84"/>
      <c r="D504" s="84"/>
      <c r="E504" s="84"/>
      <c r="F504" s="84"/>
    </row>
    <row r="505" ht="15.75" customHeight="1">
      <c r="A505" s="84"/>
      <c r="B505" s="84"/>
      <c r="C505" s="84"/>
      <c r="D505" s="84"/>
      <c r="E505" s="84"/>
      <c r="F505" s="84"/>
    </row>
    <row r="506" ht="15.75" customHeight="1">
      <c r="A506" s="84"/>
      <c r="B506" s="84"/>
      <c r="C506" s="84"/>
      <c r="D506" s="84"/>
      <c r="E506" s="84"/>
      <c r="F506" s="84"/>
    </row>
    <row r="507" ht="15.75" customHeight="1">
      <c r="A507" s="84"/>
      <c r="B507" s="84"/>
      <c r="C507" s="84"/>
      <c r="D507" s="84"/>
      <c r="E507" s="84"/>
      <c r="F507" s="84"/>
    </row>
    <row r="508" ht="15.75" customHeight="1">
      <c r="A508" s="84"/>
      <c r="B508" s="84"/>
      <c r="C508" s="84"/>
      <c r="D508" s="84"/>
      <c r="E508" s="84"/>
      <c r="F508" s="84"/>
    </row>
    <row r="509" ht="15.75" customHeight="1">
      <c r="A509" s="84"/>
      <c r="B509" s="84"/>
      <c r="C509" s="84"/>
      <c r="D509" s="84"/>
      <c r="E509" s="84"/>
      <c r="F509" s="84"/>
    </row>
    <row r="510" ht="15.75" customHeight="1">
      <c r="A510" s="84"/>
      <c r="B510" s="84"/>
      <c r="C510" s="84"/>
      <c r="D510" s="84"/>
      <c r="E510" s="84"/>
      <c r="F510" s="84"/>
    </row>
    <row r="511" ht="15.75" customHeight="1">
      <c r="A511" s="84"/>
      <c r="B511" s="84"/>
      <c r="C511" s="84"/>
      <c r="D511" s="84"/>
      <c r="E511" s="84"/>
      <c r="F511" s="84"/>
    </row>
    <row r="512" ht="15.75" customHeight="1">
      <c r="A512" s="84"/>
      <c r="B512" s="84"/>
      <c r="C512" s="84"/>
      <c r="D512" s="84"/>
      <c r="E512" s="84"/>
      <c r="F512" s="84"/>
    </row>
    <row r="513" ht="15.75" customHeight="1">
      <c r="A513" s="84"/>
      <c r="B513" s="84"/>
      <c r="C513" s="84"/>
      <c r="D513" s="84"/>
      <c r="E513" s="84"/>
      <c r="F513" s="84"/>
    </row>
    <row r="514" ht="15.75" customHeight="1">
      <c r="A514" s="84"/>
      <c r="B514" s="84"/>
      <c r="C514" s="84"/>
      <c r="D514" s="84"/>
      <c r="E514" s="84"/>
      <c r="F514" s="84"/>
    </row>
    <row r="515" ht="15.75" customHeight="1">
      <c r="A515" s="84"/>
      <c r="B515" s="84"/>
      <c r="C515" s="84"/>
      <c r="D515" s="84"/>
      <c r="E515" s="84"/>
      <c r="F515" s="84"/>
    </row>
    <row r="516" ht="15.75" customHeight="1">
      <c r="A516" s="84"/>
      <c r="B516" s="84"/>
      <c r="C516" s="84"/>
      <c r="D516" s="84"/>
      <c r="E516" s="84"/>
      <c r="F516" s="84"/>
    </row>
    <row r="517" ht="15.75" customHeight="1">
      <c r="A517" s="84"/>
      <c r="B517" s="84"/>
      <c r="C517" s="84"/>
      <c r="D517" s="84"/>
      <c r="E517" s="84"/>
      <c r="F517" s="84"/>
    </row>
    <row r="518" ht="15.75" customHeight="1">
      <c r="A518" s="84"/>
      <c r="B518" s="84"/>
      <c r="C518" s="84"/>
      <c r="D518" s="84"/>
      <c r="E518" s="84"/>
      <c r="F518" s="84"/>
    </row>
    <row r="519" ht="15.75" customHeight="1">
      <c r="A519" s="84"/>
      <c r="B519" s="84"/>
      <c r="C519" s="84"/>
      <c r="D519" s="84"/>
      <c r="E519" s="84"/>
      <c r="F519" s="84"/>
    </row>
    <row r="520" ht="15.75" customHeight="1">
      <c r="A520" s="84"/>
      <c r="B520" s="84"/>
      <c r="C520" s="84"/>
      <c r="D520" s="84"/>
      <c r="E520" s="84"/>
      <c r="F520" s="84"/>
    </row>
    <row r="521" ht="15.75" customHeight="1">
      <c r="A521" s="84"/>
      <c r="B521" s="84"/>
      <c r="C521" s="84"/>
      <c r="D521" s="84"/>
      <c r="E521" s="84"/>
      <c r="F521" s="84"/>
    </row>
    <row r="522" ht="15.75" customHeight="1">
      <c r="A522" s="84"/>
      <c r="B522" s="84"/>
      <c r="C522" s="84"/>
      <c r="D522" s="84"/>
      <c r="E522" s="84"/>
      <c r="F522" s="84"/>
    </row>
    <row r="523" ht="15.75" customHeight="1">
      <c r="A523" s="84"/>
      <c r="B523" s="84"/>
      <c r="C523" s="84"/>
      <c r="D523" s="84"/>
      <c r="E523" s="84"/>
      <c r="F523" s="84"/>
    </row>
    <row r="524" ht="15.75" customHeight="1">
      <c r="A524" s="84"/>
      <c r="B524" s="84"/>
      <c r="C524" s="84"/>
      <c r="D524" s="84"/>
      <c r="E524" s="84"/>
      <c r="F524" s="84"/>
    </row>
    <row r="525" ht="15.75" customHeight="1">
      <c r="A525" s="84"/>
      <c r="B525" s="84"/>
      <c r="C525" s="84"/>
      <c r="D525" s="84"/>
      <c r="E525" s="84"/>
      <c r="F525" s="84"/>
    </row>
    <row r="526" ht="15.75" customHeight="1">
      <c r="A526" s="84"/>
      <c r="B526" s="84"/>
      <c r="C526" s="84"/>
      <c r="D526" s="84"/>
      <c r="E526" s="84"/>
      <c r="F526" s="84"/>
    </row>
    <row r="527" ht="15.75" customHeight="1">
      <c r="A527" s="84"/>
      <c r="B527" s="84"/>
      <c r="C527" s="84"/>
      <c r="D527" s="84"/>
      <c r="E527" s="84"/>
      <c r="F527" s="84"/>
    </row>
    <row r="528" ht="15.75" customHeight="1">
      <c r="A528" s="84"/>
      <c r="B528" s="84"/>
      <c r="C528" s="84"/>
      <c r="D528" s="84"/>
      <c r="E528" s="84"/>
      <c r="F528" s="84"/>
    </row>
    <row r="529" ht="15.75" customHeight="1">
      <c r="A529" s="84"/>
      <c r="B529" s="84"/>
      <c r="C529" s="84"/>
      <c r="D529" s="84"/>
      <c r="E529" s="84"/>
      <c r="F529" s="84"/>
    </row>
    <row r="530" ht="15.75" customHeight="1">
      <c r="A530" s="84"/>
      <c r="B530" s="84"/>
      <c r="C530" s="84"/>
      <c r="D530" s="84"/>
      <c r="E530" s="84"/>
      <c r="F530" s="84"/>
    </row>
    <row r="531" ht="15.75" customHeight="1">
      <c r="A531" s="84"/>
      <c r="B531" s="84"/>
      <c r="C531" s="84"/>
      <c r="D531" s="84"/>
      <c r="E531" s="84"/>
      <c r="F531" s="84"/>
    </row>
    <row r="532" ht="15.75" customHeight="1">
      <c r="A532" s="84"/>
      <c r="B532" s="84"/>
      <c r="C532" s="84"/>
      <c r="D532" s="84"/>
      <c r="E532" s="84"/>
      <c r="F532" s="84"/>
    </row>
    <row r="533" ht="15.75" customHeight="1">
      <c r="A533" s="84"/>
      <c r="B533" s="84"/>
      <c r="C533" s="84"/>
      <c r="D533" s="84"/>
      <c r="E533" s="84"/>
      <c r="F533" s="84"/>
    </row>
    <row r="534" ht="15.75" customHeight="1">
      <c r="A534" s="84"/>
      <c r="B534" s="84"/>
      <c r="C534" s="84"/>
      <c r="D534" s="84"/>
      <c r="E534" s="84"/>
      <c r="F534" s="84"/>
    </row>
    <row r="535" ht="15.75" customHeight="1">
      <c r="A535" s="84"/>
      <c r="B535" s="84"/>
      <c r="C535" s="84"/>
      <c r="D535" s="84"/>
      <c r="E535" s="84"/>
      <c r="F535" s="84"/>
    </row>
    <row r="536" ht="15.75" customHeight="1">
      <c r="A536" s="84"/>
      <c r="B536" s="84"/>
      <c r="C536" s="84"/>
      <c r="D536" s="84"/>
      <c r="E536" s="84"/>
      <c r="F536" s="84"/>
    </row>
    <row r="537" ht="15.75" customHeight="1">
      <c r="A537" s="84"/>
      <c r="B537" s="84"/>
      <c r="C537" s="84"/>
      <c r="D537" s="84"/>
      <c r="E537" s="84"/>
      <c r="F537" s="84"/>
    </row>
    <row r="538" ht="15.75" customHeight="1">
      <c r="A538" s="84"/>
      <c r="B538" s="84"/>
      <c r="C538" s="84"/>
      <c r="D538" s="84"/>
      <c r="E538" s="84"/>
      <c r="F538" s="84"/>
    </row>
    <row r="539" ht="15.75" customHeight="1">
      <c r="A539" s="84"/>
      <c r="B539" s="84"/>
      <c r="C539" s="84"/>
      <c r="D539" s="84"/>
      <c r="E539" s="84"/>
      <c r="F539" s="84"/>
    </row>
    <row r="540" ht="15.75" customHeight="1">
      <c r="A540" s="84"/>
      <c r="B540" s="84"/>
      <c r="C540" s="84"/>
      <c r="D540" s="84"/>
      <c r="E540" s="84"/>
      <c r="F540" s="84"/>
    </row>
    <row r="541" ht="15.75" customHeight="1">
      <c r="A541" s="84"/>
      <c r="B541" s="84"/>
      <c r="C541" s="84"/>
      <c r="D541" s="84"/>
      <c r="E541" s="84"/>
      <c r="F541" s="84"/>
    </row>
    <row r="542" ht="15.75" customHeight="1">
      <c r="A542" s="84"/>
      <c r="B542" s="84"/>
      <c r="C542" s="84"/>
      <c r="D542" s="84"/>
      <c r="E542" s="84"/>
      <c r="F542" s="84"/>
    </row>
    <row r="543" ht="15.75" customHeight="1">
      <c r="A543" s="84"/>
      <c r="B543" s="84"/>
      <c r="C543" s="84"/>
      <c r="D543" s="84"/>
      <c r="E543" s="84"/>
      <c r="F543" s="84"/>
    </row>
    <row r="544" ht="15.75" customHeight="1">
      <c r="A544" s="84"/>
      <c r="B544" s="84"/>
      <c r="C544" s="84"/>
      <c r="D544" s="84"/>
      <c r="E544" s="84"/>
      <c r="F544" s="84"/>
    </row>
    <row r="545" ht="15.75" customHeight="1">
      <c r="A545" s="84"/>
      <c r="B545" s="84"/>
      <c r="C545" s="84"/>
      <c r="D545" s="84"/>
      <c r="E545" s="84"/>
      <c r="F545" s="84"/>
    </row>
    <row r="546" ht="15.75" customHeight="1">
      <c r="A546" s="84"/>
      <c r="B546" s="84"/>
      <c r="C546" s="84"/>
      <c r="D546" s="84"/>
      <c r="E546" s="84"/>
      <c r="F546" s="84"/>
    </row>
    <row r="547" ht="15.75" customHeight="1">
      <c r="A547" s="84"/>
      <c r="B547" s="84"/>
      <c r="C547" s="84"/>
      <c r="D547" s="84"/>
      <c r="E547" s="84"/>
      <c r="F547" s="84"/>
    </row>
    <row r="548" ht="15.75" customHeight="1">
      <c r="A548" s="84"/>
      <c r="B548" s="84"/>
      <c r="C548" s="84"/>
      <c r="D548" s="84"/>
      <c r="E548" s="84"/>
      <c r="F548" s="84"/>
    </row>
    <row r="549" ht="15.75" customHeight="1">
      <c r="A549" s="84"/>
      <c r="B549" s="84"/>
      <c r="C549" s="84"/>
      <c r="D549" s="84"/>
      <c r="E549" s="84"/>
      <c r="F549" s="84"/>
    </row>
    <row r="550" ht="15.75" customHeight="1">
      <c r="A550" s="84"/>
      <c r="B550" s="84"/>
      <c r="C550" s="84"/>
      <c r="D550" s="84"/>
      <c r="E550" s="84"/>
      <c r="F550" s="84"/>
    </row>
    <row r="551" ht="15.75" customHeight="1">
      <c r="A551" s="84"/>
      <c r="B551" s="84"/>
      <c r="C551" s="84"/>
      <c r="D551" s="84"/>
      <c r="E551" s="84"/>
      <c r="F551" s="84"/>
    </row>
    <row r="552" ht="15.75" customHeight="1">
      <c r="A552" s="84"/>
      <c r="B552" s="84"/>
      <c r="C552" s="84"/>
      <c r="D552" s="84"/>
      <c r="E552" s="84"/>
      <c r="F552" s="84"/>
    </row>
    <row r="553" ht="15.75" customHeight="1">
      <c r="A553" s="84"/>
      <c r="B553" s="84"/>
      <c r="C553" s="84"/>
      <c r="D553" s="84"/>
      <c r="E553" s="84"/>
      <c r="F553" s="84"/>
    </row>
    <row r="554" ht="15.75" customHeight="1">
      <c r="A554" s="84"/>
      <c r="B554" s="84"/>
      <c r="C554" s="84"/>
      <c r="D554" s="84"/>
      <c r="E554" s="84"/>
      <c r="F554" s="84"/>
    </row>
    <row r="555" ht="15.75" customHeight="1">
      <c r="A555" s="84"/>
      <c r="B555" s="84"/>
      <c r="C555" s="84"/>
      <c r="D555" s="84"/>
      <c r="E555" s="84"/>
      <c r="F555" s="84"/>
    </row>
    <row r="556" ht="15.75" customHeight="1">
      <c r="A556" s="84"/>
      <c r="B556" s="84"/>
      <c r="C556" s="84"/>
      <c r="D556" s="84"/>
      <c r="E556" s="84"/>
      <c r="F556" s="84"/>
    </row>
    <row r="557" ht="15.75" customHeight="1">
      <c r="A557" s="84"/>
      <c r="B557" s="84"/>
      <c r="C557" s="84"/>
      <c r="D557" s="84"/>
      <c r="E557" s="84"/>
      <c r="F557" s="84"/>
    </row>
    <row r="558" ht="15.75" customHeight="1">
      <c r="A558" s="84"/>
      <c r="B558" s="84"/>
      <c r="C558" s="84"/>
      <c r="D558" s="84"/>
      <c r="E558" s="84"/>
      <c r="F558" s="84"/>
    </row>
    <row r="559" ht="15.75" customHeight="1">
      <c r="A559" s="84"/>
      <c r="B559" s="84"/>
      <c r="C559" s="84"/>
      <c r="D559" s="84"/>
      <c r="E559" s="84"/>
      <c r="F559" s="84"/>
    </row>
    <row r="560" ht="15.75" customHeight="1">
      <c r="A560" s="84"/>
      <c r="B560" s="84"/>
      <c r="C560" s="84"/>
      <c r="D560" s="84"/>
      <c r="E560" s="84"/>
      <c r="F560" s="84"/>
    </row>
    <row r="561" ht="15.75" customHeight="1">
      <c r="A561" s="84"/>
      <c r="B561" s="84"/>
      <c r="C561" s="84"/>
      <c r="D561" s="84"/>
      <c r="E561" s="84"/>
      <c r="F561" s="84"/>
    </row>
    <row r="562" ht="15.75" customHeight="1">
      <c r="A562" s="84"/>
      <c r="B562" s="84"/>
      <c r="C562" s="84"/>
      <c r="D562" s="84"/>
      <c r="E562" s="84"/>
      <c r="F562" s="84"/>
    </row>
    <row r="563" ht="15.75" customHeight="1">
      <c r="A563" s="84"/>
      <c r="B563" s="84"/>
      <c r="C563" s="84"/>
      <c r="D563" s="84"/>
      <c r="E563" s="84"/>
      <c r="F563" s="84"/>
    </row>
    <row r="564" ht="15.75" customHeight="1">
      <c r="A564" s="84"/>
      <c r="B564" s="84"/>
      <c r="C564" s="84"/>
      <c r="D564" s="84"/>
      <c r="E564" s="84"/>
      <c r="F564" s="84"/>
    </row>
    <row r="565" ht="15.75" customHeight="1">
      <c r="A565" s="84"/>
      <c r="B565" s="84"/>
      <c r="C565" s="84"/>
      <c r="D565" s="84"/>
      <c r="E565" s="84"/>
      <c r="F565" s="84"/>
    </row>
    <row r="566" ht="15.75" customHeight="1">
      <c r="A566" s="84"/>
      <c r="B566" s="84"/>
      <c r="C566" s="84"/>
      <c r="D566" s="84"/>
      <c r="E566" s="84"/>
      <c r="F566" s="84"/>
    </row>
    <row r="567" ht="15.75" customHeight="1">
      <c r="A567" s="84"/>
      <c r="B567" s="84"/>
      <c r="C567" s="84"/>
      <c r="D567" s="84"/>
      <c r="E567" s="84"/>
      <c r="F567" s="84"/>
    </row>
    <row r="568" ht="15.75" customHeight="1">
      <c r="A568" s="84"/>
      <c r="B568" s="84"/>
      <c r="C568" s="84"/>
      <c r="D568" s="84"/>
      <c r="E568" s="84"/>
      <c r="F568" s="84"/>
    </row>
    <row r="569" ht="15.75" customHeight="1">
      <c r="A569" s="84"/>
      <c r="B569" s="84"/>
      <c r="C569" s="84"/>
      <c r="D569" s="84"/>
      <c r="E569" s="84"/>
      <c r="F569" s="84"/>
    </row>
    <row r="570" ht="15.75" customHeight="1">
      <c r="A570" s="84"/>
      <c r="B570" s="84"/>
      <c r="C570" s="84"/>
      <c r="D570" s="84"/>
      <c r="E570" s="84"/>
      <c r="F570" s="84"/>
    </row>
    <row r="571" ht="15.75" customHeight="1">
      <c r="A571" s="84"/>
      <c r="B571" s="84"/>
      <c r="C571" s="84"/>
      <c r="D571" s="84"/>
      <c r="E571" s="84"/>
      <c r="F571" s="84"/>
    </row>
    <row r="572" ht="15.75" customHeight="1">
      <c r="A572" s="84"/>
      <c r="B572" s="84"/>
      <c r="C572" s="84"/>
      <c r="D572" s="84"/>
      <c r="E572" s="84"/>
      <c r="F572" s="84"/>
    </row>
    <row r="573" ht="15.75" customHeight="1">
      <c r="A573" s="84"/>
      <c r="B573" s="84"/>
      <c r="C573" s="84"/>
      <c r="D573" s="84"/>
      <c r="E573" s="84"/>
      <c r="F573" s="84"/>
    </row>
    <row r="574" ht="15.75" customHeight="1">
      <c r="A574" s="84"/>
      <c r="B574" s="84"/>
      <c r="C574" s="84"/>
      <c r="D574" s="84"/>
      <c r="E574" s="84"/>
      <c r="F574" s="84"/>
    </row>
    <row r="575" ht="15.75" customHeight="1">
      <c r="A575" s="84"/>
      <c r="B575" s="84"/>
      <c r="C575" s="84"/>
      <c r="D575" s="84"/>
      <c r="E575" s="84"/>
      <c r="F575" s="84"/>
    </row>
    <row r="576" ht="15.75" customHeight="1">
      <c r="A576" s="84"/>
      <c r="B576" s="84"/>
      <c r="C576" s="84"/>
      <c r="D576" s="84"/>
      <c r="E576" s="84"/>
      <c r="F576" s="84"/>
    </row>
    <row r="577" ht="15.75" customHeight="1">
      <c r="A577" s="84"/>
      <c r="B577" s="84"/>
      <c r="C577" s="84"/>
      <c r="D577" s="84"/>
      <c r="E577" s="84"/>
      <c r="F577" s="84"/>
    </row>
    <row r="578" ht="15.75" customHeight="1">
      <c r="A578" s="84"/>
      <c r="B578" s="84"/>
      <c r="C578" s="84"/>
      <c r="D578" s="84"/>
      <c r="E578" s="84"/>
      <c r="F578" s="84"/>
    </row>
    <row r="579" ht="15.75" customHeight="1">
      <c r="A579" s="84"/>
      <c r="B579" s="84"/>
      <c r="C579" s="84"/>
      <c r="D579" s="84"/>
      <c r="E579" s="84"/>
      <c r="F579" s="84"/>
    </row>
    <row r="580" ht="15.75" customHeight="1">
      <c r="A580" s="84"/>
      <c r="B580" s="84"/>
      <c r="C580" s="84"/>
      <c r="D580" s="84"/>
      <c r="E580" s="84"/>
      <c r="F580" s="84"/>
    </row>
    <row r="581" ht="15.75" customHeight="1">
      <c r="A581" s="84"/>
      <c r="B581" s="84"/>
      <c r="C581" s="84"/>
      <c r="D581" s="84"/>
      <c r="E581" s="84"/>
      <c r="F581" s="84"/>
    </row>
    <row r="582" ht="15.75" customHeight="1">
      <c r="A582" s="84"/>
      <c r="B582" s="84"/>
      <c r="C582" s="84"/>
      <c r="D582" s="84"/>
      <c r="E582" s="84"/>
      <c r="F582" s="84"/>
    </row>
    <row r="583" ht="15.75" customHeight="1">
      <c r="A583" s="84"/>
      <c r="B583" s="84"/>
      <c r="C583" s="84"/>
      <c r="D583" s="84"/>
      <c r="E583" s="84"/>
      <c r="F583" s="84"/>
    </row>
    <row r="584" ht="15.75" customHeight="1">
      <c r="A584" s="84"/>
      <c r="B584" s="84"/>
      <c r="C584" s="84"/>
      <c r="D584" s="84"/>
      <c r="E584" s="84"/>
      <c r="F584" s="84"/>
    </row>
    <row r="585" ht="15.75" customHeight="1">
      <c r="A585" s="84"/>
      <c r="B585" s="84"/>
      <c r="C585" s="84"/>
      <c r="D585" s="84"/>
      <c r="E585" s="84"/>
      <c r="F585" s="84"/>
    </row>
    <row r="586" ht="15.75" customHeight="1">
      <c r="A586" s="84"/>
      <c r="B586" s="84"/>
      <c r="C586" s="84"/>
      <c r="D586" s="84"/>
      <c r="E586" s="84"/>
      <c r="F586" s="84"/>
    </row>
    <row r="587" ht="15.75" customHeight="1">
      <c r="A587" s="84"/>
      <c r="B587" s="84"/>
      <c r="C587" s="84"/>
      <c r="D587" s="84"/>
      <c r="E587" s="84"/>
      <c r="F587" s="84"/>
    </row>
    <row r="588" ht="15.75" customHeight="1">
      <c r="A588" s="84"/>
      <c r="B588" s="84"/>
      <c r="C588" s="84"/>
      <c r="D588" s="84"/>
      <c r="E588" s="84"/>
      <c r="F588" s="84"/>
    </row>
    <row r="589" ht="15.75" customHeight="1">
      <c r="A589" s="84"/>
      <c r="B589" s="84"/>
      <c r="C589" s="84"/>
      <c r="D589" s="84"/>
      <c r="E589" s="84"/>
      <c r="F589" s="84"/>
    </row>
    <row r="590" ht="15.75" customHeight="1">
      <c r="A590" s="84"/>
      <c r="B590" s="84"/>
      <c r="C590" s="84"/>
      <c r="D590" s="84"/>
      <c r="E590" s="84"/>
      <c r="F590" s="84"/>
    </row>
    <row r="591" ht="15.75" customHeight="1">
      <c r="A591" s="84"/>
      <c r="B591" s="84"/>
      <c r="C591" s="84"/>
      <c r="D591" s="84"/>
      <c r="E591" s="84"/>
      <c r="F591" s="84"/>
    </row>
    <row r="592" ht="15.75" customHeight="1">
      <c r="A592" s="84"/>
      <c r="B592" s="84"/>
      <c r="C592" s="84"/>
      <c r="D592" s="84"/>
      <c r="E592" s="84"/>
      <c r="F592" s="84"/>
    </row>
    <row r="593" ht="15.75" customHeight="1">
      <c r="A593" s="84"/>
      <c r="B593" s="84"/>
      <c r="C593" s="84"/>
      <c r="D593" s="84"/>
      <c r="E593" s="84"/>
      <c r="F593" s="84"/>
    </row>
    <row r="594" ht="15.75" customHeight="1">
      <c r="A594" s="84"/>
      <c r="B594" s="84"/>
      <c r="C594" s="84"/>
      <c r="D594" s="84"/>
      <c r="E594" s="84"/>
      <c r="F594" s="84"/>
    </row>
    <row r="595" ht="15.75" customHeight="1">
      <c r="A595" s="84"/>
      <c r="B595" s="84"/>
      <c r="C595" s="84"/>
      <c r="D595" s="84"/>
      <c r="E595" s="84"/>
      <c r="F595" s="84"/>
    </row>
    <row r="596" ht="15.75" customHeight="1">
      <c r="A596" s="84"/>
      <c r="B596" s="84"/>
      <c r="C596" s="84"/>
      <c r="D596" s="84"/>
      <c r="E596" s="84"/>
      <c r="F596" s="84"/>
    </row>
    <row r="597" ht="15.75" customHeight="1">
      <c r="A597" s="84"/>
      <c r="B597" s="84"/>
      <c r="C597" s="84"/>
      <c r="D597" s="84"/>
      <c r="E597" s="84"/>
      <c r="F597" s="84"/>
    </row>
    <row r="598" ht="15.75" customHeight="1">
      <c r="A598" s="84"/>
      <c r="B598" s="84"/>
      <c r="C598" s="84"/>
      <c r="D598" s="84"/>
      <c r="E598" s="84"/>
      <c r="F598" s="84"/>
    </row>
    <row r="599" ht="15.75" customHeight="1">
      <c r="A599" s="84"/>
      <c r="B599" s="84"/>
      <c r="C599" s="84"/>
      <c r="D599" s="84"/>
      <c r="E599" s="84"/>
      <c r="F599" s="84"/>
    </row>
    <row r="600" ht="15.75" customHeight="1">
      <c r="A600" s="84"/>
      <c r="B600" s="84"/>
      <c r="C600" s="84"/>
      <c r="D600" s="84"/>
      <c r="E600" s="84"/>
      <c r="F600" s="84"/>
    </row>
    <row r="601" ht="15.75" customHeight="1">
      <c r="A601" s="84"/>
      <c r="B601" s="84"/>
      <c r="C601" s="84"/>
      <c r="D601" s="84"/>
      <c r="E601" s="84"/>
      <c r="F601" s="84"/>
    </row>
    <row r="602" ht="15.75" customHeight="1">
      <c r="A602" s="84"/>
      <c r="B602" s="84"/>
      <c r="C602" s="84"/>
      <c r="D602" s="84"/>
      <c r="E602" s="84"/>
      <c r="F602" s="84"/>
    </row>
    <row r="603" ht="15.75" customHeight="1">
      <c r="A603" s="84"/>
      <c r="B603" s="84"/>
      <c r="C603" s="84"/>
      <c r="D603" s="84"/>
      <c r="E603" s="84"/>
      <c r="F603" s="84"/>
    </row>
    <row r="604" ht="15.75" customHeight="1">
      <c r="A604" s="84"/>
      <c r="B604" s="84"/>
      <c r="C604" s="84"/>
      <c r="D604" s="84"/>
      <c r="E604" s="84"/>
      <c r="F604" s="84"/>
    </row>
    <row r="605" ht="15.75" customHeight="1">
      <c r="A605" s="84"/>
      <c r="B605" s="84"/>
      <c r="C605" s="84"/>
      <c r="D605" s="84"/>
      <c r="E605" s="84"/>
      <c r="F605" s="84"/>
    </row>
    <row r="606" ht="15.75" customHeight="1">
      <c r="A606" s="84"/>
      <c r="B606" s="84"/>
      <c r="C606" s="84"/>
      <c r="D606" s="84"/>
      <c r="E606" s="84"/>
      <c r="F606" s="84"/>
    </row>
    <row r="607" ht="15.75" customHeight="1">
      <c r="A607" s="84"/>
      <c r="B607" s="84"/>
      <c r="C607" s="84"/>
      <c r="D607" s="84"/>
      <c r="E607" s="84"/>
      <c r="F607" s="84"/>
    </row>
    <row r="608" ht="15.75" customHeight="1">
      <c r="A608" s="84"/>
      <c r="B608" s="84"/>
      <c r="C608" s="84"/>
      <c r="D608" s="84"/>
      <c r="E608" s="84"/>
      <c r="F608" s="84"/>
    </row>
    <row r="609" ht="15.75" customHeight="1">
      <c r="A609" s="84"/>
      <c r="B609" s="84"/>
      <c r="C609" s="84"/>
      <c r="D609" s="84"/>
      <c r="E609" s="84"/>
      <c r="F609" s="84"/>
    </row>
    <row r="610" ht="15.75" customHeight="1">
      <c r="A610" s="84"/>
      <c r="B610" s="84"/>
      <c r="C610" s="84"/>
      <c r="D610" s="84"/>
      <c r="E610" s="84"/>
      <c r="F610" s="84"/>
    </row>
    <row r="611" ht="15.75" customHeight="1">
      <c r="A611" s="84"/>
      <c r="B611" s="84"/>
      <c r="C611" s="84"/>
      <c r="D611" s="84"/>
      <c r="E611" s="84"/>
      <c r="F611" s="84"/>
    </row>
    <row r="612" ht="15.75" customHeight="1">
      <c r="A612" s="84"/>
      <c r="B612" s="84"/>
      <c r="C612" s="84"/>
      <c r="D612" s="84"/>
      <c r="E612" s="84"/>
      <c r="F612" s="84"/>
    </row>
    <row r="613" ht="15.75" customHeight="1">
      <c r="A613" s="84"/>
      <c r="B613" s="84"/>
      <c r="C613" s="84"/>
      <c r="D613" s="84"/>
      <c r="E613" s="84"/>
      <c r="F613" s="84"/>
    </row>
    <row r="614" ht="15.75" customHeight="1">
      <c r="A614" s="84"/>
      <c r="B614" s="84"/>
      <c r="C614" s="84"/>
      <c r="D614" s="84"/>
      <c r="E614" s="84"/>
      <c r="F614" s="84"/>
    </row>
    <row r="615" ht="15.75" customHeight="1">
      <c r="A615" s="84"/>
      <c r="B615" s="84"/>
      <c r="C615" s="84"/>
      <c r="D615" s="84"/>
      <c r="E615" s="84"/>
      <c r="F615" s="84"/>
    </row>
    <row r="616" ht="15.75" customHeight="1">
      <c r="A616" s="84"/>
      <c r="B616" s="84"/>
      <c r="C616" s="84"/>
      <c r="D616" s="84"/>
      <c r="E616" s="84"/>
      <c r="F616" s="84"/>
    </row>
    <row r="617" ht="15.75" customHeight="1">
      <c r="A617" s="84"/>
      <c r="B617" s="84"/>
      <c r="C617" s="84"/>
      <c r="D617" s="84"/>
      <c r="E617" s="84"/>
      <c r="F617" s="84"/>
    </row>
    <row r="618" ht="15.75" customHeight="1">
      <c r="A618" s="84"/>
      <c r="B618" s="84"/>
      <c r="C618" s="84"/>
      <c r="D618" s="84"/>
      <c r="E618" s="84"/>
      <c r="F618" s="84"/>
    </row>
    <row r="619" ht="15.75" customHeight="1">
      <c r="A619" s="84"/>
      <c r="B619" s="84"/>
      <c r="C619" s="84"/>
      <c r="D619" s="84"/>
      <c r="E619" s="84"/>
      <c r="F619" s="84"/>
    </row>
    <row r="620" ht="15.75" customHeight="1">
      <c r="A620" s="84"/>
      <c r="B620" s="84"/>
      <c r="C620" s="84"/>
      <c r="D620" s="84"/>
      <c r="E620" s="84"/>
      <c r="F620" s="84"/>
    </row>
    <row r="621" ht="15.75" customHeight="1">
      <c r="A621" s="84"/>
      <c r="B621" s="84"/>
      <c r="C621" s="84"/>
      <c r="D621" s="84"/>
      <c r="E621" s="84"/>
      <c r="F621" s="84"/>
    </row>
    <row r="622" ht="15.75" customHeight="1">
      <c r="A622" s="84"/>
      <c r="B622" s="84"/>
      <c r="C622" s="84"/>
      <c r="D622" s="84"/>
      <c r="E622" s="84"/>
      <c r="F622" s="84"/>
    </row>
    <row r="623" ht="15.75" customHeight="1">
      <c r="A623" s="84"/>
      <c r="B623" s="84"/>
      <c r="C623" s="84"/>
      <c r="D623" s="84"/>
      <c r="E623" s="84"/>
      <c r="F623" s="84"/>
    </row>
    <row r="624" ht="15.75" customHeight="1">
      <c r="A624" s="84"/>
      <c r="B624" s="84"/>
      <c r="C624" s="84"/>
      <c r="D624" s="84"/>
      <c r="E624" s="84"/>
      <c r="F624" s="84"/>
    </row>
    <row r="625" ht="15.75" customHeight="1">
      <c r="A625" s="84"/>
      <c r="B625" s="84"/>
      <c r="C625" s="84"/>
      <c r="D625" s="84"/>
      <c r="E625" s="84"/>
      <c r="F625" s="84"/>
    </row>
    <row r="626" ht="15.75" customHeight="1">
      <c r="A626" s="84"/>
      <c r="B626" s="84"/>
      <c r="C626" s="84"/>
      <c r="D626" s="84"/>
      <c r="E626" s="84"/>
      <c r="F626" s="84"/>
    </row>
    <row r="627" ht="15.75" customHeight="1">
      <c r="A627" s="84"/>
      <c r="B627" s="84"/>
      <c r="C627" s="84"/>
      <c r="D627" s="84"/>
      <c r="E627" s="84"/>
      <c r="F627" s="84"/>
    </row>
    <row r="628" ht="15.75" customHeight="1">
      <c r="A628" s="84"/>
      <c r="B628" s="84"/>
      <c r="C628" s="84"/>
      <c r="D628" s="84"/>
      <c r="E628" s="84"/>
      <c r="F628" s="84"/>
    </row>
    <row r="629" ht="15.75" customHeight="1">
      <c r="A629" s="84"/>
      <c r="B629" s="84"/>
      <c r="C629" s="84"/>
      <c r="D629" s="84"/>
      <c r="E629" s="84"/>
      <c r="F629" s="84"/>
    </row>
    <row r="630" ht="15.75" customHeight="1">
      <c r="A630" s="84"/>
      <c r="B630" s="84"/>
      <c r="C630" s="84"/>
      <c r="D630" s="84"/>
      <c r="E630" s="84"/>
      <c r="F630" s="84"/>
    </row>
    <row r="631" ht="15.75" customHeight="1">
      <c r="A631" s="84"/>
      <c r="B631" s="84"/>
      <c r="C631" s="84"/>
      <c r="D631" s="84"/>
      <c r="E631" s="84"/>
      <c r="F631" s="84"/>
    </row>
    <row r="632" ht="15.75" customHeight="1">
      <c r="A632" s="84"/>
      <c r="B632" s="84"/>
      <c r="C632" s="84"/>
      <c r="D632" s="84"/>
      <c r="E632" s="84"/>
      <c r="F632" s="84"/>
    </row>
    <row r="633" ht="15.75" customHeight="1">
      <c r="A633" s="84"/>
      <c r="B633" s="84"/>
      <c r="C633" s="84"/>
      <c r="D633" s="84"/>
      <c r="E633" s="84"/>
      <c r="F633" s="84"/>
    </row>
    <row r="634" ht="15.75" customHeight="1">
      <c r="A634" s="84"/>
      <c r="B634" s="84"/>
      <c r="C634" s="84"/>
      <c r="D634" s="84"/>
      <c r="E634" s="84"/>
      <c r="F634" s="84"/>
    </row>
    <row r="635" ht="15.75" customHeight="1">
      <c r="A635" s="84"/>
      <c r="B635" s="84"/>
      <c r="C635" s="84"/>
      <c r="D635" s="84"/>
      <c r="E635" s="84"/>
      <c r="F635" s="84"/>
    </row>
    <row r="636" ht="15.75" customHeight="1">
      <c r="A636" s="84"/>
      <c r="B636" s="84"/>
      <c r="C636" s="84"/>
      <c r="D636" s="84"/>
      <c r="E636" s="84"/>
      <c r="F636" s="84"/>
    </row>
    <row r="637" ht="15.75" customHeight="1">
      <c r="A637" s="84"/>
      <c r="B637" s="84"/>
      <c r="C637" s="84"/>
      <c r="D637" s="84"/>
      <c r="E637" s="84"/>
      <c r="F637" s="84"/>
    </row>
    <row r="638" ht="15.75" customHeight="1">
      <c r="A638" s="84"/>
      <c r="B638" s="84"/>
      <c r="C638" s="84"/>
      <c r="D638" s="84"/>
      <c r="E638" s="84"/>
      <c r="F638" s="84"/>
    </row>
    <row r="639" ht="15.75" customHeight="1">
      <c r="A639" s="84"/>
      <c r="B639" s="84"/>
      <c r="C639" s="84"/>
      <c r="D639" s="84"/>
      <c r="E639" s="84"/>
      <c r="F639" s="84"/>
    </row>
    <row r="640" ht="15.75" customHeight="1">
      <c r="A640" s="84"/>
      <c r="B640" s="84"/>
      <c r="C640" s="84"/>
      <c r="D640" s="84"/>
      <c r="E640" s="84"/>
      <c r="F640" s="84"/>
    </row>
    <row r="641" ht="15.75" customHeight="1">
      <c r="A641" s="84"/>
      <c r="B641" s="84"/>
      <c r="C641" s="84"/>
      <c r="D641" s="84"/>
      <c r="E641" s="84"/>
      <c r="F641" s="84"/>
    </row>
    <row r="642" ht="15.75" customHeight="1">
      <c r="A642" s="84"/>
      <c r="B642" s="84"/>
      <c r="C642" s="84"/>
      <c r="D642" s="84"/>
      <c r="E642" s="84"/>
      <c r="F642" s="84"/>
    </row>
    <row r="643" ht="15.75" customHeight="1">
      <c r="A643" s="84"/>
      <c r="B643" s="84"/>
      <c r="C643" s="84"/>
      <c r="D643" s="84"/>
      <c r="E643" s="84"/>
      <c r="F643" s="84"/>
    </row>
    <row r="644" ht="15.75" customHeight="1">
      <c r="A644" s="84"/>
      <c r="B644" s="84"/>
      <c r="C644" s="84"/>
      <c r="D644" s="84"/>
      <c r="E644" s="84"/>
      <c r="F644" s="84"/>
    </row>
    <row r="645" ht="15.75" customHeight="1">
      <c r="A645" s="84"/>
      <c r="B645" s="84"/>
      <c r="C645" s="84"/>
      <c r="D645" s="84"/>
      <c r="E645" s="84"/>
      <c r="F645" s="84"/>
    </row>
    <row r="646" ht="15.75" customHeight="1">
      <c r="A646" s="84"/>
      <c r="B646" s="84"/>
      <c r="C646" s="84"/>
      <c r="D646" s="84"/>
      <c r="E646" s="84"/>
      <c r="F646" s="84"/>
    </row>
    <row r="647" ht="15.75" customHeight="1">
      <c r="A647" s="84"/>
      <c r="B647" s="84"/>
      <c r="C647" s="84"/>
      <c r="D647" s="84"/>
      <c r="E647" s="84"/>
      <c r="F647" s="84"/>
    </row>
    <row r="648" ht="15.75" customHeight="1">
      <c r="A648" s="84"/>
      <c r="B648" s="84"/>
      <c r="C648" s="84"/>
      <c r="D648" s="84"/>
      <c r="E648" s="84"/>
      <c r="F648" s="84"/>
    </row>
    <row r="649" ht="15.75" customHeight="1">
      <c r="A649" s="84"/>
      <c r="B649" s="84"/>
      <c r="C649" s="84"/>
      <c r="D649" s="84"/>
      <c r="E649" s="84"/>
      <c r="F649" s="84"/>
    </row>
    <row r="650" ht="15.75" customHeight="1">
      <c r="A650" s="84"/>
      <c r="B650" s="84"/>
      <c r="C650" s="84"/>
      <c r="D650" s="84"/>
      <c r="E650" s="84"/>
      <c r="F650" s="84"/>
    </row>
    <row r="651" ht="15.75" customHeight="1">
      <c r="A651" s="84"/>
      <c r="B651" s="84"/>
      <c r="C651" s="84"/>
      <c r="D651" s="84"/>
      <c r="E651" s="84"/>
      <c r="F651" s="84"/>
    </row>
    <row r="652" ht="15.75" customHeight="1">
      <c r="A652" s="84"/>
      <c r="B652" s="84"/>
      <c r="C652" s="84"/>
      <c r="D652" s="84"/>
      <c r="E652" s="84"/>
      <c r="F652" s="84"/>
    </row>
    <row r="653" ht="15.75" customHeight="1">
      <c r="A653" s="84"/>
      <c r="B653" s="84"/>
      <c r="C653" s="84"/>
      <c r="D653" s="84"/>
      <c r="E653" s="84"/>
      <c r="F653" s="84"/>
    </row>
    <row r="654" ht="15.75" customHeight="1">
      <c r="A654" s="84"/>
      <c r="B654" s="84"/>
      <c r="C654" s="84"/>
      <c r="D654" s="84"/>
      <c r="E654" s="84"/>
      <c r="F654" s="84"/>
    </row>
    <row r="655" ht="15.75" customHeight="1">
      <c r="A655" s="84"/>
      <c r="B655" s="84"/>
      <c r="C655" s="84"/>
      <c r="D655" s="84"/>
      <c r="E655" s="84"/>
      <c r="F655" s="84"/>
    </row>
    <row r="656" ht="15.75" customHeight="1">
      <c r="A656" s="84"/>
      <c r="B656" s="84"/>
      <c r="C656" s="84"/>
      <c r="D656" s="84"/>
      <c r="E656" s="84"/>
      <c r="F656" s="84"/>
    </row>
    <row r="657" ht="15.75" customHeight="1">
      <c r="A657" s="84"/>
      <c r="B657" s="84"/>
      <c r="C657" s="84"/>
      <c r="D657" s="84"/>
      <c r="E657" s="84"/>
      <c r="F657" s="84"/>
    </row>
    <row r="658" ht="15.75" customHeight="1">
      <c r="A658" s="84"/>
      <c r="B658" s="84"/>
      <c r="C658" s="84"/>
      <c r="D658" s="84"/>
      <c r="E658" s="84"/>
      <c r="F658" s="84"/>
    </row>
    <row r="659" ht="15.75" customHeight="1">
      <c r="A659" s="84"/>
      <c r="B659" s="84"/>
      <c r="C659" s="84"/>
      <c r="D659" s="84"/>
      <c r="E659" s="84"/>
      <c r="F659" s="84"/>
    </row>
    <row r="660" ht="15.75" customHeight="1">
      <c r="A660" s="84"/>
      <c r="B660" s="84"/>
      <c r="C660" s="84"/>
      <c r="D660" s="84"/>
      <c r="E660" s="84"/>
      <c r="F660" s="84"/>
    </row>
    <row r="661" ht="15.75" customHeight="1">
      <c r="A661" s="84"/>
      <c r="B661" s="84"/>
      <c r="C661" s="84"/>
      <c r="D661" s="84"/>
      <c r="E661" s="84"/>
      <c r="F661" s="84"/>
    </row>
    <row r="662" ht="15.75" customHeight="1">
      <c r="A662" s="84"/>
      <c r="B662" s="84"/>
      <c r="C662" s="84"/>
      <c r="D662" s="84"/>
      <c r="E662" s="84"/>
      <c r="F662" s="84"/>
    </row>
    <row r="663" ht="15.75" customHeight="1">
      <c r="A663" s="84"/>
      <c r="B663" s="84"/>
      <c r="C663" s="84"/>
      <c r="D663" s="84"/>
      <c r="E663" s="84"/>
      <c r="F663" s="84"/>
    </row>
    <row r="664" ht="15.75" customHeight="1">
      <c r="A664" s="84"/>
      <c r="B664" s="84"/>
      <c r="C664" s="84"/>
      <c r="D664" s="84"/>
      <c r="E664" s="84"/>
      <c r="F664" s="84"/>
    </row>
    <row r="665" ht="15.75" customHeight="1">
      <c r="A665" s="84"/>
      <c r="B665" s="84"/>
      <c r="C665" s="84"/>
      <c r="D665" s="84"/>
      <c r="E665" s="84"/>
      <c r="F665" s="84"/>
    </row>
    <row r="666" ht="15.75" customHeight="1">
      <c r="A666" s="84"/>
      <c r="B666" s="84"/>
      <c r="C666" s="84"/>
      <c r="D666" s="84"/>
      <c r="E666" s="84"/>
      <c r="F666" s="84"/>
    </row>
    <row r="667" ht="15.75" customHeight="1">
      <c r="A667" s="84"/>
      <c r="B667" s="84"/>
      <c r="C667" s="84"/>
      <c r="D667" s="84"/>
      <c r="E667" s="84"/>
      <c r="F667" s="84"/>
    </row>
    <row r="668" ht="15.75" customHeight="1">
      <c r="A668" s="84"/>
      <c r="B668" s="84"/>
      <c r="C668" s="84"/>
      <c r="D668" s="84"/>
      <c r="E668" s="84"/>
      <c r="F668" s="84"/>
    </row>
    <row r="669" ht="15.75" customHeight="1">
      <c r="A669" s="84"/>
      <c r="B669" s="84"/>
      <c r="C669" s="84"/>
      <c r="D669" s="84"/>
      <c r="E669" s="84"/>
      <c r="F669" s="84"/>
    </row>
    <row r="670" ht="15.75" customHeight="1">
      <c r="A670" s="84"/>
      <c r="B670" s="84"/>
      <c r="C670" s="84"/>
      <c r="D670" s="84"/>
      <c r="E670" s="84"/>
      <c r="F670" s="84"/>
    </row>
    <row r="671" ht="15.75" customHeight="1">
      <c r="A671" s="84"/>
      <c r="B671" s="84"/>
      <c r="C671" s="84"/>
      <c r="D671" s="84"/>
      <c r="E671" s="84"/>
      <c r="F671" s="84"/>
    </row>
    <row r="672" ht="15.75" customHeight="1">
      <c r="A672" s="84"/>
      <c r="B672" s="84"/>
      <c r="C672" s="84"/>
      <c r="D672" s="84"/>
      <c r="E672" s="84"/>
      <c r="F672" s="84"/>
    </row>
    <row r="673" ht="15.75" customHeight="1">
      <c r="A673" s="84"/>
      <c r="B673" s="84"/>
      <c r="C673" s="84"/>
      <c r="D673" s="84"/>
      <c r="E673" s="84"/>
      <c r="F673" s="84"/>
    </row>
    <row r="674" ht="15.75" customHeight="1">
      <c r="A674" s="84"/>
      <c r="B674" s="84"/>
      <c r="C674" s="84"/>
      <c r="D674" s="84"/>
      <c r="E674" s="84"/>
      <c r="F674" s="84"/>
    </row>
    <row r="675" ht="15.75" customHeight="1">
      <c r="A675" s="84"/>
      <c r="B675" s="84"/>
      <c r="C675" s="84"/>
      <c r="D675" s="84"/>
      <c r="E675" s="84"/>
      <c r="F675" s="84"/>
    </row>
    <row r="676" ht="15.75" customHeight="1">
      <c r="A676" s="84"/>
      <c r="B676" s="84"/>
      <c r="C676" s="84"/>
      <c r="D676" s="84"/>
      <c r="E676" s="84"/>
      <c r="F676" s="84"/>
    </row>
    <row r="677" ht="15.75" customHeight="1">
      <c r="A677" s="84"/>
      <c r="B677" s="84"/>
      <c r="C677" s="84"/>
      <c r="D677" s="84"/>
      <c r="E677" s="84"/>
      <c r="F677" s="84"/>
    </row>
    <row r="678" ht="15.75" customHeight="1">
      <c r="A678" s="84"/>
      <c r="B678" s="84"/>
      <c r="C678" s="84"/>
      <c r="D678" s="84"/>
      <c r="E678" s="84"/>
      <c r="F678" s="84"/>
    </row>
    <row r="679" ht="15.75" customHeight="1">
      <c r="A679" s="84"/>
      <c r="B679" s="84"/>
      <c r="C679" s="84"/>
      <c r="D679" s="84"/>
      <c r="E679" s="84"/>
      <c r="F679" s="84"/>
    </row>
    <row r="680" ht="15.75" customHeight="1">
      <c r="A680" s="84"/>
      <c r="B680" s="84"/>
      <c r="C680" s="84"/>
      <c r="D680" s="84"/>
      <c r="E680" s="84"/>
      <c r="F680" s="84"/>
    </row>
    <row r="681" ht="15.75" customHeight="1">
      <c r="A681" s="84"/>
      <c r="B681" s="84"/>
      <c r="C681" s="84"/>
      <c r="D681" s="84"/>
      <c r="E681" s="84"/>
      <c r="F681" s="84"/>
    </row>
    <row r="682" ht="15.75" customHeight="1">
      <c r="A682" s="84"/>
      <c r="B682" s="84"/>
      <c r="C682" s="84"/>
      <c r="D682" s="84"/>
      <c r="E682" s="84"/>
      <c r="F682" s="84"/>
    </row>
    <row r="683" ht="15.75" customHeight="1">
      <c r="A683" s="84"/>
      <c r="B683" s="84"/>
      <c r="C683" s="84"/>
      <c r="D683" s="84"/>
      <c r="E683" s="84"/>
      <c r="F683" s="84"/>
    </row>
    <row r="684" ht="15.75" customHeight="1">
      <c r="A684" s="84"/>
      <c r="B684" s="84"/>
      <c r="C684" s="84"/>
      <c r="D684" s="84"/>
      <c r="E684" s="84"/>
      <c r="F684" s="84"/>
    </row>
    <row r="685" ht="15.75" customHeight="1">
      <c r="A685" s="84"/>
      <c r="B685" s="84"/>
      <c r="C685" s="84"/>
      <c r="D685" s="84"/>
      <c r="E685" s="84"/>
      <c r="F685" s="84"/>
    </row>
    <row r="686" ht="15.75" customHeight="1">
      <c r="A686" s="84"/>
      <c r="B686" s="84"/>
      <c r="C686" s="84"/>
      <c r="D686" s="84"/>
      <c r="E686" s="84"/>
      <c r="F686" s="84"/>
    </row>
    <row r="687" ht="15.75" customHeight="1">
      <c r="A687" s="84"/>
      <c r="B687" s="84"/>
      <c r="C687" s="84"/>
      <c r="D687" s="84"/>
      <c r="E687" s="84"/>
      <c r="F687" s="84"/>
    </row>
    <row r="688" ht="15.75" customHeight="1">
      <c r="A688" s="84"/>
      <c r="B688" s="84"/>
      <c r="C688" s="84"/>
      <c r="D688" s="84"/>
      <c r="E688" s="84"/>
      <c r="F688" s="84"/>
    </row>
    <row r="689" ht="15.75" customHeight="1">
      <c r="A689" s="84"/>
      <c r="B689" s="84"/>
      <c r="C689" s="84"/>
      <c r="D689" s="84"/>
      <c r="E689" s="84"/>
      <c r="F689" s="84"/>
    </row>
    <row r="690" ht="15.75" customHeight="1">
      <c r="A690" s="84"/>
      <c r="B690" s="84"/>
      <c r="C690" s="84"/>
      <c r="D690" s="84"/>
      <c r="E690" s="84"/>
      <c r="F690" s="84"/>
    </row>
    <row r="691" ht="15.75" customHeight="1">
      <c r="A691" s="84"/>
      <c r="B691" s="84"/>
      <c r="C691" s="84"/>
      <c r="D691" s="84"/>
      <c r="E691" s="84"/>
      <c r="F691" s="84"/>
    </row>
    <row r="692" ht="15.75" customHeight="1">
      <c r="A692" s="84"/>
      <c r="B692" s="84"/>
      <c r="C692" s="84"/>
      <c r="D692" s="84"/>
      <c r="E692" s="84"/>
      <c r="F692" s="84"/>
    </row>
    <row r="693" ht="15.75" customHeight="1">
      <c r="A693" s="84"/>
      <c r="B693" s="84"/>
      <c r="C693" s="84"/>
      <c r="D693" s="84"/>
      <c r="E693" s="84"/>
      <c r="F693" s="84"/>
    </row>
    <row r="694" ht="15.75" customHeight="1">
      <c r="A694" s="84"/>
      <c r="B694" s="84"/>
      <c r="C694" s="84"/>
      <c r="D694" s="84"/>
      <c r="E694" s="84"/>
      <c r="F694" s="84"/>
    </row>
    <row r="695" ht="15.75" customHeight="1">
      <c r="A695" s="84"/>
      <c r="B695" s="84"/>
      <c r="C695" s="84"/>
      <c r="D695" s="84"/>
      <c r="E695" s="84"/>
      <c r="F695" s="84"/>
    </row>
    <row r="696" ht="15.75" customHeight="1">
      <c r="A696" s="84"/>
      <c r="B696" s="84"/>
      <c r="C696" s="84"/>
      <c r="D696" s="84"/>
      <c r="E696" s="84"/>
      <c r="F696" s="84"/>
    </row>
    <row r="697" ht="15.75" customHeight="1">
      <c r="A697" s="84"/>
      <c r="B697" s="84"/>
      <c r="C697" s="84"/>
      <c r="D697" s="84"/>
      <c r="E697" s="84"/>
      <c r="F697" s="84"/>
    </row>
    <row r="698" ht="15.75" customHeight="1">
      <c r="A698" s="84"/>
      <c r="B698" s="84"/>
      <c r="C698" s="84"/>
      <c r="D698" s="84"/>
      <c r="E698" s="84"/>
      <c r="F698" s="84"/>
    </row>
    <row r="699" ht="15.75" customHeight="1">
      <c r="A699" s="84"/>
      <c r="B699" s="84"/>
      <c r="C699" s="84"/>
      <c r="D699" s="84"/>
      <c r="E699" s="84"/>
      <c r="F699" s="84"/>
    </row>
    <row r="700" ht="15.75" customHeight="1">
      <c r="A700" s="84"/>
      <c r="B700" s="84"/>
      <c r="C700" s="84"/>
      <c r="D700" s="84"/>
      <c r="E700" s="84"/>
      <c r="F700" s="84"/>
    </row>
    <row r="701" ht="15.75" customHeight="1">
      <c r="A701" s="84"/>
      <c r="B701" s="84"/>
      <c r="C701" s="84"/>
      <c r="D701" s="84"/>
      <c r="E701" s="84"/>
      <c r="F701" s="84"/>
    </row>
    <row r="702" ht="15.75" customHeight="1">
      <c r="A702" s="84"/>
      <c r="B702" s="84"/>
      <c r="C702" s="84"/>
      <c r="D702" s="84"/>
      <c r="E702" s="84"/>
      <c r="F702" s="84"/>
    </row>
    <row r="703" ht="15.75" customHeight="1">
      <c r="A703" s="84"/>
      <c r="B703" s="84"/>
      <c r="C703" s="84"/>
      <c r="D703" s="84"/>
      <c r="E703" s="84"/>
      <c r="F703" s="84"/>
    </row>
    <row r="704" ht="15.75" customHeight="1">
      <c r="A704" s="84"/>
      <c r="B704" s="84"/>
      <c r="C704" s="84"/>
      <c r="D704" s="84"/>
      <c r="E704" s="84"/>
      <c r="F704" s="84"/>
    </row>
    <row r="705" ht="15.75" customHeight="1">
      <c r="A705" s="84"/>
      <c r="B705" s="84"/>
      <c r="C705" s="84"/>
      <c r="D705" s="84"/>
      <c r="E705" s="84"/>
      <c r="F705" s="84"/>
    </row>
    <row r="706" ht="15.75" customHeight="1">
      <c r="A706" s="84"/>
      <c r="B706" s="84"/>
      <c r="C706" s="84"/>
      <c r="D706" s="84"/>
      <c r="E706" s="84"/>
      <c r="F706" s="84"/>
    </row>
    <row r="707" ht="15.75" customHeight="1">
      <c r="A707" s="84"/>
      <c r="B707" s="84"/>
      <c r="C707" s="84"/>
      <c r="D707" s="84"/>
      <c r="E707" s="84"/>
      <c r="F707" s="84"/>
    </row>
    <row r="708" ht="15.75" customHeight="1">
      <c r="A708" s="84"/>
      <c r="B708" s="84"/>
      <c r="C708" s="84"/>
      <c r="D708" s="84"/>
      <c r="E708" s="84"/>
      <c r="F708" s="84"/>
    </row>
    <row r="709" ht="15.75" customHeight="1">
      <c r="A709" s="84"/>
      <c r="B709" s="84"/>
      <c r="C709" s="84"/>
      <c r="D709" s="84"/>
      <c r="E709" s="84"/>
      <c r="F709" s="84"/>
    </row>
    <row r="710" ht="15.75" customHeight="1">
      <c r="A710" s="84"/>
      <c r="B710" s="84"/>
      <c r="C710" s="84"/>
      <c r="D710" s="84"/>
      <c r="E710" s="84"/>
      <c r="F710" s="84"/>
    </row>
    <row r="711" ht="15.75" customHeight="1">
      <c r="A711" s="84"/>
      <c r="B711" s="84"/>
      <c r="C711" s="84"/>
      <c r="D711" s="84"/>
      <c r="E711" s="84"/>
      <c r="F711" s="84"/>
    </row>
    <row r="712" ht="15.75" customHeight="1">
      <c r="A712" s="84"/>
      <c r="B712" s="84"/>
      <c r="C712" s="84"/>
      <c r="D712" s="84"/>
      <c r="E712" s="84"/>
      <c r="F712" s="84"/>
    </row>
    <row r="713" ht="15.75" customHeight="1">
      <c r="A713" s="84"/>
      <c r="B713" s="84"/>
      <c r="C713" s="84"/>
      <c r="D713" s="84"/>
      <c r="E713" s="84"/>
      <c r="F713" s="84"/>
    </row>
    <row r="714" ht="15.75" customHeight="1">
      <c r="A714" s="84"/>
      <c r="B714" s="84"/>
      <c r="C714" s="84"/>
      <c r="D714" s="84"/>
      <c r="E714" s="84"/>
      <c r="F714" s="84"/>
    </row>
    <row r="715" ht="15.75" customHeight="1">
      <c r="A715" s="84"/>
      <c r="B715" s="84"/>
      <c r="C715" s="84"/>
      <c r="D715" s="84"/>
      <c r="E715" s="84"/>
      <c r="F715" s="84"/>
    </row>
    <row r="716" ht="15.75" customHeight="1">
      <c r="A716" s="84"/>
      <c r="B716" s="84"/>
      <c r="C716" s="84"/>
      <c r="D716" s="84"/>
      <c r="E716" s="84"/>
      <c r="F716" s="84"/>
    </row>
    <row r="717" ht="15.75" customHeight="1">
      <c r="A717" s="84"/>
      <c r="B717" s="84"/>
      <c r="C717" s="84"/>
      <c r="D717" s="84"/>
      <c r="E717" s="84"/>
      <c r="F717" s="84"/>
    </row>
    <row r="718" ht="15.75" customHeight="1">
      <c r="A718" s="84"/>
      <c r="B718" s="84"/>
      <c r="C718" s="84"/>
      <c r="D718" s="84"/>
      <c r="E718" s="84"/>
      <c r="F718" s="84"/>
    </row>
    <row r="719" ht="15.75" customHeight="1">
      <c r="A719" s="84"/>
      <c r="B719" s="84"/>
      <c r="C719" s="84"/>
      <c r="D719" s="84"/>
      <c r="E719" s="84"/>
      <c r="F719" s="84"/>
    </row>
    <row r="720" ht="15.75" customHeight="1">
      <c r="A720" s="84"/>
      <c r="B720" s="84"/>
      <c r="C720" s="84"/>
      <c r="D720" s="84"/>
      <c r="E720" s="84"/>
      <c r="F720" s="84"/>
    </row>
    <row r="721" ht="15.75" customHeight="1">
      <c r="A721" s="84"/>
      <c r="B721" s="84"/>
      <c r="C721" s="84"/>
      <c r="D721" s="84"/>
      <c r="E721" s="84"/>
      <c r="F721" s="84"/>
    </row>
    <row r="722" ht="15.75" customHeight="1">
      <c r="A722" s="84"/>
      <c r="B722" s="84"/>
      <c r="C722" s="84"/>
      <c r="D722" s="84"/>
      <c r="E722" s="84"/>
      <c r="F722" s="84"/>
    </row>
    <row r="723" ht="15.75" customHeight="1">
      <c r="A723" s="84"/>
      <c r="B723" s="84"/>
      <c r="C723" s="84"/>
      <c r="D723" s="84"/>
      <c r="E723" s="84"/>
      <c r="F723" s="84"/>
    </row>
    <row r="724" ht="15.75" customHeight="1">
      <c r="A724" s="84"/>
      <c r="B724" s="84"/>
      <c r="C724" s="84"/>
      <c r="D724" s="84"/>
      <c r="E724" s="84"/>
      <c r="F724" s="84"/>
    </row>
    <row r="725" ht="15.75" customHeight="1">
      <c r="A725" s="84"/>
      <c r="B725" s="84"/>
      <c r="C725" s="84"/>
      <c r="D725" s="84"/>
      <c r="E725" s="84"/>
      <c r="F725" s="84"/>
    </row>
    <row r="726" ht="15.75" customHeight="1">
      <c r="A726" s="84"/>
      <c r="B726" s="84"/>
      <c r="C726" s="84"/>
      <c r="D726" s="84"/>
      <c r="E726" s="84"/>
      <c r="F726" s="84"/>
    </row>
    <row r="727" ht="15.75" customHeight="1">
      <c r="A727" s="84"/>
      <c r="B727" s="84"/>
      <c r="C727" s="84"/>
      <c r="D727" s="84"/>
      <c r="E727" s="84"/>
      <c r="F727" s="84"/>
    </row>
    <row r="728" ht="15.75" customHeight="1">
      <c r="A728" s="84"/>
      <c r="B728" s="84"/>
      <c r="C728" s="84"/>
      <c r="D728" s="84"/>
      <c r="E728" s="84"/>
      <c r="F728" s="84"/>
    </row>
    <row r="729" ht="15.75" customHeight="1">
      <c r="A729" s="84"/>
      <c r="B729" s="84"/>
      <c r="C729" s="84"/>
      <c r="D729" s="84"/>
      <c r="E729" s="84"/>
      <c r="F729" s="84"/>
    </row>
    <row r="730" ht="15.75" customHeight="1">
      <c r="A730" s="84"/>
      <c r="B730" s="84"/>
      <c r="C730" s="84"/>
      <c r="D730" s="84"/>
      <c r="E730" s="84"/>
      <c r="F730" s="84"/>
    </row>
    <row r="731" ht="15.75" customHeight="1">
      <c r="A731" s="84"/>
      <c r="B731" s="84"/>
      <c r="C731" s="84"/>
      <c r="D731" s="84"/>
      <c r="E731" s="84"/>
      <c r="F731" s="84"/>
    </row>
    <row r="732" ht="15.75" customHeight="1">
      <c r="A732" s="84"/>
      <c r="B732" s="84"/>
      <c r="C732" s="84"/>
      <c r="D732" s="84"/>
      <c r="E732" s="84"/>
      <c r="F732" s="84"/>
    </row>
    <row r="733" ht="15.75" customHeight="1">
      <c r="A733" s="84"/>
      <c r="B733" s="84"/>
      <c r="C733" s="84"/>
      <c r="D733" s="84"/>
      <c r="E733" s="84"/>
      <c r="F733" s="84"/>
    </row>
    <row r="734" ht="15.75" customHeight="1">
      <c r="A734" s="84"/>
      <c r="B734" s="84"/>
      <c r="C734" s="84"/>
      <c r="D734" s="84"/>
      <c r="E734" s="84"/>
      <c r="F734" s="84"/>
    </row>
    <row r="735" ht="15.75" customHeight="1">
      <c r="A735" s="84"/>
      <c r="B735" s="84"/>
      <c r="C735" s="84"/>
      <c r="D735" s="84"/>
      <c r="E735" s="84"/>
      <c r="F735" s="84"/>
    </row>
    <row r="736" ht="15.75" customHeight="1">
      <c r="A736" s="84"/>
      <c r="B736" s="84"/>
      <c r="C736" s="84"/>
      <c r="D736" s="84"/>
      <c r="E736" s="84"/>
      <c r="F736" s="84"/>
    </row>
    <row r="737" ht="15.75" customHeight="1">
      <c r="A737" s="84"/>
      <c r="B737" s="84"/>
      <c r="C737" s="84"/>
      <c r="D737" s="84"/>
      <c r="E737" s="84"/>
      <c r="F737" s="84"/>
    </row>
    <row r="738" ht="15.75" customHeight="1">
      <c r="A738" s="84"/>
      <c r="B738" s="84"/>
      <c r="C738" s="84"/>
      <c r="D738" s="84"/>
      <c r="E738" s="84"/>
      <c r="F738" s="84"/>
    </row>
    <row r="739" ht="15.75" customHeight="1">
      <c r="A739" s="84"/>
      <c r="B739" s="84"/>
      <c r="C739" s="84"/>
      <c r="D739" s="84"/>
      <c r="E739" s="84"/>
      <c r="F739" s="84"/>
    </row>
    <row r="740" ht="15.75" customHeight="1">
      <c r="A740" s="84"/>
      <c r="B740" s="84"/>
      <c r="C740" s="84"/>
      <c r="D740" s="84"/>
      <c r="E740" s="84"/>
      <c r="F740" s="84"/>
    </row>
    <row r="741" ht="15.75" customHeight="1">
      <c r="A741" s="84"/>
      <c r="B741" s="84"/>
      <c r="C741" s="84"/>
      <c r="D741" s="84"/>
      <c r="E741" s="84"/>
      <c r="F741" s="84"/>
    </row>
    <row r="742" ht="15.75" customHeight="1">
      <c r="A742" s="84"/>
      <c r="B742" s="84"/>
      <c r="C742" s="84"/>
      <c r="D742" s="84"/>
      <c r="E742" s="84"/>
      <c r="F742" s="84"/>
    </row>
    <row r="743" ht="15.75" customHeight="1">
      <c r="A743" s="84"/>
      <c r="B743" s="84"/>
      <c r="C743" s="84"/>
      <c r="D743" s="84"/>
      <c r="E743" s="84"/>
      <c r="F743" s="84"/>
    </row>
    <row r="744" ht="15.75" customHeight="1">
      <c r="A744" s="84"/>
      <c r="B744" s="84"/>
      <c r="C744" s="84"/>
      <c r="D744" s="84"/>
      <c r="E744" s="84"/>
      <c r="F744" s="84"/>
    </row>
    <row r="745" ht="15.75" customHeight="1">
      <c r="A745" s="84"/>
      <c r="B745" s="84"/>
      <c r="C745" s="84"/>
      <c r="D745" s="84"/>
      <c r="E745" s="84"/>
      <c r="F745" s="84"/>
    </row>
    <row r="746" ht="15.75" customHeight="1">
      <c r="A746" s="84"/>
      <c r="B746" s="84"/>
      <c r="C746" s="84"/>
      <c r="D746" s="84"/>
      <c r="E746" s="84"/>
      <c r="F746" s="84"/>
    </row>
    <row r="747" ht="15.75" customHeight="1">
      <c r="A747" s="84"/>
      <c r="B747" s="84"/>
      <c r="C747" s="84"/>
      <c r="D747" s="84"/>
      <c r="E747" s="84"/>
      <c r="F747" s="84"/>
    </row>
    <row r="748" ht="15.75" customHeight="1">
      <c r="A748" s="84"/>
      <c r="B748" s="84"/>
      <c r="C748" s="84"/>
      <c r="D748" s="84"/>
      <c r="E748" s="84"/>
      <c r="F748" s="84"/>
    </row>
    <row r="749" ht="15.75" customHeight="1">
      <c r="A749" s="84"/>
      <c r="B749" s="84"/>
      <c r="C749" s="84"/>
      <c r="D749" s="84"/>
      <c r="E749" s="84"/>
      <c r="F749" s="84"/>
    </row>
    <row r="750" ht="15.75" customHeight="1">
      <c r="A750" s="84"/>
      <c r="B750" s="84"/>
      <c r="C750" s="84"/>
      <c r="D750" s="84"/>
      <c r="E750" s="84"/>
      <c r="F750" s="84"/>
    </row>
    <row r="751" ht="15.75" customHeight="1">
      <c r="A751" s="84"/>
      <c r="B751" s="84"/>
      <c r="C751" s="84"/>
      <c r="D751" s="84"/>
      <c r="E751" s="84"/>
      <c r="F751" s="84"/>
    </row>
    <row r="752" ht="15.75" customHeight="1">
      <c r="A752" s="84"/>
      <c r="B752" s="84"/>
      <c r="C752" s="84"/>
      <c r="D752" s="84"/>
      <c r="E752" s="84"/>
      <c r="F752" s="84"/>
    </row>
    <row r="753" ht="15.75" customHeight="1">
      <c r="A753" s="84"/>
      <c r="B753" s="84"/>
      <c r="C753" s="84"/>
      <c r="D753" s="84"/>
      <c r="E753" s="84"/>
      <c r="F753" s="84"/>
    </row>
    <row r="754" ht="15.75" customHeight="1">
      <c r="A754" s="84"/>
      <c r="B754" s="84"/>
      <c r="C754" s="84"/>
      <c r="D754" s="84"/>
      <c r="E754" s="84"/>
      <c r="F754" s="84"/>
    </row>
    <row r="755" ht="15.75" customHeight="1">
      <c r="A755" s="84"/>
      <c r="B755" s="84"/>
      <c r="C755" s="84"/>
      <c r="D755" s="84"/>
      <c r="E755" s="84"/>
      <c r="F755" s="84"/>
    </row>
    <row r="756" ht="15.75" customHeight="1">
      <c r="A756" s="84"/>
      <c r="B756" s="84"/>
      <c r="C756" s="84"/>
      <c r="D756" s="84"/>
      <c r="E756" s="84"/>
      <c r="F756" s="84"/>
    </row>
    <row r="757" ht="15.75" customHeight="1">
      <c r="A757" s="84"/>
      <c r="B757" s="84"/>
      <c r="C757" s="84"/>
      <c r="D757" s="84"/>
      <c r="E757" s="84"/>
      <c r="F757" s="84"/>
    </row>
    <row r="758" ht="15.75" customHeight="1">
      <c r="A758" s="84"/>
      <c r="B758" s="84"/>
      <c r="C758" s="84"/>
      <c r="D758" s="84"/>
      <c r="E758" s="84"/>
      <c r="F758" s="84"/>
    </row>
    <row r="759" ht="15.75" customHeight="1">
      <c r="A759" s="84"/>
      <c r="B759" s="84"/>
      <c r="C759" s="84"/>
      <c r="D759" s="84"/>
      <c r="E759" s="84"/>
      <c r="F759" s="84"/>
    </row>
    <row r="760" ht="15.75" customHeight="1">
      <c r="A760" s="84"/>
      <c r="B760" s="84"/>
      <c r="C760" s="84"/>
      <c r="D760" s="84"/>
      <c r="E760" s="84"/>
      <c r="F760" s="84"/>
    </row>
    <row r="761" ht="15.75" customHeight="1">
      <c r="A761" s="84"/>
      <c r="B761" s="84"/>
      <c r="C761" s="84"/>
      <c r="D761" s="84"/>
      <c r="E761" s="84"/>
      <c r="F761" s="84"/>
    </row>
    <row r="762" ht="15.75" customHeight="1">
      <c r="A762" s="84"/>
      <c r="B762" s="84"/>
      <c r="C762" s="84"/>
      <c r="D762" s="84"/>
      <c r="E762" s="84"/>
      <c r="F762" s="84"/>
    </row>
    <row r="763" ht="15.75" customHeight="1">
      <c r="A763" s="84"/>
      <c r="B763" s="84"/>
      <c r="C763" s="84"/>
      <c r="D763" s="84"/>
      <c r="E763" s="84"/>
      <c r="F763" s="84"/>
    </row>
    <row r="764" ht="15.75" customHeight="1">
      <c r="A764" s="84"/>
      <c r="B764" s="84"/>
      <c r="C764" s="84"/>
      <c r="D764" s="84"/>
      <c r="E764" s="84"/>
      <c r="F764" s="84"/>
    </row>
    <row r="765" ht="15.75" customHeight="1">
      <c r="A765" s="84"/>
      <c r="B765" s="84"/>
      <c r="C765" s="84"/>
      <c r="D765" s="84"/>
      <c r="E765" s="84"/>
      <c r="F765" s="84"/>
    </row>
    <row r="766" ht="15.75" customHeight="1">
      <c r="A766" s="84"/>
      <c r="B766" s="84"/>
      <c r="C766" s="84"/>
      <c r="D766" s="84"/>
      <c r="E766" s="84"/>
      <c r="F766" s="84"/>
    </row>
    <row r="767" ht="15.75" customHeight="1">
      <c r="A767" s="84"/>
      <c r="B767" s="84"/>
      <c r="C767" s="84"/>
      <c r="D767" s="84"/>
      <c r="E767" s="84"/>
      <c r="F767" s="84"/>
    </row>
    <row r="768" ht="15.75" customHeight="1">
      <c r="A768" s="84"/>
      <c r="B768" s="84"/>
      <c r="C768" s="84"/>
      <c r="D768" s="84"/>
      <c r="E768" s="84"/>
      <c r="F768" s="84"/>
    </row>
    <row r="769" ht="15.75" customHeight="1">
      <c r="A769" s="84"/>
      <c r="B769" s="84"/>
      <c r="C769" s="84"/>
      <c r="D769" s="84"/>
      <c r="E769" s="84"/>
      <c r="F769" s="84"/>
    </row>
    <row r="770" ht="15.75" customHeight="1">
      <c r="A770" s="84"/>
      <c r="B770" s="84"/>
      <c r="C770" s="84"/>
      <c r="D770" s="84"/>
      <c r="E770" s="84"/>
      <c r="F770" s="84"/>
    </row>
    <row r="771" ht="15.75" customHeight="1">
      <c r="A771" s="84"/>
      <c r="B771" s="84"/>
      <c r="C771" s="84"/>
      <c r="D771" s="84"/>
      <c r="E771" s="84"/>
      <c r="F771" s="84"/>
    </row>
    <row r="772" ht="15.75" customHeight="1">
      <c r="A772" s="84"/>
      <c r="B772" s="84"/>
      <c r="C772" s="84"/>
      <c r="D772" s="84"/>
      <c r="E772" s="84"/>
      <c r="F772" s="84"/>
    </row>
    <row r="773" ht="15.75" customHeight="1">
      <c r="A773" s="84"/>
      <c r="B773" s="84"/>
      <c r="C773" s="84"/>
      <c r="D773" s="84"/>
      <c r="E773" s="84"/>
      <c r="F773" s="84"/>
    </row>
    <row r="774" ht="15.75" customHeight="1">
      <c r="A774" s="84"/>
      <c r="B774" s="84"/>
      <c r="C774" s="84"/>
      <c r="D774" s="84"/>
      <c r="E774" s="84"/>
      <c r="F774" s="84"/>
    </row>
    <row r="775" ht="15.75" customHeight="1">
      <c r="A775" s="84"/>
      <c r="B775" s="84"/>
      <c r="C775" s="84"/>
      <c r="D775" s="84"/>
      <c r="E775" s="84"/>
      <c r="F775" s="84"/>
    </row>
    <row r="776" ht="15.75" customHeight="1">
      <c r="A776" s="84"/>
      <c r="B776" s="84"/>
      <c r="C776" s="84"/>
      <c r="D776" s="84"/>
      <c r="E776" s="84"/>
      <c r="F776" s="84"/>
    </row>
    <row r="777" ht="15.75" customHeight="1">
      <c r="A777" s="84"/>
      <c r="B777" s="84"/>
      <c r="C777" s="84"/>
      <c r="D777" s="84"/>
      <c r="E777" s="84"/>
      <c r="F777" s="84"/>
    </row>
    <row r="778" ht="15.75" customHeight="1">
      <c r="A778" s="84"/>
      <c r="B778" s="84"/>
      <c r="C778" s="84"/>
      <c r="D778" s="84"/>
      <c r="E778" s="84"/>
      <c r="F778" s="84"/>
    </row>
    <row r="779" ht="15.75" customHeight="1">
      <c r="A779" s="84"/>
      <c r="B779" s="84"/>
      <c r="C779" s="84"/>
      <c r="D779" s="84"/>
      <c r="E779" s="84"/>
      <c r="F779" s="84"/>
    </row>
    <row r="780" ht="15.75" customHeight="1">
      <c r="A780" s="84"/>
      <c r="B780" s="84"/>
      <c r="C780" s="84"/>
      <c r="D780" s="84"/>
      <c r="E780" s="84"/>
      <c r="F780" s="84"/>
    </row>
    <row r="781" ht="15.75" customHeight="1">
      <c r="A781" s="84"/>
      <c r="B781" s="84"/>
      <c r="C781" s="84"/>
      <c r="D781" s="84"/>
      <c r="E781" s="84"/>
      <c r="F781" s="84"/>
    </row>
    <row r="782" ht="15.75" customHeight="1">
      <c r="A782" s="84"/>
      <c r="B782" s="84"/>
      <c r="C782" s="84"/>
      <c r="D782" s="84"/>
      <c r="E782" s="84"/>
      <c r="F782" s="84"/>
    </row>
    <row r="783" ht="15.75" customHeight="1">
      <c r="A783" s="84"/>
      <c r="B783" s="84"/>
      <c r="C783" s="84"/>
      <c r="D783" s="84"/>
      <c r="E783" s="84"/>
      <c r="F783" s="84"/>
    </row>
    <row r="784" ht="15.75" customHeight="1">
      <c r="A784" s="84"/>
      <c r="B784" s="84"/>
      <c r="C784" s="84"/>
      <c r="D784" s="84"/>
      <c r="E784" s="84"/>
      <c r="F784" s="84"/>
    </row>
    <row r="785" ht="15.75" customHeight="1">
      <c r="A785" s="84"/>
      <c r="B785" s="84"/>
      <c r="C785" s="84"/>
      <c r="D785" s="84"/>
      <c r="E785" s="84"/>
      <c r="F785" s="84"/>
    </row>
    <row r="786" ht="15.75" customHeight="1">
      <c r="A786" s="84"/>
      <c r="B786" s="84"/>
      <c r="C786" s="84"/>
      <c r="D786" s="84"/>
      <c r="E786" s="84"/>
      <c r="F786" s="84"/>
    </row>
    <row r="787" ht="15.75" customHeight="1">
      <c r="A787" s="84"/>
      <c r="B787" s="84"/>
      <c r="C787" s="84"/>
      <c r="D787" s="84"/>
      <c r="E787" s="84"/>
      <c r="F787" s="84"/>
    </row>
    <row r="788" ht="15.75" customHeight="1">
      <c r="A788" s="84"/>
      <c r="B788" s="84"/>
      <c r="C788" s="84"/>
      <c r="D788" s="84"/>
      <c r="E788" s="84"/>
      <c r="F788" s="84"/>
    </row>
    <row r="789" ht="15.75" customHeight="1">
      <c r="A789" s="84"/>
      <c r="B789" s="84"/>
      <c r="C789" s="84"/>
      <c r="D789" s="84"/>
      <c r="E789" s="84"/>
      <c r="F789" s="84"/>
    </row>
    <row r="790" ht="15.75" customHeight="1">
      <c r="A790" s="84"/>
      <c r="B790" s="84"/>
      <c r="C790" s="84"/>
      <c r="D790" s="84"/>
      <c r="E790" s="84"/>
      <c r="F790" s="84"/>
    </row>
    <row r="791" ht="15.75" customHeight="1">
      <c r="A791" s="84"/>
      <c r="B791" s="84"/>
      <c r="C791" s="84"/>
      <c r="D791" s="84"/>
      <c r="E791" s="84"/>
      <c r="F791" s="84"/>
    </row>
    <row r="792" ht="15.75" customHeight="1">
      <c r="A792" s="84"/>
      <c r="B792" s="84"/>
      <c r="C792" s="84"/>
      <c r="D792" s="84"/>
      <c r="E792" s="84"/>
      <c r="F792" s="84"/>
    </row>
    <row r="793" ht="15.75" customHeight="1">
      <c r="A793" s="84"/>
      <c r="B793" s="84"/>
      <c r="C793" s="84"/>
      <c r="D793" s="84"/>
      <c r="E793" s="84"/>
      <c r="F793" s="84"/>
    </row>
    <row r="794" ht="15.75" customHeight="1">
      <c r="A794" s="84"/>
      <c r="B794" s="84"/>
      <c r="C794" s="84"/>
      <c r="D794" s="84"/>
      <c r="E794" s="84"/>
      <c r="F794" s="84"/>
    </row>
    <row r="795" ht="15.75" customHeight="1">
      <c r="A795" s="84"/>
      <c r="B795" s="84"/>
      <c r="C795" s="84"/>
      <c r="D795" s="84"/>
      <c r="E795" s="84"/>
      <c r="F795" s="84"/>
    </row>
    <row r="796" ht="15.75" customHeight="1">
      <c r="A796" s="84"/>
      <c r="B796" s="84"/>
      <c r="C796" s="84"/>
      <c r="D796" s="84"/>
      <c r="E796" s="84"/>
      <c r="F796" s="84"/>
    </row>
    <row r="797" ht="15.75" customHeight="1">
      <c r="A797" s="84"/>
      <c r="B797" s="84"/>
      <c r="C797" s="84"/>
      <c r="D797" s="84"/>
      <c r="E797" s="84"/>
      <c r="F797" s="84"/>
    </row>
    <row r="798" ht="15.75" customHeight="1">
      <c r="A798" s="84"/>
      <c r="B798" s="84"/>
      <c r="C798" s="84"/>
      <c r="D798" s="84"/>
      <c r="E798" s="84"/>
      <c r="F798" s="84"/>
    </row>
    <row r="799" ht="15.75" customHeight="1">
      <c r="A799" s="84"/>
      <c r="B799" s="84"/>
      <c r="C799" s="84"/>
      <c r="D799" s="84"/>
      <c r="E799" s="84"/>
      <c r="F799" s="84"/>
    </row>
    <row r="800" ht="15.75" customHeight="1">
      <c r="A800" s="84"/>
      <c r="B800" s="84"/>
      <c r="C800" s="84"/>
      <c r="D800" s="84"/>
      <c r="E800" s="84"/>
      <c r="F800" s="84"/>
    </row>
    <row r="801" ht="15.75" customHeight="1">
      <c r="A801" s="84"/>
      <c r="B801" s="84"/>
      <c r="C801" s="84"/>
      <c r="D801" s="84"/>
      <c r="E801" s="84"/>
      <c r="F801" s="84"/>
    </row>
    <row r="802" ht="15.75" customHeight="1">
      <c r="A802" s="84"/>
      <c r="B802" s="84"/>
      <c r="C802" s="84"/>
      <c r="D802" s="84"/>
      <c r="E802" s="84"/>
      <c r="F802" s="84"/>
    </row>
    <row r="803" ht="15.75" customHeight="1">
      <c r="A803" s="84"/>
      <c r="B803" s="84"/>
      <c r="C803" s="84"/>
      <c r="D803" s="84"/>
      <c r="E803" s="84"/>
      <c r="F803" s="84"/>
    </row>
    <row r="804" ht="15.75" customHeight="1">
      <c r="A804" s="84"/>
      <c r="B804" s="84"/>
      <c r="C804" s="84"/>
      <c r="D804" s="84"/>
      <c r="E804" s="84"/>
      <c r="F804" s="84"/>
    </row>
    <row r="805" ht="15.75" customHeight="1">
      <c r="A805" s="84"/>
      <c r="B805" s="84"/>
      <c r="C805" s="84"/>
      <c r="D805" s="84"/>
      <c r="E805" s="84"/>
      <c r="F805" s="84"/>
    </row>
    <row r="806" ht="15.75" customHeight="1">
      <c r="A806" s="84"/>
      <c r="B806" s="84"/>
      <c r="C806" s="84"/>
      <c r="D806" s="84"/>
      <c r="E806" s="84"/>
      <c r="F806" s="84"/>
    </row>
    <row r="807" ht="15.75" customHeight="1">
      <c r="A807" s="84"/>
      <c r="B807" s="84"/>
      <c r="C807" s="84"/>
      <c r="D807" s="84"/>
      <c r="E807" s="84"/>
      <c r="F807" s="84"/>
    </row>
    <row r="808" ht="15.75" customHeight="1">
      <c r="A808" s="84"/>
      <c r="B808" s="84"/>
      <c r="C808" s="84"/>
      <c r="D808" s="84"/>
      <c r="E808" s="84"/>
      <c r="F808" s="84"/>
    </row>
    <row r="809" ht="15.75" customHeight="1">
      <c r="A809" s="84"/>
      <c r="B809" s="84"/>
      <c r="C809" s="84"/>
      <c r="D809" s="84"/>
      <c r="E809" s="84"/>
      <c r="F809" s="84"/>
    </row>
    <row r="810" ht="15.75" customHeight="1">
      <c r="A810" s="84"/>
      <c r="B810" s="84"/>
      <c r="C810" s="84"/>
      <c r="D810" s="84"/>
      <c r="E810" s="84"/>
      <c r="F810" s="84"/>
    </row>
    <row r="811" ht="15.75" customHeight="1">
      <c r="A811" s="84"/>
      <c r="B811" s="84"/>
      <c r="C811" s="84"/>
      <c r="D811" s="84"/>
      <c r="E811" s="84"/>
      <c r="F811" s="84"/>
    </row>
    <row r="812" ht="15.75" customHeight="1">
      <c r="A812" s="84"/>
      <c r="B812" s="84"/>
      <c r="C812" s="84"/>
      <c r="D812" s="84"/>
      <c r="E812" s="84"/>
      <c r="F812" s="84"/>
    </row>
    <row r="813" ht="15.75" customHeight="1">
      <c r="A813" s="84"/>
      <c r="B813" s="84"/>
      <c r="C813" s="84"/>
      <c r="D813" s="84"/>
      <c r="E813" s="84"/>
      <c r="F813" s="84"/>
    </row>
    <row r="814" ht="15.75" customHeight="1">
      <c r="A814" s="84"/>
      <c r="B814" s="84"/>
      <c r="C814" s="84"/>
      <c r="D814" s="84"/>
      <c r="E814" s="84"/>
      <c r="F814" s="84"/>
    </row>
    <row r="815" ht="15.75" customHeight="1">
      <c r="A815" s="84"/>
      <c r="B815" s="84"/>
      <c r="C815" s="84"/>
      <c r="D815" s="84"/>
      <c r="E815" s="84"/>
      <c r="F815" s="84"/>
    </row>
    <row r="816" ht="15.75" customHeight="1">
      <c r="A816" s="84"/>
      <c r="B816" s="84"/>
      <c r="C816" s="84"/>
      <c r="D816" s="84"/>
      <c r="E816" s="84"/>
      <c r="F816" s="84"/>
    </row>
    <row r="817" ht="15.75" customHeight="1">
      <c r="A817" s="84"/>
      <c r="B817" s="84"/>
      <c r="C817" s="84"/>
      <c r="D817" s="84"/>
      <c r="E817" s="84"/>
      <c r="F817" s="84"/>
    </row>
    <row r="818" ht="15.75" customHeight="1">
      <c r="A818" s="84"/>
      <c r="B818" s="84"/>
      <c r="C818" s="84"/>
      <c r="D818" s="84"/>
      <c r="E818" s="84"/>
      <c r="F818" s="84"/>
    </row>
    <row r="819" ht="15.75" customHeight="1">
      <c r="A819" s="84"/>
      <c r="B819" s="84"/>
      <c r="C819" s="84"/>
      <c r="D819" s="84"/>
      <c r="E819" s="84"/>
      <c r="F819" s="84"/>
    </row>
    <row r="820" ht="15.75" customHeight="1">
      <c r="A820" s="84"/>
      <c r="B820" s="84"/>
      <c r="C820" s="84"/>
      <c r="D820" s="84"/>
      <c r="E820" s="84"/>
      <c r="F820" s="84"/>
    </row>
    <row r="821" ht="15.75" customHeight="1">
      <c r="A821" s="84"/>
      <c r="B821" s="84"/>
      <c r="C821" s="84"/>
      <c r="D821" s="84"/>
      <c r="E821" s="84"/>
      <c r="F821" s="84"/>
    </row>
    <row r="822" ht="15.75" customHeight="1">
      <c r="A822" s="84"/>
      <c r="B822" s="84"/>
      <c r="C822" s="84"/>
      <c r="D822" s="84"/>
      <c r="E822" s="84"/>
      <c r="F822" s="84"/>
    </row>
    <row r="823" ht="15.75" customHeight="1">
      <c r="A823" s="84"/>
      <c r="B823" s="84"/>
      <c r="C823" s="84"/>
      <c r="D823" s="84"/>
      <c r="E823" s="84"/>
      <c r="F823" s="84"/>
    </row>
    <row r="824" ht="15.75" customHeight="1">
      <c r="A824" s="84"/>
      <c r="B824" s="84"/>
      <c r="C824" s="84"/>
      <c r="D824" s="84"/>
      <c r="E824" s="84"/>
      <c r="F824" s="84"/>
    </row>
    <row r="825" ht="15.75" customHeight="1">
      <c r="A825" s="84"/>
      <c r="B825" s="84"/>
      <c r="C825" s="84"/>
      <c r="D825" s="84"/>
      <c r="E825" s="84"/>
      <c r="F825" s="84"/>
    </row>
    <row r="826" ht="15.75" customHeight="1">
      <c r="A826" s="84"/>
      <c r="B826" s="84"/>
      <c r="C826" s="84"/>
      <c r="D826" s="84"/>
      <c r="E826" s="84"/>
      <c r="F826" s="84"/>
    </row>
    <row r="827" ht="15.75" customHeight="1">
      <c r="A827" s="84"/>
      <c r="B827" s="84"/>
      <c r="C827" s="84"/>
      <c r="D827" s="84"/>
      <c r="E827" s="84"/>
      <c r="F827" s="84"/>
    </row>
    <row r="828" ht="15.75" customHeight="1">
      <c r="A828" s="84"/>
      <c r="B828" s="84"/>
      <c r="C828" s="84"/>
      <c r="D828" s="84"/>
      <c r="E828" s="84"/>
      <c r="F828" s="84"/>
    </row>
    <row r="829" ht="15.75" customHeight="1">
      <c r="A829" s="84"/>
      <c r="B829" s="84"/>
      <c r="C829" s="84"/>
      <c r="D829" s="84"/>
      <c r="E829" s="84"/>
      <c r="F829" s="84"/>
    </row>
    <row r="830" ht="15.75" customHeight="1">
      <c r="A830" s="84"/>
      <c r="B830" s="84"/>
      <c r="C830" s="84"/>
      <c r="D830" s="84"/>
      <c r="E830" s="84"/>
      <c r="F830" s="84"/>
    </row>
    <row r="831" ht="15.75" customHeight="1">
      <c r="A831" s="84"/>
      <c r="B831" s="84"/>
      <c r="C831" s="84"/>
      <c r="D831" s="84"/>
      <c r="E831" s="84"/>
      <c r="F831" s="84"/>
    </row>
    <row r="832" ht="15.75" customHeight="1">
      <c r="A832" s="84"/>
      <c r="B832" s="84"/>
      <c r="C832" s="84"/>
      <c r="D832" s="84"/>
      <c r="E832" s="84"/>
      <c r="F832" s="84"/>
    </row>
    <row r="833" ht="15.75" customHeight="1">
      <c r="A833" s="84"/>
      <c r="B833" s="84"/>
      <c r="C833" s="84"/>
      <c r="D833" s="84"/>
      <c r="E833" s="84"/>
      <c r="F833" s="84"/>
    </row>
    <row r="834" ht="15.75" customHeight="1">
      <c r="A834" s="84"/>
      <c r="B834" s="84"/>
      <c r="C834" s="84"/>
      <c r="D834" s="84"/>
      <c r="E834" s="84"/>
      <c r="F834" s="84"/>
    </row>
    <row r="835" ht="15.75" customHeight="1">
      <c r="A835" s="84"/>
      <c r="B835" s="84"/>
      <c r="C835" s="84"/>
      <c r="D835" s="84"/>
      <c r="E835" s="84"/>
      <c r="F835" s="84"/>
    </row>
    <row r="836" ht="15.75" customHeight="1">
      <c r="A836" s="84"/>
      <c r="B836" s="84"/>
      <c r="C836" s="84"/>
      <c r="D836" s="84"/>
      <c r="E836" s="84"/>
      <c r="F836" s="84"/>
    </row>
    <row r="837" ht="15.75" customHeight="1">
      <c r="A837" s="84"/>
      <c r="B837" s="84"/>
      <c r="C837" s="84"/>
      <c r="D837" s="84"/>
      <c r="E837" s="84"/>
      <c r="F837" s="84"/>
    </row>
    <row r="838" ht="15.75" customHeight="1">
      <c r="A838" s="84"/>
      <c r="B838" s="84"/>
      <c r="C838" s="84"/>
      <c r="D838" s="84"/>
      <c r="E838" s="84"/>
      <c r="F838" s="84"/>
    </row>
    <row r="839" ht="15.75" customHeight="1">
      <c r="A839" s="84"/>
      <c r="B839" s="84"/>
      <c r="C839" s="84"/>
      <c r="D839" s="84"/>
      <c r="E839" s="84"/>
      <c r="F839" s="84"/>
    </row>
    <row r="840" ht="15.75" customHeight="1">
      <c r="A840" s="84"/>
      <c r="B840" s="84"/>
      <c r="C840" s="84"/>
      <c r="D840" s="84"/>
      <c r="E840" s="84"/>
      <c r="F840" s="84"/>
    </row>
    <row r="841" ht="15.75" customHeight="1">
      <c r="A841" s="84"/>
      <c r="B841" s="84"/>
      <c r="C841" s="84"/>
      <c r="D841" s="84"/>
      <c r="E841" s="84"/>
      <c r="F841" s="84"/>
    </row>
    <row r="842" ht="15.75" customHeight="1">
      <c r="A842" s="84"/>
      <c r="B842" s="84"/>
      <c r="C842" s="84"/>
      <c r="D842" s="84"/>
      <c r="E842" s="84"/>
      <c r="F842" s="84"/>
    </row>
    <row r="843" ht="15.75" customHeight="1">
      <c r="A843" s="84"/>
      <c r="B843" s="84"/>
      <c r="C843" s="84"/>
      <c r="D843" s="84"/>
      <c r="E843" s="84"/>
      <c r="F843" s="84"/>
    </row>
    <row r="844" ht="15.75" customHeight="1">
      <c r="A844" s="84"/>
      <c r="B844" s="84"/>
      <c r="C844" s="84"/>
      <c r="D844" s="84"/>
      <c r="E844" s="84"/>
      <c r="F844" s="84"/>
    </row>
    <row r="845" ht="15.75" customHeight="1">
      <c r="A845" s="84"/>
      <c r="B845" s="84"/>
      <c r="C845" s="84"/>
      <c r="D845" s="84"/>
      <c r="E845" s="84"/>
      <c r="F845" s="84"/>
    </row>
    <row r="846" ht="15.75" customHeight="1">
      <c r="A846" s="84"/>
      <c r="B846" s="84"/>
      <c r="C846" s="84"/>
      <c r="D846" s="84"/>
      <c r="E846" s="84"/>
      <c r="F846" s="84"/>
    </row>
    <row r="847" ht="15.75" customHeight="1">
      <c r="A847" s="84"/>
      <c r="B847" s="84"/>
      <c r="C847" s="84"/>
      <c r="D847" s="84"/>
      <c r="E847" s="84"/>
      <c r="F847" s="84"/>
    </row>
    <row r="848" ht="15.75" customHeight="1">
      <c r="A848" s="84"/>
      <c r="B848" s="84"/>
      <c r="C848" s="84"/>
      <c r="D848" s="84"/>
      <c r="E848" s="84"/>
      <c r="F848" s="84"/>
    </row>
    <row r="849" ht="15.75" customHeight="1">
      <c r="A849" s="84"/>
      <c r="B849" s="84"/>
      <c r="C849" s="84"/>
      <c r="D849" s="84"/>
      <c r="E849" s="84"/>
      <c r="F849" s="84"/>
    </row>
    <row r="850" ht="15.75" customHeight="1">
      <c r="A850" s="84"/>
      <c r="B850" s="84"/>
      <c r="C850" s="84"/>
      <c r="D850" s="84"/>
      <c r="E850" s="84"/>
      <c r="F850" s="84"/>
    </row>
    <row r="851" ht="15.75" customHeight="1">
      <c r="A851" s="84"/>
      <c r="B851" s="84"/>
      <c r="C851" s="84"/>
      <c r="D851" s="84"/>
      <c r="E851" s="84"/>
      <c r="F851" s="84"/>
    </row>
    <row r="852" ht="15.75" customHeight="1">
      <c r="A852" s="84"/>
      <c r="B852" s="84"/>
      <c r="C852" s="84"/>
      <c r="D852" s="84"/>
      <c r="E852" s="84"/>
      <c r="F852" s="84"/>
    </row>
    <row r="853" ht="15.75" customHeight="1">
      <c r="A853" s="84"/>
      <c r="B853" s="84"/>
      <c r="C853" s="84"/>
      <c r="D853" s="84"/>
      <c r="E853" s="84"/>
      <c r="F853" s="84"/>
    </row>
    <row r="854" ht="15.75" customHeight="1">
      <c r="A854" s="84"/>
      <c r="B854" s="84"/>
      <c r="C854" s="84"/>
      <c r="D854" s="84"/>
      <c r="E854" s="84"/>
      <c r="F854" s="84"/>
    </row>
    <row r="855" ht="15.75" customHeight="1">
      <c r="A855" s="84"/>
      <c r="B855" s="84"/>
      <c r="C855" s="84"/>
      <c r="D855" s="84"/>
      <c r="E855" s="84"/>
      <c r="F855" s="84"/>
    </row>
    <row r="856" ht="15.75" customHeight="1">
      <c r="A856" s="84"/>
      <c r="B856" s="84"/>
      <c r="C856" s="84"/>
      <c r="D856" s="84"/>
      <c r="E856" s="84"/>
      <c r="F856" s="84"/>
    </row>
    <row r="857" ht="15.75" customHeight="1">
      <c r="A857" s="84"/>
      <c r="B857" s="84"/>
      <c r="C857" s="84"/>
      <c r="D857" s="84"/>
      <c r="E857" s="84"/>
      <c r="F857" s="84"/>
    </row>
    <row r="858" ht="15.75" customHeight="1">
      <c r="A858" s="84"/>
      <c r="B858" s="84"/>
      <c r="C858" s="84"/>
      <c r="D858" s="84"/>
      <c r="E858" s="84"/>
      <c r="F858" s="84"/>
    </row>
    <row r="859" ht="15.75" customHeight="1">
      <c r="A859" s="84"/>
      <c r="B859" s="84"/>
      <c r="C859" s="84"/>
      <c r="D859" s="84"/>
      <c r="E859" s="84"/>
      <c r="F859" s="84"/>
    </row>
    <row r="860" ht="15.75" customHeight="1">
      <c r="A860" s="84"/>
      <c r="B860" s="84"/>
      <c r="C860" s="84"/>
      <c r="D860" s="84"/>
      <c r="E860" s="84"/>
      <c r="F860" s="84"/>
    </row>
    <row r="861" ht="15.75" customHeight="1">
      <c r="A861" s="84"/>
      <c r="B861" s="84"/>
      <c r="C861" s="84"/>
      <c r="D861" s="84"/>
      <c r="E861" s="84"/>
      <c r="F861" s="84"/>
    </row>
    <row r="862" ht="15.75" customHeight="1">
      <c r="A862" s="84"/>
      <c r="B862" s="84"/>
      <c r="C862" s="84"/>
      <c r="D862" s="84"/>
      <c r="E862" s="84"/>
      <c r="F862" s="84"/>
    </row>
    <row r="863" ht="15.75" customHeight="1">
      <c r="A863" s="84"/>
      <c r="B863" s="84"/>
      <c r="C863" s="84"/>
      <c r="D863" s="84"/>
      <c r="E863" s="84"/>
      <c r="F863" s="84"/>
    </row>
    <row r="864" ht="15.75" customHeight="1">
      <c r="A864" s="84"/>
      <c r="B864" s="84"/>
      <c r="C864" s="84"/>
      <c r="D864" s="84"/>
      <c r="E864" s="84"/>
      <c r="F864" s="84"/>
    </row>
    <row r="865" ht="15.75" customHeight="1">
      <c r="A865" s="84"/>
      <c r="B865" s="84"/>
      <c r="C865" s="84"/>
      <c r="D865" s="84"/>
      <c r="E865" s="84"/>
      <c r="F865" s="84"/>
    </row>
    <row r="866" ht="15.75" customHeight="1">
      <c r="A866" s="84"/>
      <c r="B866" s="84"/>
      <c r="C866" s="84"/>
      <c r="D866" s="84"/>
      <c r="E866" s="84"/>
      <c r="F866" s="84"/>
    </row>
    <row r="867" ht="15.75" customHeight="1">
      <c r="A867" s="84"/>
      <c r="B867" s="84"/>
      <c r="C867" s="84"/>
      <c r="D867" s="84"/>
      <c r="E867" s="84"/>
      <c r="F867" s="84"/>
    </row>
    <row r="868" ht="15.75" customHeight="1">
      <c r="A868" s="84"/>
      <c r="B868" s="84"/>
      <c r="C868" s="84"/>
      <c r="D868" s="84"/>
      <c r="E868" s="84"/>
      <c r="F868" s="84"/>
    </row>
    <row r="869" ht="15.75" customHeight="1">
      <c r="A869" s="84"/>
      <c r="B869" s="84"/>
      <c r="C869" s="84"/>
      <c r="D869" s="84"/>
      <c r="E869" s="84"/>
      <c r="F869" s="84"/>
    </row>
    <row r="870" ht="15.75" customHeight="1">
      <c r="A870" s="84"/>
      <c r="B870" s="84"/>
      <c r="C870" s="84"/>
      <c r="D870" s="84"/>
      <c r="E870" s="84"/>
      <c r="F870" s="84"/>
    </row>
    <row r="871" ht="15.75" customHeight="1">
      <c r="A871" s="84"/>
      <c r="B871" s="84"/>
      <c r="C871" s="84"/>
      <c r="D871" s="84"/>
      <c r="E871" s="84"/>
      <c r="F871" s="84"/>
    </row>
    <row r="872" ht="15.75" customHeight="1">
      <c r="A872" s="84"/>
      <c r="B872" s="84"/>
      <c r="C872" s="84"/>
      <c r="D872" s="84"/>
      <c r="E872" s="84"/>
      <c r="F872" s="84"/>
    </row>
    <row r="873" ht="15.75" customHeight="1">
      <c r="A873" s="84"/>
      <c r="B873" s="84"/>
      <c r="C873" s="84"/>
      <c r="D873" s="84"/>
      <c r="E873" s="84"/>
      <c r="F873" s="84"/>
    </row>
    <row r="874" ht="15.75" customHeight="1">
      <c r="A874" s="84"/>
      <c r="B874" s="84"/>
      <c r="C874" s="84"/>
      <c r="D874" s="84"/>
      <c r="E874" s="84"/>
      <c r="F874" s="84"/>
    </row>
    <row r="875" ht="15.75" customHeight="1">
      <c r="A875" s="84"/>
      <c r="B875" s="84"/>
      <c r="C875" s="84"/>
      <c r="D875" s="84"/>
      <c r="E875" s="84"/>
      <c r="F875" s="84"/>
    </row>
    <row r="876" ht="15.75" customHeight="1">
      <c r="A876" s="84"/>
      <c r="B876" s="84"/>
      <c r="C876" s="84"/>
      <c r="D876" s="84"/>
      <c r="E876" s="84"/>
      <c r="F876" s="84"/>
    </row>
    <row r="877" ht="15.75" customHeight="1">
      <c r="A877" s="84"/>
      <c r="B877" s="84"/>
      <c r="C877" s="84"/>
      <c r="D877" s="84"/>
      <c r="E877" s="84"/>
      <c r="F877" s="84"/>
    </row>
    <row r="878" ht="15.75" customHeight="1">
      <c r="A878" s="84"/>
      <c r="B878" s="84"/>
      <c r="C878" s="84"/>
      <c r="D878" s="84"/>
      <c r="E878" s="84"/>
      <c r="F878" s="84"/>
    </row>
    <row r="879" ht="15.75" customHeight="1">
      <c r="A879" s="84"/>
      <c r="B879" s="84"/>
      <c r="C879" s="84"/>
      <c r="D879" s="84"/>
      <c r="E879" s="84"/>
      <c r="F879" s="84"/>
    </row>
    <row r="880" ht="15.75" customHeight="1">
      <c r="A880" s="84"/>
      <c r="B880" s="84"/>
      <c r="C880" s="84"/>
      <c r="D880" s="84"/>
      <c r="E880" s="84"/>
      <c r="F880" s="84"/>
    </row>
    <row r="881" ht="15.75" customHeight="1">
      <c r="A881" s="84"/>
      <c r="B881" s="84"/>
      <c r="C881" s="84"/>
      <c r="D881" s="84"/>
      <c r="E881" s="84"/>
      <c r="F881" s="84"/>
    </row>
    <row r="882" ht="15.75" customHeight="1">
      <c r="A882" s="84"/>
      <c r="B882" s="84"/>
      <c r="C882" s="84"/>
      <c r="D882" s="84"/>
      <c r="E882" s="84"/>
      <c r="F882" s="84"/>
    </row>
    <row r="883" ht="15.75" customHeight="1">
      <c r="A883" s="84"/>
      <c r="B883" s="84"/>
      <c r="C883" s="84"/>
      <c r="D883" s="84"/>
      <c r="E883" s="84"/>
      <c r="F883" s="84"/>
    </row>
    <row r="884" ht="15.75" customHeight="1">
      <c r="A884" s="84"/>
      <c r="B884" s="84"/>
      <c r="C884" s="84"/>
      <c r="D884" s="84"/>
      <c r="E884" s="84"/>
      <c r="F884" s="84"/>
    </row>
    <row r="885" ht="15.75" customHeight="1">
      <c r="A885" s="84"/>
      <c r="B885" s="84"/>
      <c r="C885" s="84"/>
      <c r="D885" s="84"/>
      <c r="E885" s="84"/>
      <c r="F885" s="84"/>
    </row>
    <row r="886" ht="15.75" customHeight="1">
      <c r="A886" s="84"/>
      <c r="B886" s="84"/>
      <c r="C886" s="84"/>
      <c r="D886" s="84"/>
      <c r="E886" s="84"/>
      <c r="F886" s="84"/>
    </row>
    <row r="887" ht="15.75" customHeight="1">
      <c r="A887" s="84"/>
      <c r="B887" s="84"/>
      <c r="C887" s="84"/>
      <c r="D887" s="84"/>
      <c r="E887" s="84"/>
      <c r="F887" s="84"/>
    </row>
    <row r="888" ht="15.75" customHeight="1">
      <c r="A888" s="84"/>
      <c r="B888" s="84"/>
      <c r="C888" s="84"/>
      <c r="D888" s="84"/>
      <c r="E888" s="84"/>
      <c r="F888" s="84"/>
    </row>
    <row r="889" ht="15.75" customHeight="1">
      <c r="A889" s="84"/>
      <c r="B889" s="84"/>
      <c r="C889" s="84"/>
      <c r="D889" s="84"/>
      <c r="E889" s="84"/>
      <c r="F889" s="84"/>
    </row>
    <row r="890" ht="15.75" customHeight="1">
      <c r="A890" s="84"/>
      <c r="B890" s="84"/>
      <c r="C890" s="84"/>
      <c r="D890" s="84"/>
      <c r="E890" s="84"/>
      <c r="F890" s="84"/>
    </row>
    <row r="891" ht="15.75" customHeight="1">
      <c r="A891" s="84"/>
      <c r="B891" s="84"/>
      <c r="C891" s="84"/>
      <c r="D891" s="84"/>
      <c r="E891" s="84"/>
      <c r="F891" s="84"/>
    </row>
    <row r="892" ht="15.75" customHeight="1">
      <c r="A892" s="84"/>
      <c r="B892" s="84"/>
      <c r="C892" s="84"/>
      <c r="D892" s="84"/>
      <c r="E892" s="84"/>
      <c r="F892" s="84"/>
    </row>
    <row r="893" ht="15.75" customHeight="1">
      <c r="A893" s="84"/>
      <c r="B893" s="84"/>
      <c r="C893" s="84"/>
      <c r="D893" s="84"/>
      <c r="E893" s="84"/>
      <c r="F893" s="84"/>
    </row>
    <row r="894" ht="15.75" customHeight="1">
      <c r="A894" s="84"/>
      <c r="B894" s="84"/>
      <c r="C894" s="84"/>
      <c r="D894" s="84"/>
      <c r="E894" s="84"/>
      <c r="F894" s="84"/>
    </row>
    <row r="895" ht="15.75" customHeight="1">
      <c r="A895" s="84"/>
      <c r="B895" s="84"/>
      <c r="C895" s="84"/>
      <c r="D895" s="84"/>
      <c r="E895" s="84"/>
      <c r="F895" s="84"/>
    </row>
    <row r="896" ht="15.75" customHeight="1">
      <c r="A896" s="84"/>
      <c r="B896" s="84"/>
      <c r="C896" s="84"/>
      <c r="D896" s="84"/>
      <c r="E896" s="84"/>
      <c r="F896" s="84"/>
    </row>
    <row r="897" ht="15.75" customHeight="1">
      <c r="A897" s="84"/>
      <c r="B897" s="84"/>
      <c r="C897" s="84"/>
      <c r="D897" s="84"/>
      <c r="E897" s="84"/>
      <c r="F897" s="84"/>
    </row>
    <row r="898" ht="15.75" customHeight="1">
      <c r="A898" s="84"/>
      <c r="B898" s="84"/>
      <c r="C898" s="84"/>
      <c r="D898" s="84"/>
      <c r="E898" s="84"/>
      <c r="F898" s="84"/>
    </row>
    <row r="899" ht="15.75" customHeight="1">
      <c r="A899" s="84"/>
      <c r="B899" s="84"/>
      <c r="C899" s="84"/>
      <c r="D899" s="84"/>
      <c r="E899" s="84"/>
      <c r="F899" s="84"/>
    </row>
    <row r="900" ht="15.75" customHeight="1">
      <c r="A900" s="84"/>
      <c r="B900" s="84"/>
      <c r="C900" s="84"/>
      <c r="D900" s="84"/>
      <c r="E900" s="84"/>
      <c r="F900" s="84"/>
    </row>
    <row r="901" ht="15.75" customHeight="1">
      <c r="A901" s="84"/>
      <c r="B901" s="84"/>
      <c r="C901" s="84"/>
      <c r="D901" s="84"/>
      <c r="E901" s="84"/>
      <c r="F901" s="84"/>
    </row>
    <row r="902" ht="15.75" customHeight="1">
      <c r="A902" s="84"/>
      <c r="B902" s="84"/>
      <c r="C902" s="84"/>
      <c r="D902" s="84"/>
      <c r="E902" s="84"/>
      <c r="F902" s="84"/>
    </row>
    <row r="903" ht="15.75" customHeight="1">
      <c r="A903" s="84"/>
      <c r="B903" s="84"/>
      <c r="C903" s="84"/>
      <c r="D903" s="84"/>
      <c r="E903" s="84"/>
      <c r="F903" s="84"/>
    </row>
    <row r="904" ht="15.75" customHeight="1">
      <c r="A904" s="84"/>
      <c r="B904" s="84"/>
      <c r="C904" s="84"/>
      <c r="D904" s="84"/>
      <c r="E904" s="84"/>
      <c r="F904" s="84"/>
    </row>
    <row r="905" ht="15.75" customHeight="1">
      <c r="A905" s="84"/>
      <c r="B905" s="84"/>
      <c r="C905" s="84"/>
      <c r="D905" s="84"/>
      <c r="E905" s="84"/>
      <c r="F905" s="84"/>
    </row>
    <row r="906" ht="15.75" customHeight="1">
      <c r="A906" s="84"/>
      <c r="B906" s="84"/>
      <c r="C906" s="84"/>
      <c r="D906" s="84"/>
      <c r="E906" s="84"/>
      <c r="F906" s="84"/>
    </row>
    <row r="907" ht="15.75" customHeight="1">
      <c r="A907" s="84"/>
      <c r="B907" s="84"/>
      <c r="C907" s="84"/>
      <c r="D907" s="84"/>
      <c r="E907" s="84"/>
      <c r="F907" s="84"/>
    </row>
    <row r="908" ht="15.75" customHeight="1">
      <c r="A908" s="84"/>
      <c r="B908" s="84"/>
      <c r="C908" s="84"/>
      <c r="D908" s="84"/>
      <c r="E908" s="84"/>
      <c r="F908" s="84"/>
    </row>
    <row r="909" ht="15.75" customHeight="1">
      <c r="A909" s="84"/>
      <c r="B909" s="84"/>
      <c r="C909" s="84"/>
      <c r="D909" s="84"/>
      <c r="E909" s="84"/>
      <c r="F909" s="84"/>
    </row>
    <row r="910" ht="15.75" customHeight="1">
      <c r="A910" s="84"/>
      <c r="B910" s="84"/>
      <c r="C910" s="84"/>
      <c r="D910" s="84"/>
      <c r="E910" s="84"/>
      <c r="F910" s="84"/>
    </row>
    <row r="911" ht="15.75" customHeight="1">
      <c r="A911" s="84"/>
      <c r="B911" s="84"/>
      <c r="C911" s="84"/>
      <c r="D911" s="84"/>
      <c r="E911" s="84"/>
      <c r="F911" s="84"/>
    </row>
    <row r="912" ht="15.75" customHeight="1">
      <c r="A912" s="84"/>
      <c r="B912" s="84"/>
      <c r="C912" s="84"/>
      <c r="D912" s="84"/>
      <c r="E912" s="84"/>
      <c r="F912" s="84"/>
    </row>
    <row r="913" ht="15.75" customHeight="1">
      <c r="A913" s="84"/>
      <c r="B913" s="84"/>
      <c r="C913" s="84"/>
      <c r="D913" s="84"/>
      <c r="E913" s="84"/>
      <c r="F913" s="84"/>
    </row>
    <row r="914" ht="15.75" customHeight="1">
      <c r="A914" s="84"/>
      <c r="B914" s="84"/>
      <c r="C914" s="84"/>
      <c r="D914" s="84"/>
      <c r="E914" s="84"/>
      <c r="F914" s="84"/>
    </row>
    <row r="915" ht="15.75" customHeight="1">
      <c r="A915" s="84"/>
      <c r="B915" s="84"/>
      <c r="C915" s="84"/>
      <c r="D915" s="84"/>
      <c r="E915" s="84"/>
      <c r="F915" s="84"/>
    </row>
    <row r="916" ht="15.75" customHeight="1">
      <c r="A916" s="84"/>
      <c r="B916" s="84"/>
      <c r="C916" s="84"/>
      <c r="D916" s="84"/>
      <c r="E916" s="84"/>
      <c r="F916" s="84"/>
    </row>
    <row r="917" ht="15.75" customHeight="1">
      <c r="A917" s="84"/>
      <c r="B917" s="84"/>
      <c r="C917" s="84"/>
      <c r="D917" s="84"/>
      <c r="E917" s="84"/>
      <c r="F917" s="84"/>
    </row>
    <row r="918" ht="15.75" customHeight="1">
      <c r="A918" s="84"/>
      <c r="B918" s="84"/>
      <c r="C918" s="84"/>
      <c r="D918" s="84"/>
      <c r="E918" s="84"/>
      <c r="F918" s="84"/>
    </row>
    <row r="919" ht="15.75" customHeight="1">
      <c r="A919" s="84"/>
      <c r="B919" s="84"/>
      <c r="C919" s="84"/>
      <c r="D919" s="84"/>
      <c r="E919" s="84"/>
      <c r="F919" s="84"/>
    </row>
    <row r="920" ht="15.75" customHeight="1">
      <c r="A920" s="84"/>
      <c r="B920" s="84"/>
      <c r="C920" s="84"/>
      <c r="D920" s="84"/>
      <c r="E920" s="84"/>
      <c r="F920" s="84"/>
    </row>
    <row r="921" ht="15.75" customHeight="1">
      <c r="A921" s="84"/>
      <c r="B921" s="84"/>
      <c r="C921" s="84"/>
      <c r="D921" s="84"/>
      <c r="E921" s="84"/>
      <c r="F921" s="84"/>
    </row>
    <row r="922" ht="15.75" customHeight="1">
      <c r="A922" s="84"/>
      <c r="B922" s="84"/>
      <c r="C922" s="84"/>
      <c r="D922" s="84"/>
      <c r="E922" s="84"/>
      <c r="F922" s="84"/>
    </row>
    <row r="923" ht="15.75" customHeight="1">
      <c r="A923" s="84"/>
      <c r="B923" s="84"/>
      <c r="C923" s="84"/>
      <c r="D923" s="84"/>
      <c r="E923" s="84"/>
      <c r="F923" s="84"/>
    </row>
    <row r="924" ht="15.75" customHeight="1">
      <c r="A924" s="84"/>
      <c r="B924" s="84"/>
      <c r="C924" s="84"/>
      <c r="D924" s="84"/>
      <c r="E924" s="84"/>
      <c r="F924" s="84"/>
    </row>
    <row r="925" ht="15.75" customHeight="1">
      <c r="A925" s="84"/>
      <c r="B925" s="84"/>
      <c r="C925" s="84"/>
      <c r="D925" s="84"/>
      <c r="E925" s="84"/>
      <c r="F925" s="84"/>
    </row>
    <row r="926" ht="15.75" customHeight="1">
      <c r="A926" s="84"/>
      <c r="B926" s="84"/>
      <c r="C926" s="84"/>
      <c r="D926" s="84"/>
      <c r="E926" s="84"/>
      <c r="F926" s="84"/>
    </row>
    <row r="927" ht="15.75" customHeight="1">
      <c r="A927" s="84"/>
      <c r="B927" s="84"/>
      <c r="C927" s="84"/>
      <c r="D927" s="84"/>
      <c r="E927" s="84"/>
      <c r="F927" s="84"/>
    </row>
    <row r="928" ht="15.75" customHeight="1">
      <c r="A928" s="84"/>
      <c r="B928" s="84"/>
      <c r="C928" s="84"/>
      <c r="D928" s="84"/>
      <c r="E928" s="84"/>
      <c r="F928" s="84"/>
    </row>
    <row r="929" ht="15.75" customHeight="1">
      <c r="A929" s="84"/>
      <c r="B929" s="84"/>
      <c r="C929" s="84"/>
      <c r="D929" s="84"/>
      <c r="E929" s="84"/>
      <c r="F929" s="84"/>
    </row>
    <row r="930" ht="15.75" customHeight="1">
      <c r="A930" s="84"/>
      <c r="B930" s="84"/>
      <c r="C930" s="84"/>
      <c r="D930" s="84"/>
      <c r="E930" s="84"/>
      <c r="F930" s="84"/>
    </row>
    <row r="931" ht="15.75" customHeight="1">
      <c r="A931" s="84"/>
      <c r="B931" s="84"/>
      <c r="C931" s="84"/>
      <c r="D931" s="84"/>
      <c r="E931" s="84"/>
      <c r="F931" s="84"/>
    </row>
    <row r="932" ht="15.75" customHeight="1">
      <c r="A932" s="84"/>
      <c r="B932" s="84"/>
      <c r="C932" s="84"/>
      <c r="D932" s="84"/>
      <c r="E932" s="84"/>
      <c r="F932" s="84"/>
    </row>
    <row r="933" ht="15.75" customHeight="1">
      <c r="A933" s="84"/>
      <c r="B933" s="84"/>
      <c r="C933" s="84"/>
      <c r="D933" s="84"/>
      <c r="E933" s="84"/>
      <c r="F933" s="84"/>
    </row>
    <row r="934" ht="15.75" customHeight="1">
      <c r="A934" s="84"/>
      <c r="B934" s="84"/>
      <c r="C934" s="84"/>
      <c r="D934" s="84"/>
      <c r="E934" s="84"/>
      <c r="F934" s="84"/>
    </row>
    <row r="935" ht="15.75" customHeight="1">
      <c r="A935" s="84"/>
      <c r="B935" s="84"/>
      <c r="C935" s="84"/>
      <c r="D935" s="84"/>
      <c r="E935" s="84"/>
      <c r="F935" s="84"/>
    </row>
    <row r="936" ht="15.75" customHeight="1">
      <c r="A936" s="84"/>
      <c r="B936" s="84"/>
      <c r="C936" s="84"/>
      <c r="D936" s="84"/>
      <c r="E936" s="84"/>
      <c r="F936" s="84"/>
    </row>
    <row r="937" ht="15.75" customHeight="1">
      <c r="A937" s="84"/>
      <c r="B937" s="84"/>
      <c r="C937" s="84"/>
      <c r="D937" s="84"/>
      <c r="E937" s="84"/>
      <c r="F937" s="84"/>
    </row>
    <row r="938" ht="15.75" customHeight="1">
      <c r="A938" s="84"/>
      <c r="B938" s="84"/>
      <c r="C938" s="84"/>
      <c r="D938" s="84"/>
      <c r="E938" s="84"/>
      <c r="F938" s="84"/>
    </row>
    <row r="939" ht="15.75" customHeight="1">
      <c r="A939" s="84"/>
      <c r="B939" s="84"/>
      <c r="C939" s="84"/>
      <c r="D939" s="84"/>
      <c r="E939" s="84"/>
      <c r="F939" s="84"/>
    </row>
    <row r="940" ht="15.75" customHeight="1">
      <c r="A940" s="84"/>
      <c r="B940" s="84"/>
      <c r="C940" s="84"/>
      <c r="D940" s="84"/>
      <c r="E940" s="84"/>
      <c r="F940" s="84"/>
    </row>
    <row r="941" ht="15.75" customHeight="1">
      <c r="A941" s="84"/>
      <c r="B941" s="84"/>
      <c r="C941" s="84"/>
      <c r="D941" s="84"/>
      <c r="E941" s="84"/>
      <c r="F941" s="84"/>
    </row>
    <row r="942" ht="15.75" customHeight="1">
      <c r="A942" s="84"/>
      <c r="B942" s="84"/>
      <c r="C942" s="84"/>
      <c r="D942" s="84"/>
      <c r="E942" s="84"/>
      <c r="F942" s="84"/>
    </row>
    <row r="943" ht="15.75" customHeight="1">
      <c r="A943" s="84"/>
      <c r="B943" s="84"/>
      <c r="C943" s="84"/>
      <c r="D943" s="84"/>
      <c r="E943" s="84"/>
      <c r="F943" s="84"/>
    </row>
    <row r="944" ht="15.75" customHeight="1">
      <c r="A944" s="84"/>
      <c r="B944" s="84"/>
      <c r="C944" s="84"/>
      <c r="D944" s="84"/>
      <c r="E944" s="84"/>
      <c r="F944" s="84"/>
    </row>
    <row r="945" ht="15.75" customHeight="1">
      <c r="A945" s="84"/>
      <c r="B945" s="84"/>
      <c r="C945" s="84"/>
      <c r="D945" s="84"/>
      <c r="E945" s="84"/>
      <c r="F945" s="84"/>
    </row>
    <row r="946" ht="15.75" customHeight="1">
      <c r="A946" s="84"/>
      <c r="B946" s="84"/>
      <c r="C946" s="84"/>
      <c r="D946" s="84"/>
      <c r="E946" s="84"/>
      <c r="F946" s="84"/>
    </row>
    <row r="947" ht="15.75" customHeight="1">
      <c r="A947" s="84"/>
      <c r="B947" s="84"/>
      <c r="C947" s="84"/>
      <c r="D947" s="84"/>
      <c r="E947" s="84"/>
      <c r="F947" s="84"/>
    </row>
    <row r="948" ht="15.75" customHeight="1">
      <c r="A948" s="84"/>
      <c r="B948" s="84"/>
      <c r="C948" s="84"/>
      <c r="D948" s="84"/>
      <c r="E948" s="84"/>
      <c r="F948" s="84"/>
    </row>
    <row r="949" ht="15.75" customHeight="1">
      <c r="A949" s="84"/>
      <c r="B949" s="84"/>
      <c r="C949" s="84"/>
      <c r="D949" s="84"/>
      <c r="E949" s="84"/>
      <c r="F949" s="84"/>
    </row>
    <row r="950" ht="15.75" customHeight="1">
      <c r="A950" s="84"/>
      <c r="B950" s="84"/>
      <c r="C950" s="84"/>
      <c r="D950" s="84"/>
      <c r="E950" s="84"/>
      <c r="F950" s="84"/>
    </row>
    <row r="951" ht="15.75" customHeight="1">
      <c r="A951" s="84"/>
      <c r="B951" s="84"/>
      <c r="C951" s="84"/>
      <c r="D951" s="84"/>
      <c r="E951" s="84"/>
      <c r="F951" s="84"/>
    </row>
    <row r="952" ht="15.75" customHeight="1">
      <c r="A952" s="84"/>
      <c r="B952" s="84"/>
      <c r="C952" s="84"/>
      <c r="D952" s="84"/>
      <c r="E952" s="84"/>
      <c r="F952" s="84"/>
    </row>
    <row r="953" ht="15.75" customHeight="1">
      <c r="A953" s="84"/>
      <c r="B953" s="84"/>
      <c r="C953" s="84"/>
      <c r="D953" s="84"/>
      <c r="E953" s="84"/>
      <c r="F953" s="84"/>
    </row>
    <row r="954" ht="15.75" customHeight="1">
      <c r="A954" s="84"/>
      <c r="B954" s="84"/>
      <c r="C954" s="84"/>
      <c r="D954" s="84"/>
      <c r="E954" s="84"/>
      <c r="F954" s="84"/>
    </row>
    <row r="955" ht="15.75" customHeight="1">
      <c r="A955" s="84"/>
      <c r="B955" s="84"/>
      <c r="C955" s="84"/>
      <c r="D955" s="84"/>
      <c r="E955" s="84"/>
      <c r="F955" s="84"/>
    </row>
    <row r="956" ht="15.75" customHeight="1">
      <c r="A956" s="84"/>
      <c r="B956" s="84"/>
      <c r="C956" s="84"/>
      <c r="D956" s="84"/>
      <c r="E956" s="84"/>
      <c r="F956" s="84"/>
    </row>
    <row r="957" ht="15.75" customHeight="1">
      <c r="A957" s="84"/>
      <c r="B957" s="84"/>
      <c r="C957" s="84"/>
      <c r="D957" s="84"/>
      <c r="E957" s="84"/>
      <c r="F957" s="84"/>
    </row>
    <row r="958" ht="15.75" customHeight="1">
      <c r="A958" s="84"/>
      <c r="B958" s="84"/>
      <c r="C958" s="84"/>
      <c r="D958" s="84"/>
      <c r="E958" s="84"/>
      <c r="F958" s="84"/>
    </row>
    <row r="959" ht="15.75" customHeight="1">
      <c r="A959" s="84"/>
      <c r="B959" s="84"/>
      <c r="C959" s="84"/>
      <c r="D959" s="84"/>
      <c r="E959" s="84"/>
      <c r="F959" s="84"/>
    </row>
    <row r="960" ht="15.75" customHeight="1">
      <c r="A960" s="84"/>
      <c r="B960" s="84"/>
      <c r="C960" s="84"/>
      <c r="D960" s="84"/>
      <c r="E960" s="84"/>
      <c r="F960" s="84"/>
    </row>
    <row r="961" ht="15.75" customHeight="1">
      <c r="A961" s="84"/>
      <c r="B961" s="84"/>
      <c r="C961" s="84"/>
      <c r="D961" s="84"/>
      <c r="E961" s="84"/>
      <c r="F961" s="84"/>
    </row>
    <row r="962" ht="15.75" customHeight="1">
      <c r="A962" s="84"/>
      <c r="B962" s="84"/>
      <c r="C962" s="84"/>
      <c r="D962" s="84"/>
      <c r="E962" s="84"/>
      <c r="F962" s="84"/>
    </row>
    <row r="963" ht="15.75" customHeight="1">
      <c r="A963" s="84"/>
      <c r="B963" s="84"/>
      <c r="C963" s="84"/>
      <c r="D963" s="84"/>
      <c r="E963" s="84"/>
      <c r="F963" s="84"/>
    </row>
    <row r="964" ht="15.75" customHeight="1">
      <c r="A964" s="84"/>
      <c r="B964" s="84"/>
      <c r="C964" s="84"/>
      <c r="D964" s="84"/>
      <c r="E964" s="84"/>
      <c r="F964" s="84"/>
    </row>
    <row r="965" ht="15.75" customHeight="1">
      <c r="A965" s="84"/>
      <c r="B965" s="84"/>
      <c r="C965" s="84"/>
      <c r="D965" s="84"/>
      <c r="E965" s="84"/>
      <c r="F965" s="84"/>
    </row>
    <row r="966" ht="15.75" customHeight="1">
      <c r="A966" s="84"/>
      <c r="B966" s="84"/>
      <c r="C966" s="84"/>
      <c r="D966" s="84"/>
      <c r="E966" s="84"/>
      <c r="F966" s="84"/>
    </row>
    <row r="967" ht="15.75" customHeight="1">
      <c r="A967" s="84"/>
      <c r="B967" s="84"/>
      <c r="C967" s="84"/>
      <c r="D967" s="84"/>
      <c r="E967" s="84"/>
      <c r="F967" s="84"/>
    </row>
    <row r="968" ht="15.75" customHeight="1">
      <c r="A968" s="84"/>
      <c r="B968" s="84"/>
      <c r="C968" s="84"/>
      <c r="D968" s="84"/>
      <c r="E968" s="84"/>
      <c r="F968" s="84"/>
    </row>
    <row r="969" ht="15.75" customHeight="1">
      <c r="A969" s="84"/>
      <c r="B969" s="84"/>
      <c r="C969" s="84"/>
      <c r="D969" s="84"/>
      <c r="E969" s="84"/>
      <c r="F969" s="84"/>
    </row>
    <row r="970" ht="15.75" customHeight="1">
      <c r="A970" s="84"/>
      <c r="B970" s="84"/>
      <c r="C970" s="84"/>
      <c r="D970" s="84"/>
      <c r="E970" s="84"/>
      <c r="F970" s="84"/>
    </row>
    <row r="971" ht="15.75" customHeight="1">
      <c r="A971" s="84"/>
      <c r="B971" s="84"/>
      <c r="C971" s="84"/>
      <c r="D971" s="84"/>
      <c r="E971" s="84"/>
      <c r="F971" s="84"/>
    </row>
    <row r="972" ht="15.75" customHeight="1">
      <c r="A972" s="84"/>
      <c r="B972" s="84"/>
      <c r="C972" s="84"/>
      <c r="D972" s="84"/>
      <c r="E972" s="84"/>
      <c r="F972" s="84"/>
    </row>
    <row r="973" ht="15.75" customHeight="1">
      <c r="A973" s="84"/>
      <c r="B973" s="84"/>
      <c r="C973" s="84"/>
      <c r="D973" s="84"/>
      <c r="E973" s="84"/>
      <c r="F973" s="84"/>
    </row>
    <row r="974" ht="15.75" customHeight="1">
      <c r="A974" s="84"/>
      <c r="B974" s="84"/>
      <c r="C974" s="84"/>
      <c r="D974" s="84"/>
      <c r="E974" s="84"/>
      <c r="F974" s="84"/>
    </row>
    <row r="975" ht="15.75" customHeight="1">
      <c r="A975" s="84"/>
      <c r="B975" s="84"/>
      <c r="C975" s="84"/>
      <c r="D975" s="84"/>
      <c r="E975" s="84"/>
      <c r="F975" s="84"/>
    </row>
    <row r="976" ht="15.75" customHeight="1">
      <c r="A976" s="84"/>
      <c r="B976" s="84"/>
      <c r="C976" s="84"/>
      <c r="D976" s="84"/>
      <c r="E976" s="84"/>
      <c r="F976" s="84"/>
    </row>
    <row r="977" ht="15.75" customHeight="1">
      <c r="A977" s="84"/>
      <c r="B977" s="84"/>
      <c r="C977" s="84"/>
      <c r="D977" s="84"/>
      <c r="E977" s="84"/>
      <c r="F977" s="84"/>
    </row>
    <row r="978" ht="15.75" customHeight="1">
      <c r="A978" s="84"/>
      <c r="B978" s="84"/>
      <c r="C978" s="84"/>
      <c r="D978" s="84"/>
      <c r="E978" s="84"/>
      <c r="F978" s="84"/>
    </row>
    <row r="979" ht="15.75" customHeight="1">
      <c r="A979" s="84"/>
      <c r="B979" s="84"/>
      <c r="C979" s="84"/>
      <c r="D979" s="84"/>
      <c r="E979" s="84"/>
      <c r="F979" s="84"/>
    </row>
    <row r="980" ht="15.75" customHeight="1">
      <c r="A980" s="84"/>
      <c r="B980" s="84"/>
      <c r="C980" s="84"/>
      <c r="D980" s="84"/>
      <c r="E980" s="84"/>
      <c r="F980" s="84"/>
    </row>
    <row r="981" ht="15.75" customHeight="1">
      <c r="A981" s="84"/>
      <c r="B981" s="84"/>
      <c r="C981" s="84"/>
      <c r="D981" s="84"/>
      <c r="E981" s="84"/>
      <c r="F981" s="84"/>
    </row>
    <row r="982" ht="15.75" customHeight="1">
      <c r="A982" s="84"/>
      <c r="B982" s="84"/>
      <c r="C982" s="84"/>
      <c r="D982" s="84"/>
      <c r="E982" s="84"/>
      <c r="F982" s="84"/>
    </row>
    <row r="983" ht="15.75" customHeight="1">
      <c r="A983" s="84"/>
      <c r="B983" s="84"/>
      <c r="C983" s="84"/>
      <c r="D983" s="84"/>
      <c r="E983" s="84"/>
      <c r="F983" s="84"/>
    </row>
    <row r="984" ht="15.75" customHeight="1">
      <c r="A984" s="84"/>
      <c r="B984" s="84"/>
      <c r="C984" s="84"/>
      <c r="D984" s="84"/>
      <c r="E984" s="84"/>
      <c r="F984" s="84"/>
    </row>
    <row r="985" ht="15.75" customHeight="1">
      <c r="A985" s="84"/>
      <c r="B985" s="84"/>
      <c r="C985" s="84"/>
      <c r="D985" s="84"/>
      <c r="E985" s="84"/>
      <c r="F985" s="84"/>
    </row>
    <row r="986" ht="15.75" customHeight="1">
      <c r="A986" s="84"/>
      <c r="B986" s="84"/>
      <c r="C986" s="84"/>
      <c r="D986" s="84"/>
      <c r="E986" s="84"/>
      <c r="F986" s="84"/>
    </row>
    <row r="987" ht="15.75" customHeight="1">
      <c r="A987" s="84"/>
      <c r="B987" s="84"/>
      <c r="C987" s="84"/>
      <c r="D987" s="84"/>
      <c r="E987" s="84"/>
      <c r="F987" s="84"/>
    </row>
    <row r="988" ht="15.75" customHeight="1">
      <c r="A988" s="84"/>
      <c r="B988" s="84"/>
      <c r="C988" s="84"/>
      <c r="D988" s="84"/>
      <c r="E988" s="84"/>
      <c r="F988" s="84"/>
    </row>
    <row r="989" ht="15.75" customHeight="1">
      <c r="A989" s="84"/>
      <c r="B989" s="84"/>
      <c r="C989" s="84"/>
      <c r="D989" s="84"/>
      <c r="E989" s="84"/>
      <c r="F989" s="84"/>
    </row>
    <row r="990" ht="15.75" customHeight="1">
      <c r="A990" s="84"/>
      <c r="B990" s="84"/>
      <c r="C990" s="84"/>
      <c r="D990" s="84"/>
      <c r="E990" s="84"/>
      <c r="F990" s="84"/>
    </row>
    <row r="991" ht="15.75" customHeight="1">
      <c r="A991" s="84"/>
      <c r="B991" s="84"/>
      <c r="C991" s="84"/>
      <c r="D991" s="84"/>
      <c r="E991" s="84"/>
      <c r="F991" s="84"/>
    </row>
    <row r="992" ht="15.75" customHeight="1">
      <c r="A992" s="84"/>
      <c r="B992" s="84"/>
      <c r="C992" s="84"/>
      <c r="D992" s="84"/>
      <c r="E992" s="84"/>
      <c r="F992" s="84"/>
    </row>
    <row r="993" ht="15.75" customHeight="1">
      <c r="A993" s="84"/>
      <c r="B993" s="84"/>
      <c r="C993" s="84"/>
      <c r="D993" s="84"/>
      <c r="E993" s="84"/>
      <c r="F993" s="84"/>
    </row>
    <row r="994" ht="15.75" customHeight="1">
      <c r="A994" s="84"/>
      <c r="B994" s="84"/>
      <c r="C994" s="84"/>
      <c r="D994" s="84"/>
      <c r="E994" s="84"/>
      <c r="F994" s="84"/>
    </row>
    <row r="995" ht="15.75" customHeight="1">
      <c r="A995" s="84"/>
      <c r="B995" s="84"/>
      <c r="C995" s="84"/>
      <c r="D995" s="84"/>
      <c r="E995" s="84"/>
      <c r="F995" s="84"/>
    </row>
    <row r="996" ht="15.75" customHeight="1">
      <c r="A996" s="84"/>
      <c r="B996" s="84"/>
      <c r="C996" s="84"/>
      <c r="D996" s="84"/>
      <c r="E996" s="84"/>
      <c r="F996" s="84"/>
    </row>
    <row r="997" ht="15.75" customHeight="1">
      <c r="A997" s="84"/>
      <c r="B997" s="84"/>
      <c r="C997" s="84"/>
      <c r="D997" s="84"/>
      <c r="E997" s="84"/>
      <c r="F997" s="84"/>
    </row>
    <row r="998" ht="15.75" customHeight="1">
      <c r="A998" s="84"/>
      <c r="B998" s="84"/>
      <c r="C998" s="84"/>
      <c r="D998" s="84"/>
      <c r="E998" s="84"/>
      <c r="F998" s="84"/>
    </row>
    <row r="999" ht="15.75" customHeight="1">
      <c r="A999" s="84"/>
      <c r="B999" s="84"/>
      <c r="C999" s="84"/>
      <c r="D999" s="84"/>
      <c r="E999" s="84"/>
      <c r="F999" s="84"/>
    </row>
    <row r="1000" ht="15.75" customHeight="1">
      <c r="A1000" s="84"/>
      <c r="B1000" s="84"/>
      <c r="C1000" s="84"/>
      <c r="D1000" s="84"/>
      <c r="E1000" s="84"/>
      <c r="F1000" s="84"/>
    </row>
  </sheetData>
  <dataValidations>
    <dataValidation type="list" allowBlank="1" showDropDown="1" showErrorMessage="1" sqref="F5:F25">
      <formula1>"신설,수정"</formula1>
    </dataValidation>
  </dataValidations>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22.0"/>
    <col customWidth="1" min="2" max="2" width="118.0"/>
    <col customWidth="1" min="3" max="3" width="10.0"/>
    <col customWidth="1" min="4" max="6" width="8.71"/>
  </cols>
  <sheetData>
    <row r="1" ht="21.0" customHeight="1">
      <c r="A1" s="1" t="s">
        <v>2497</v>
      </c>
      <c r="B1" s="3"/>
      <c r="C1" s="3"/>
      <c r="D1" s="3"/>
      <c r="E1" s="3"/>
      <c r="F1" s="3"/>
      <c r="G1" s="3"/>
      <c r="H1" s="3"/>
      <c r="I1" s="3"/>
      <c r="J1" s="3"/>
      <c r="K1" s="3"/>
      <c r="L1" s="3"/>
      <c r="M1" s="3"/>
      <c r="N1" s="3"/>
      <c r="O1" s="3"/>
      <c r="P1" s="3"/>
      <c r="Q1" s="3"/>
      <c r="R1" s="3"/>
      <c r="S1" s="3"/>
      <c r="T1" s="3"/>
      <c r="U1" s="3"/>
      <c r="V1" s="3"/>
      <c r="W1" s="3"/>
      <c r="X1" s="3"/>
      <c r="Y1" s="3"/>
      <c r="Z1" s="3"/>
    </row>
    <row r="2" ht="15.0" customHeight="1">
      <c r="A2" s="17" t="s">
        <v>2501</v>
      </c>
      <c r="B2" s="3"/>
      <c r="C2" s="3"/>
      <c r="D2" s="3"/>
      <c r="E2" s="3"/>
      <c r="F2" s="3"/>
      <c r="G2" s="3"/>
      <c r="H2" s="3"/>
      <c r="I2" s="3"/>
      <c r="J2" s="3"/>
      <c r="K2" s="3"/>
      <c r="L2" s="3"/>
      <c r="M2" s="3"/>
      <c r="N2" s="3"/>
      <c r="O2" s="3"/>
      <c r="P2" s="3"/>
      <c r="Q2" s="3"/>
      <c r="R2" s="3"/>
      <c r="S2" s="3"/>
      <c r="T2" s="3"/>
      <c r="U2" s="3"/>
      <c r="V2" s="3"/>
      <c r="W2" s="3"/>
      <c r="X2" s="3"/>
      <c r="Y2" s="3"/>
      <c r="Z2" s="3"/>
    </row>
    <row r="3" ht="15.0" customHeight="1">
      <c r="A3" s="3"/>
      <c r="B3" s="3"/>
      <c r="C3" s="3"/>
      <c r="D3" s="3"/>
      <c r="E3" s="3"/>
      <c r="F3" s="3"/>
      <c r="G3" s="3"/>
      <c r="H3" s="3"/>
      <c r="I3" s="3"/>
      <c r="J3" s="3"/>
      <c r="K3" s="3"/>
      <c r="L3" s="3"/>
      <c r="M3" s="3"/>
      <c r="N3" s="3"/>
      <c r="O3" s="3"/>
      <c r="P3" s="3"/>
      <c r="Q3" s="3"/>
      <c r="R3" s="3"/>
      <c r="S3" s="3"/>
      <c r="T3" s="3"/>
      <c r="U3" s="3"/>
      <c r="V3" s="3"/>
      <c r="W3" s="3"/>
      <c r="X3" s="3"/>
      <c r="Y3" s="3"/>
      <c r="Z3" s="3"/>
    </row>
    <row r="4" ht="31.5" customHeight="1">
      <c r="A4" s="10" t="s">
        <v>2510</v>
      </c>
      <c r="B4" s="10" t="s">
        <v>18</v>
      </c>
      <c r="C4" s="10" t="s">
        <v>1946</v>
      </c>
      <c r="D4" s="15"/>
      <c r="E4" s="15"/>
      <c r="F4" s="15"/>
      <c r="G4" s="15"/>
      <c r="H4" s="15"/>
      <c r="I4" s="15"/>
      <c r="J4" s="15"/>
      <c r="K4" s="15"/>
      <c r="L4" s="15"/>
      <c r="M4" s="15"/>
      <c r="N4" s="15"/>
      <c r="O4" s="15"/>
      <c r="P4" s="15"/>
      <c r="Q4" s="15"/>
      <c r="R4" s="15"/>
      <c r="S4" s="15"/>
      <c r="T4" s="15"/>
      <c r="U4" s="15"/>
      <c r="V4" s="15"/>
      <c r="W4" s="15"/>
      <c r="X4" s="15"/>
      <c r="Y4" s="15"/>
      <c r="Z4" s="15"/>
    </row>
    <row r="5" ht="17.25" customHeight="1">
      <c r="A5" s="46" t="s">
        <v>2514</v>
      </c>
      <c r="B5" s="44" t="s">
        <v>2516</v>
      </c>
      <c r="C5" s="46"/>
      <c r="D5" s="15"/>
      <c r="E5" s="15"/>
      <c r="F5" s="15"/>
      <c r="G5" s="15"/>
      <c r="H5" s="15"/>
      <c r="I5" s="15"/>
      <c r="J5" s="15"/>
      <c r="K5" s="15"/>
      <c r="L5" s="15"/>
      <c r="M5" s="15"/>
      <c r="N5" s="15"/>
      <c r="O5" s="15"/>
      <c r="P5" s="15"/>
      <c r="Q5" s="15"/>
      <c r="R5" s="15"/>
      <c r="S5" s="15"/>
      <c r="T5" s="15"/>
      <c r="U5" s="15"/>
      <c r="V5" s="15"/>
      <c r="W5" s="15"/>
      <c r="X5" s="15"/>
      <c r="Y5" s="15"/>
      <c r="Z5" s="15"/>
    </row>
    <row r="6" ht="31.5" customHeight="1">
      <c r="A6" s="44" t="s">
        <v>2520</v>
      </c>
      <c r="B6" s="44" t="s">
        <v>2522</v>
      </c>
      <c r="C6" s="46"/>
      <c r="D6" s="15"/>
      <c r="E6" s="15"/>
      <c r="F6" s="15"/>
      <c r="G6" s="15"/>
      <c r="H6" s="15"/>
      <c r="I6" s="15"/>
      <c r="J6" s="15"/>
      <c r="K6" s="15"/>
      <c r="L6" s="15"/>
      <c r="M6" s="15"/>
      <c r="N6" s="15"/>
      <c r="O6" s="15"/>
      <c r="P6" s="15"/>
      <c r="Q6" s="15"/>
      <c r="R6" s="15"/>
      <c r="S6" s="15"/>
      <c r="T6" s="15"/>
      <c r="U6" s="15"/>
      <c r="V6" s="15"/>
      <c r="W6" s="15"/>
      <c r="X6" s="15"/>
      <c r="Y6" s="15"/>
      <c r="Z6" s="15"/>
    </row>
    <row r="7" ht="31.5" customHeight="1">
      <c r="A7" s="222" t="s">
        <v>176</v>
      </c>
      <c r="B7" s="222" t="s">
        <v>2528</v>
      </c>
      <c r="C7" s="222" t="s">
        <v>1545</v>
      </c>
      <c r="D7" s="15"/>
      <c r="E7" s="15"/>
      <c r="F7" s="15"/>
      <c r="G7" s="15"/>
      <c r="H7" s="15"/>
      <c r="I7" s="15"/>
      <c r="J7" s="15"/>
      <c r="K7" s="15"/>
      <c r="L7" s="15"/>
      <c r="M7" s="15"/>
      <c r="N7" s="15"/>
      <c r="O7" s="15"/>
      <c r="P7" s="15"/>
      <c r="Q7" s="15"/>
      <c r="R7" s="15"/>
      <c r="S7" s="15"/>
      <c r="T7" s="15"/>
      <c r="U7" s="15"/>
      <c r="V7" s="15"/>
      <c r="W7" s="15"/>
      <c r="X7" s="15"/>
      <c r="Y7" s="15"/>
      <c r="Z7" s="15"/>
    </row>
    <row r="8" ht="31.5" customHeight="1">
      <c r="A8" s="44" t="s">
        <v>195</v>
      </c>
      <c r="B8" s="44" t="s">
        <v>2532</v>
      </c>
      <c r="C8" s="44" t="s">
        <v>1989</v>
      </c>
      <c r="D8" s="15"/>
      <c r="E8" s="15"/>
      <c r="F8" s="15"/>
      <c r="G8" s="15"/>
      <c r="H8" s="15"/>
      <c r="I8" s="15"/>
      <c r="J8" s="15"/>
      <c r="K8" s="15"/>
      <c r="L8" s="15"/>
      <c r="M8" s="15"/>
      <c r="N8" s="15"/>
      <c r="O8" s="15"/>
      <c r="P8" s="15"/>
      <c r="Q8" s="15"/>
      <c r="R8" s="15"/>
      <c r="S8" s="15"/>
      <c r="T8" s="15"/>
      <c r="U8" s="15"/>
      <c r="V8" s="15"/>
      <c r="W8" s="15"/>
      <c r="X8" s="15"/>
      <c r="Y8" s="15"/>
      <c r="Z8" s="15"/>
    </row>
    <row r="9" ht="31.5" customHeight="1">
      <c r="A9" s="44" t="s">
        <v>2534</v>
      </c>
      <c r="B9" s="44" t="s">
        <v>2535</v>
      </c>
      <c r="C9" s="44" t="s">
        <v>1582</v>
      </c>
      <c r="D9" s="15"/>
      <c r="E9" s="15"/>
      <c r="F9" s="15"/>
      <c r="G9" s="15"/>
      <c r="H9" s="15"/>
      <c r="I9" s="15"/>
      <c r="J9" s="15"/>
      <c r="K9" s="15"/>
      <c r="L9" s="15"/>
      <c r="M9" s="15"/>
      <c r="N9" s="15"/>
      <c r="O9" s="15"/>
      <c r="P9" s="15"/>
      <c r="Q9" s="15"/>
      <c r="R9" s="15"/>
      <c r="S9" s="15"/>
      <c r="T9" s="15"/>
      <c r="U9" s="15"/>
      <c r="V9" s="15"/>
      <c r="W9" s="15"/>
      <c r="X9" s="15"/>
      <c r="Y9" s="15"/>
      <c r="Z9" s="15"/>
    </row>
    <row r="10" ht="31.5" customHeight="1">
      <c r="A10" s="24" t="s">
        <v>2539</v>
      </c>
      <c r="B10" s="24" t="s">
        <v>2540</v>
      </c>
      <c r="C10" s="24" t="s">
        <v>1989</v>
      </c>
      <c r="D10" s="15"/>
      <c r="E10" s="15"/>
      <c r="F10" s="15"/>
      <c r="G10" s="15"/>
      <c r="H10" s="15"/>
      <c r="I10" s="15"/>
      <c r="J10" s="15"/>
      <c r="K10" s="15"/>
      <c r="L10" s="15"/>
      <c r="M10" s="15"/>
      <c r="N10" s="15"/>
      <c r="O10" s="15"/>
      <c r="P10" s="15"/>
      <c r="Q10" s="15"/>
      <c r="R10" s="15"/>
      <c r="S10" s="15"/>
      <c r="T10" s="15"/>
      <c r="U10" s="15"/>
      <c r="V10" s="15"/>
      <c r="W10" s="15"/>
      <c r="X10" s="15"/>
      <c r="Y10" s="15"/>
      <c r="Z10" s="15"/>
    </row>
    <row r="11" ht="31.5" customHeight="1">
      <c r="A11" s="44" t="s">
        <v>2541</v>
      </c>
      <c r="B11" s="44" t="s">
        <v>2542</v>
      </c>
      <c r="C11" s="44" t="s">
        <v>1582</v>
      </c>
      <c r="D11" s="15"/>
      <c r="E11" s="15"/>
      <c r="F11" s="15"/>
      <c r="G11" s="15"/>
      <c r="H11" s="15"/>
      <c r="I11" s="15"/>
      <c r="J11" s="15"/>
      <c r="K11" s="15"/>
      <c r="L11" s="15"/>
      <c r="M11" s="15"/>
      <c r="N11" s="15"/>
      <c r="O11" s="15"/>
      <c r="P11" s="15"/>
      <c r="Q11" s="15"/>
      <c r="R11" s="15"/>
      <c r="S11" s="15"/>
      <c r="T11" s="15"/>
      <c r="U11" s="15"/>
      <c r="V11" s="15"/>
      <c r="W11" s="15"/>
      <c r="X11" s="15"/>
      <c r="Y11" s="15"/>
      <c r="Z11" s="15"/>
    </row>
    <row r="12" ht="31.5" customHeight="1">
      <c r="A12" s="222" t="s">
        <v>2545</v>
      </c>
      <c r="B12" s="222" t="s">
        <v>2547</v>
      </c>
      <c r="C12" s="222" t="s">
        <v>1545</v>
      </c>
      <c r="D12" s="15"/>
      <c r="E12" s="15"/>
      <c r="F12" s="15"/>
      <c r="G12" s="15"/>
      <c r="H12" s="15"/>
      <c r="I12" s="15"/>
      <c r="J12" s="15"/>
      <c r="K12" s="15"/>
      <c r="L12" s="15"/>
      <c r="M12" s="15"/>
      <c r="N12" s="15"/>
      <c r="O12" s="15"/>
      <c r="P12" s="15"/>
      <c r="Q12" s="15"/>
      <c r="R12" s="15"/>
      <c r="S12" s="15"/>
      <c r="T12" s="15"/>
      <c r="U12" s="15"/>
      <c r="V12" s="15"/>
      <c r="W12" s="15"/>
      <c r="X12" s="15"/>
      <c r="Y12" s="15"/>
      <c r="Z12" s="15"/>
    </row>
    <row r="13" ht="17.25" customHeight="1">
      <c r="A13" s="44" t="s">
        <v>2550</v>
      </c>
      <c r="B13" s="44" t="s">
        <v>2552</v>
      </c>
      <c r="C13" s="46"/>
      <c r="D13" s="15"/>
      <c r="E13" s="15"/>
      <c r="F13" s="15"/>
      <c r="G13" s="15"/>
      <c r="H13" s="15"/>
      <c r="I13" s="15"/>
      <c r="J13" s="15"/>
      <c r="K13" s="15"/>
      <c r="L13" s="15"/>
      <c r="M13" s="15"/>
      <c r="N13" s="15"/>
      <c r="O13" s="15"/>
      <c r="P13" s="15"/>
      <c r="Q13" s="15"/>
      <c r="R13" s="15"/>
      <c r="S13" s="15"/>
      <c r="T13" s="15"/>
      <c r="U13" s="15"/>
      <c r="V13" s="15"/>
      <c r="W13" s="15"/>
      <c r="X13" s="15"/>
      <c r="Y13" s="15"/>
      <c r="Z13" s="15"/>
    </row>
    <row r="14" ht="31.5" customHeight="1">
      <c r="A14" s="44" t="s">
        <v>2556</v>
      </c>
      <c r="B14" s="44" t="s">
        <v>2558</v>
      </c>
      <c r="C14" s="44" t="s">
        <v>1989</v>
      </c>
      <c r="D14" s="15"/>
      <c r="E14" s="15"/>
      <c r="F14" s="15"/>
      <c r="G14" s="15"/>
      <c r="H14" s="15"/>
      <c r="I14" s="15"/>
      <c r="J14" s="15"/>
      <c r="K14" s="15"/>
      <c r="L14" s="15"/>
      <c r="M14" s="15"/>
      <c r="N14" s="15"/>
      <c r="O14" s="15"/>
      <c r="P14" s="15"/>
      <c r="Q14" s="15"/>
      <c r="R14" s="15"/>
      <c r="S14" s="15"/>
      <c r="T14" s="15"/>
      <c r="U14" s="15"/>
      <c r="V14" s="15"/>
      <c r="W14" s="15"/>
      <c r="X14" s="15"/>
      <c r="Y14" s="15"/>
      <c r="Z14" s="15"/>
    </row>
    <row r="15" ht="17.25" customHeight="1">
      <c r="A15" s="44" t="s">
        <v>671</v>
      </c>
      <c r="B15" s="44" t="s">
        <v>2562</v>
      </c>
      <c r="C15" s="46"/>
      <c r="D15" s="15"/>
      <c r="E15" s="15"/>
      <c r="F15" s="15"/>
      <c r="G15" s="15"/>
      <c r="H15" s="15"/>
      <c r="I15" s="15"/>
      <c r="J15" s="15"/>
      <c r="K15" s="15"/>
      <c r="L15" s="15"/>
      <c r="M15" s="15"/>
      <c r="N15" s="15"/>
      <c r="O15" s="15"/>
      <c r="P15" s="15"/>
      <c r="Q15" s="15"/>
      <c r="R15" s="15"/>
      <c r="S15" s="15"/>
      <c r="T15" s="15"/>
      <c r="U15" s="15"/>
      <c r="V15" s="15"/>
      <c r="W15" s="15"/>
      <c r="X15" s="15"/>
      <c r="Y15" s="15"/>
      <c r="Z15" s="15"/>
    </row>
    <row r="16" ht="17.25" customHeight="1">
      <c r="A16" s="42" t="s">
        <v>107</v>
      </c>
      <c r="B16" s="42" t="s">
        <v>2568</v>
      </c>
      <c r="C16" s="39" t="s">
        <v>564</v>
      </c>
      <c r="D16" s="15"/>
      <c r="E16" s="15"/>
      <c r="F16" s="15"/>
      <c r="G16" s="15"/>
      <c r="H16" s="15"/>
      <c r="I16" s="15"/>
      <c r="J16" s="15"/>
      <c r="K16" s="15"/>
      <c r="L16" s="15"/>
      <c r="M16" s="15"/>
      <c r="N16" s="15"/>
      <c r="O16" s="15"/>
      <c r="P16" s="15"/>
      <c r="Q16" s="15"/>
      <c r="R16" s="15"/>
      <c r="S16" s="15"/>
      <c r="T16" s="15"/>
      <c r="U16" s="15"/>
      <c r="V16" s="15"/>
      <c r="W16" s="15"/>
      <c r="X16" s="15"/>
      <c r="Y16" s="15"/>
      <c r="Z16" s="15"/>
    </row>
    <row r="17" ht="17.25" customHeight="1">
      <c r="A17" s="42" t="s">
        <v>2573</v>
      </c>
      <c r="B17" s="42" t="s">
        <v>2574</v>
      </c>
      <c r="C17" s="39" t="s">
        <v>564</v>
      </c>
      <c r="D17" s="15"/>
      <c r="E17" s="15"/>
      <c r="F17" s="15"/>
      <c r="G17" s="15"/>
      <c r="H17" s="15"/>
      <c r="I17" s="15"/>
      <c r="J17" s="15"/>
      <c r="K17" s="15"/>
      <c r="L17" s="15"/>
      <c r="M17" s="15"/>
      <c r="N17" s="15"/>
      <c r="O17" s="15"/>
      <c r="P17" s="15"/>
      <c r="Q17" s="15"/>
      <c r="R17" s="15"/>
      <c r="S17" s="15"/>
      <c r="T17" s="15"/>
      <c r="U17" s="15"/>
      <c r="V17" s="15"/>
      <c r="W17" s="15"/>
      <c r="X17" s="15"/>
      <c r="Y17" s="15"/>
      <c r="Z17" s="15"/>
    </row>
    <row r="18" ht="17.25" customHeight="1">
      <c r="A18" s="240" t="s">
        <v>2575</v>
      </c>
      <c r="B18" s="241" t="s">
        <v>2576</v>
      </c>
      <c r="C18" s="242"/>
      <c r="D18" s="15"/>
      <c r="E18" s="15"/>
      <c r="F18" s="15"/>
      <c r="G18" s="15"/>
      <c r="H18" s="15"/>
      <c r="I18" s="15"/>
      <c r="J18" s="15"/>
      <c r="K18" s="15"/>
      <c r="L18" s="15"/>
      <c r="M18" s="15"/>
      <c r="N18" s="15"/>
      <c r="O18" s="15"/>
      <c r="P18" s="15"/>
      <c r="Q18" s="15"/>
      <c r="R18" s="15"/>
      <c r="S18" s="15"/>
      <c r="T18" s="15"/>
      <c r="U18" s="15"/>
      <c r="V18" s="15"/>
      <c r="W18" s="15"/>
      <c r="X18" s="15"/>
      <c r="Y18" s="15"/>
      <c r="Z18" s="15"/>
    </row>
    <row r="19" ht="31.5" customHeight="1">
      <c r="A19" s="42" t="s">
        <v>2577</v>
      </c>
      <c r="B19" s="42" t="s">
        <v>2578</v>
      </c>
      <c r="C19" s="42" t="s">
        <v>2579</v>
      </c>
      <c r="D19" s="15"/>
      <c r="E19" s="15"/>
      <c r="F19" s="15"/>
      <c r="G19" s="15"/>
      <c r="H19" s="15"/>
      <c r="I19" s="15"/>
      <c r="J19" s="15"/>
      <c r="K19" s="15"/>
      <c r="L19" s="15"/>
      <c r="M19" s="15"/>
      <c r="N19" s="15"/>
      <c r="O19" s="15"/>
      <c r="P19" s="15"/>
      <c r="Q19" s="15"/>
      <c r="R19" s="15"/>
      <c r="S19" s="15"/>
      <c r="T19" s="15"/>
      <c r="U19" s="15"/>
      <c r="V19" s="15"/>
      <c r="W19" s="15"/>
      <c r="X19" s="15"/>
      <c r="Y19" s="15"/>
      <c r="Z19" s="15"/>
    </row>
    <row r="20" ht="45.0" customHeight="1">
      <c r="A20" s="50" t="s">
        <v>128</v>
      </c>
      <c r="B20" s="50" t="s">
        <v>2580</v>
      </c>
      <c r="C20" s="48" t="s">
        <v>2581</v>
      </c>
      <c r="D20" s="15"/>
      <c r="E20" s="15"/>
      <c r="F20" s="15"/>
      <c r="G20" s="15"/>
      <c r="H20" s="15"/>
      <c r="I20" s="15"/>
      <c r="J20" s="15"/>
      <c r="K20" s="15"/>
      <c r="L20" s="15"/>
      <c r="M20" s="15"/>
      <c r="N20" s="15"/>
      <c r="O20" s="15"/>
      <c r="P20" s="15"/>
      <c r="Q20" s="15"/>
      <c r="R20" s="15"/>
      <c r="S20" s="15"/>
      <c r="T20" s="15"/>
      <c r="U20" s="15"/>
      <c r="V20" s="15"/>
      <c r="W20" s="15"/>
      <c r="X20" s="15"/>
      <c r="Y20" s="15"/>
      <c r="Z20" s="15"/>
    </row>
    <row r="21" ht="17.25" customHeight="1">
      <c r="A21" s="42" t="s">
        <v>2582</v>
      </c>
      <c r="B21" s="42" t="s">
        <v>2583</v>
      </c>
      <c r="C21" s="39" t="s">
        <v>564</v>
      </c>
      <c r="D21" s="15"/>
      <c r="E21" s="15"/>
      <c r="F21" s="15"/>
      <c r="G21" s="15"/>
      <c r="H21" s="15"/>
      <c r="I21" s="15"/>
      <c r="J21" s="15"/>
      <c r="K21" s="15"/>
      <c r="L21" s="15"/>
      <c r="M21" s="15"/>
      <c r="N21" s="15"/>
      <c r="O21" s="15"/>
      <c r="P21" s="15"/>
      <c r="Q21" s="15"/>
      <c r="R21" s="15"/>
      <c r="S21" s="15"/>
      <c r="T21" s="15"/>
      <c r="U21" s="15"/>
      <c r="V21" s="15"/>
      <c r="W21" s="15"/>
      <c r="X21" s="15"/>
      <c r="Y21" s="15"/>
      <c r="Z21" s="15"/>
    </row>
    <row r="22" ht="31.5" customHeight="1">
      <c r="A22" s="39" t="s">
        <v>2584</v>
      </c>
      <c r="B22" s="39" t="s">
        <v>2585</v>
      </c>
      <c r="C22" s="42" t="s">
        <v>2586</v>
      </c>
      <c r="D22" s="15"/>
      <c r="E22" s="15"/>
      <c r="F22" s="15"/>
      <c r="G22" s="15"/>
      <c r="H22" s="15"/>
      <c r="I22" s="15"/>
      <c r="J22" s="15"/>
      <c r="K22" s="15"/>
      <c r="L22" s="15"/>
      <c r="M22" s="15"/>
      <c r="N22" s="15"/>
      <c r="O22" s="15"/>
      <c r="P22" s="15"/>
      <c r="Q22" s="15"/>
      <c r="R22" s="15"/>
      <c r="S22" s="15"/>
      <c r="T22" s="15"/>
      <c r="U22" s="15"/>
      <c r="V22" s="15"/>
      <c r="W22" s="15"/>
      <c r="X22" s="15"/>
      <c r="Y22" s="15"/>
      <c r="Z22" s="15"/>
    </row>
    <row r="23" ht="17.25" customHeight="1">
      <c r="A23" s="24" t="s">
        <v>464</v>
      </c>
      <c r="B23" s="24" t="s">
        <v>2587</v>
      </c>
      <c r="C23" s="18" t="s">
        <v>2588</v>
      </c>
      <c r="D23" s="15"/>
      <c r="E23" s="15"/>
      <c r="F23" s="15"/>
      <c r="G23" s="15"/>
      <c r="H23" s="15"/>
      <c r="I23" s="15"/>
      <c r="J23" s="15"/>
      <c r="K23" s="15"/>
      <c r="L23" s="15"/>
      <c r="M23" s="15"/>
      <c r="N23" s="15"/>
      <c r="O23" s="15"/>
      <c r="P23" s="15"/>
      <c r="Q23" s="15"/>
      <c r="R23" s="15"/>
      <c r="S23" s="15"/>
      <c r="T23" s="15"/>
      <c r="U23" s="15"/>
      <c r="V23" s="15"/>
      <c r="W23" s="15"/>
      <c r="X23" s="15"/>
      <c r="Y23" s="15"/>
      <c r="Z23" s="15"/>
    </row>
    <row r="24" ht="17.25" customHeight="1">
      <c r="A24" s="44" t="s">
        <v>401</v>
      </c>
      <c r="B24" s="44" t="s">
        <v>2589</v>
      </c>
      <c r="C24" s="46"/>
      <c r="D24" s="15"/>
      <c r="E24" s="15"/>
      <c r="F24" s="15"/>
      <c r="G24" s="15"/>
      <c r="H24" s="15"/>
      <c r="I24" s="15"/>
      <c r="J24" s="15"/>
      <c r="K24" s="15"/>
      <c r="L24" s="15"/>
      <c r="M24" s="15"/>
      <c r="N24" s="15"/>
      <c r="O24" s="15"/>
      <c r="P24" s="15"/>
      <c r="Q24" s="15"/>
      <c r="R24" s="15"/>
      <c r="S24" s="15"/>
      <c r="T24" s="15"/>
      <c r="U24" s="15"/>
      <c r="V24" s="15"/>
      <c r="W24" s="15"/>
      <c r="X24" s="15"/>
      <c r="Y24" s="15"/>
      <c r="Z24" s="15"/>
    </row>
    <row r="25" ht="17.25" customHeight="1">
      <c r="A25" s="42" t="s">
        <v>2590</v>
      </c>
      <c r="B25" s="42" t="s">
        <v>2591</v>
      </c>
      <c r="C25" s="39" t="s">
        <v>564</v>
      </c>
      <c r="D25" s="15"/>
      <c r="E25" s="15"/>
      <c r="F25" s="15"/>
      <c r="G25" s="15"/>
      <c r="H25" s="15"/>
      <c r="I25" s="15"/>
      <c r="J25" s="15"/>
      <c r="K25" s="15"/>
      <c r="L25" s="15"/>
      <c r="M25" s="15"/>
      <c r="N25" s="15"/>
      <c r="O25" s="15"/>
      <c r="P25" s="15"/>
      <c r="Q25" s="15"/>
      <c r="R25" s="15"/>
      <c r="S25" s="15"/>
      <c r="T25" s="15"/>
      <c r="U25" s="15"/>
      <c r="V25" s="15"/>
      <c r="W25" s="15"/>
      <c r="X25" s="15"/>
      <c r="Y25" s="15"/>
      <c r="Z25" s="15"/>
    </row>
    <row r="26" ht="17.25" customHeight="1">
      <c r="A26" s="44" t="s">
        <v>2592</v>
      </c>
      <c r="B26" s="44" t="s">
        <v>2593</v>
      </c>
      <c r="C26" s="46"/>
      <c r="D26" s="15"/>
      <c r="E26" s="15"/>
      <c r="F26" s="15"/>
      <c r="G26" s="15"/>
      <c r="H26" s="15"/>
      <c r="I26" s="15"/>
      <c r="J26" s="15"/>
      <c r="K26" s="15"/>
      <c r="L26" s="15"/>
      <c r="M26" s="15"/>
      <c r="N26" s="15"/>
      <c r="O26" s="15"/>
      <c r="P26" s="15"/>
      <c r="Q26" s="15"/>
      <c r="R26" s="15"/>
      <c r="S26" s="15"/>
      <c r="T26" s="15"/>
      <c r="U26" s="15"/>
      <c r="V26" s="15"/>
      <c r="W26" s="15"/>
      <c r="X26" s="15"/>
      <c r="Y26" s="15"/>
      <c r="Z26" s="15"/>
    </row>
    <row r="27" ht="31.5" customHeight="1">
      <c r="A27" s="18" t="s">
        <v>2594</v>
      </c>
      <c r="B27" s="24" t="s">
        <v>2595</v>
      </c>
      <c r="C27" s="24" t="s">
        <v>1989</v>
      </c>
      <c r="D27" s="15"/>
      <c r="E27" s="15"/>
      <c r="F27" s="15"/>
      <c r="G27" s="15"/>
      <c r="H27" s="15"/>
      <c r="I27" s="15"/>
      <c r="J27" s="15"/>
      <c r="K27" s="15"/>
      <c r="L27" s="15"/>
      <c r="M27" s="15"/>
      <c r="N27" s="15"/>
      <c r="O27" s="15"/>
      <c r="P27" s="15"/>
      <c r="Q27" s="15"/>
      <c r="R27" s="15"/>
      <c r="S27" s="15"/>
      <c r="T27" s="15"/>
      <c r="U27" s="15"/>
      <c r="V27" s="15"/>
      <c r="W27" s="15"/>
      <c r="X27" s="15"/>
      <c r="Y27" s="15"/>
      <c r="Z27" s="15"/>
    </row>
    <row r="28" ht="31.5" customHeight="1">
      <c r="A28" s="42" t="s">
        <v>2598</v>
      </c>
      <c r="B28" s="42" t="s">
        <v>2599</v>
      </c>
      <c r="C28" s="39" t="s">
        <v>564</v>
      </c>
      <c r="D28" s="15"/>
      <c r="E28" s="15"/>
      <c r="F28" s="15"/>
      <c r="G28" s="15"/>
      <c r="H28" s="15"/>
      <c r="I28" s="15"/>
      <c r="J28" s="15"/>
      <c r="K28" s="15"/>
      <c r="L28" s="15"/>
      <c r="M28" s="15"/>
      <c r="N28" s="15"/>
      <c r="O28" s="15"/>
      <c r="P28" s="15"/>
      <c r="Q28" s="15"/>
      <c r="R28" s="15"/>
      <c r="S28" s="15"/>
      <c r="T28" s="15"/>
      <c r="U28" s="15"/>
      <c r="V28" s="15"/>
      <c r="W28" s="15"/>
      <c r="X28" s="15"/>
      <c r="Y28" s="15"/>
      <c r="Z28" s="15"/>
    </row>
    <row r="29" ht="17.25" customHeight="1">
      <c r="A29" s="44" t="s">
        <v>2602</v>
      </c>
      <c r="B29" s="44" t="s">
        <v>2603</v>
      </c>
      <c r="C29" s="46"/>
      <c r="D29" s="15"/>
      <c r="E29" s="15"/>
      <c r="F29" s="15"/>
      <c r="G29" s="15"/>
      <c r="H29" s="15"/>
      <c r="I29" s="15"/>
      <c r="J29" s="15"/>
      <c r="K29" s="15"/>
      <c r="L29" s="15"/>
      <c r="M29" s="15"/>
      <c r="N29" s="15"/>
      <c r="O29" s="15"/>
      <c r="P29" s="15"/>
      <c r="Q29" s="15"/>
      <c r="R29" s="15"/>
      <c r="S29" s="15"/>
      <c r="T29" s="15"/>
      <c r="U29" s="15"/>
      <c r="V29" s="15"/>
      <c r="W29" s="15"/>
      <c r="X29" s="15"/>
      <c r="Y29" s="15"/>
      <c r="Z29" s="15"/>
    </row>
    <row r="30" ht="17.25" customHeight="1">
      <c r="A30" s="44" t="s">
        <v>2607</v>
      </c>
      <c r="B30" s="44" t="s">
        <v>2609</v>
      </c>
      <c r="C30" s="46"/>
      <c r="D30" s="15"/>
      <c r="E30" s="15"/>
      <c r="F30" s="15"/>
      <c r="G30" s="15"/>
      <c r="H30" s="15"/>
      <c r="I30" s="15"/>
      <c r="J30" s="15"/>
      <c r="K30" s="15"/>
      <c r="L30" s="15"/>
      <c r="M30" s="15"/>
      <c r="N30" s="15"/>
      <c r="O30" s="15"/>
      <c r="P30" s="15"/>
      <c r="Q30" s="15"/>
      <c r="R30" s="15"/>
      <c r="S30" s="15"/>
      <c r="T30" s="15"/>
      <c r="U30" s="15"/>
      <c r="V30" s="15"/>
      <c r="W30" s="15"/>
      <c r="X30" s="15"/>
      <c r="Y30" s="15"/>
      <c r="Z30" s="15"/>
    </row>
    <row r="31" ht="17.25" customHeight="1">
      <c r="A31" s="39" t="s">
        <v>2612</v>
      </c>
      <c r="B31" s="42" t="s">
        <v>2613</v>
      </c>
      <c r="C31" s="39" t="s">
        <v>564</v>
      </c>
      <c r="D31" s="15"/>
      <c r="E31" s="15"/>
      <c r="F31" s="15"/>
      <c r="G31" s="15"/>
      <c r="H31" s="15"/>
      <c r="I31" s="15"/>
      <c r="J31" s="15"/>
      <c r="K31" s="15"/>
      <c r="L31" s="15"/>
      <c r="M31" s="15"/>
      <c r="N31" s="15"/>
      <c r="O31" s="15"/>
      <c r="P31" s="15"/>
      <c r="Q31" s="15"/>
      <c r="R31" s="15"/>
      <c r="S31" s="15"/>
      <c r="T31" s="15"/>
      <c r="U31" s="15"/>
      <c r="V31" s="15"/>
      <c r="W31" s="15"/>
      <c r="X31" s="15"/>
      <c r="Y31" s="15"/>
      <c r="Z31" s="15"/>
    </row>
    <row r="32" ht="45.0" customHeight="1">
      <c r="A32" s="202" t="s">
        <v>245</v>
      </c>
      <c r="B32" s="203" t="s">
        <v>2616</v>
      </c>
      <c r="C32" s="202" t="s">
        <v>2617</v>
      </c>
      <c r="D32" s="15"/>
      <c r="E32" s="15"/>
      <c r="F32" s="15"/>
      <c r="G32" s="15"/>
      <c r="H32" s="15"/>
      <c r="I32" s="15"/>
      <c r="J32" s="15"/>
      <c r="K32" s="15"/>
      <c r="L32" s="15"/>
      <c r="M32" s="15"/>
      <c r="N32" s="15"/>
      <c r="O32" s="15"/>
      <c r="P32" s="15"/>
      <c r="Q32" s="15"/>
      <c r="R32" s="15"/>
      <c r="S32" s="15"/>
      <c r="T32" s="15"/>
      <c r="U32" s="15"/>
      <c r="V32" s="15"/>
      <c r="W32" s="15"/>
      <c r="X32" s="15"/>
      <c r="Y32" s="15"/>
      <c r="Z32" s="15"/>
    </row>
    <row r="33" ht="17.25" customHeight="1">
      <c r="A33" s="46" t="s">
        <v>2620</v>
      </c>
      <c r="B33" s="44" t="s">
        <v>2621</v>
      </c>
      <c r="C33" s="46"/>
      <c r="D33" s="15"/>
      <c r="E33" s="15"/>
      <c r="F33" s="15"/>
      <c r="G33" s="15"/>
      <c r="H33" s="15"/>
      <c r="I33" s="15"/>
      <c r="J33" s="15"/>
      <c r="K33" s="15"/>
      <c r="L33" s="15"/>
      <c r="M33" s="15"/>
      <c r="N33" s="15"/>
      <c r="O33" s="15"/>
      <c r="P33" s="15"/>
      <c r="Q33" s="15"/>
      <c r="R33" s="15"/>
      <c r="S33" s="15"/>
      <c r="T33" s="15"/>
      <c r="U33" s="15"/>
      <c r="V33" s="15"/>
      <c r="W33" s="15"/>
      <c r="X33" s="15"/>
      <c r="Y33" s="15"/>
      <c r="Z33" s="15"/>
    </row>
    <row r="34" ht="31.5" customHeight="1">
      <c r="A34" s="24" t="s">
        <v>2624</v>
      </c>
      <c r="B34" s="24" t="s">
        <v>2626</v>
      </c>
      <c r="C34" s="24" t="s">
        <v>1989</v>
      </c>
      <c r="D34" s="15"/>
      <c r="E34" s="15"/>
      <c r="F34" s="15"/>
      <c r="G34" s="15"/>
      <c r="H34" s="15"/>
      <c r="I34" s="15"/>
      <c r="J34" s="15"/>
      <c r="K34" s="15"/>
      <c r="L34" s="15"/>
      <c r="M34" s="15"/>
      <c r="N34" s="15"/>
      <c r="O34" s="15"/>
      <c r="P34" s="15"/>
      <c r="Q34" s="15"/>
      <c r="R34" s="15"/>
      <c r="S34" s="15"/>
      <c r="T34" s="15"/>
      <c r="U34" s="15"/>
      <c r="V34" s="15"/>
      <c r="W34" s="15"/>
      <c r="X34" s="15"/>
      <c r="Y34" s="15"/>
      <c r="Z34" s="15"/>
    </row>
    <row r="35" ht="45.0" customHeight="1">
      <c r="A35" s="203" t="s">
        <v>2628</v>
      </c>
      <c r="B35" s="203" t="s">
        <v>2629</v>
      </c>
      <c r="C35" s="202" t="s">
        <v>2630</v>
      </c>
      <c r="D35" s="15"/>
      <c r="E35" s="15"/>
      <c r="F35" s="15"/>
      <c r="G35" s="15"/>
      <c r="H35" s="15"/>
      <c r="I35" s="15"/>
      <c r="J35" s="15"/>
      <c r="K35" s="15"/>
      <c r="L35" s="15"/>
      <c r="M35" s="15"/>
      <c r="N35" s="15"/>
      <c r="O35" s="15"/>
      <c r="P35" s="15"/>
      <c r="Q35" s="15"/>
      <c r="R35" s="15"/>
      <c r="S35" s="15"/>
      <c r="T35" s="15"/>
      <c r="U35" s="15"/>
      <c r="V35" s="15"/>
      <c r="W35" s="15"/>
      <c r="X35" s="15"/>
      <c r="Y35" s="15"/>
      <c r="Z35" s="15"/>
    </row>
    <row r="36" ht="45.0" customHeight="1">
      <c r="A36" s="203" t="s">
        <v>2631</v>
      </c>
      <c r="B36" s="203" t="s">
        <v>2632</v>
      </c>
      <c r="C36" s="202" t="s">
        <v>2630</v>
      </c>
      <c r="D36" s="15"/>
      <c r="E36" s="15"/>
      <c r="F36" s="15"/>
      <c r="G36" s="15"/>
      <c r="H36" s="15"/>
      <c r="I36" s="15"/>
      <c r="J36" s="15"/>
      <c r="K36" s="15"/>
      <c r="L36" s="15"/>
      <c r="M36" s="15"/>
      <c r="N36" s="15"/>
      <c r="O36" s="15"/>
      <c r="P36" s="15"/>
      <c r="Q36" s="15"/>
      <c r="R36" s="15"/>
      <c r="S36" s="15"/>
      <c r="T36" s="15"/>
      <c r="U36" s="15"/>
      <c r="V36" s="15"/>
      <c r="W36" s="15"/>
      <c r="X36" s="15"/>
      <c r="Y36" s="15"/>
      <c r="Z36" s="15"/>
    </row>
    <row r="37" ht="17.25" customHeight="1">
      <c r="A37" s="44" t="s">
        <v>534</v>
      </c>
      <c r="B37" s="44" t="s">
        <v>2633</v>
      </c>
      <c r="C37" s="44" t="s">
        <v>1989</v>
      </c>
      <c r="D37" s="15"/>
      <c r="E37" s="15"/>
      <c r="F37" s="15"/>
      <c r="G37" s="15"/>
      <c r="H37" s="15"/>
      <c r="I37" s="15"/>
      <c r="J37" s="15"/>
      <c r="K37" s="15"/>
      <c r="L37" s="15"/>
      <c r="M37" s="15"/>
      <c r="N37" s="15"/>
      <c r="O37" s="15"/>
      <c r="P37" s="15"/>
      <c r="Q37" s="15"/>
      <c r="R37" s="15"/>
      <c r="S37" s="15"/>
      <c r="T37" s="15"/>
      <c r="U37" s="15"/>
      <c r="V37" s="15"/>
      <c r="W37" s="15"/>
      <c r="X37" s="15"/>
      <c r="Y37" s="15"/>
      <c r="Z37" s="15"/>
    </row>
    <row r="38" ht="31.5" customHeight="1">
      <c r="A38" s="44" t="s">
        <v>2634</v>
      </c>
      <c r="B38" s="44" t="s">
        <v>2635</v>
      </c>
      <c r="C38" s="44" t="s">
        <v>1582</v>
      </c>
      <c r="D38" s="15"/>
      <c r="E38" s="15"/>
      <c r="F38" s="15"/>
      <c r="G38" s="15"/>
      <c r="H38" s="15"/>
      <c r="I38" s="15"/>
      <c r="J38" s="15"/>
      <c r="K38" s="15"/>
      <c r="L38" s="15"/>
      <c r="M38" s="15"/>
      <c r="N38" s="15"/>
      <c r="O38" s="15"/>
      <c r="P38" s="15"/>
      <c r="Q38" s="15"/>
      <c r="R38" s="15"/>
      <c r="S38" s="15"/>
      <c r="T38" s="15"/>
      <c r="U38" s="15"/>
      <c r="V38" s="15"/>
      <c r="W38" s="15"/>
      <c r="X38" s="15"/>
      <c r="Y38" s="15"/>
      <c r="Z38" s="15"/>
    </row>
    <row r="39" ht="45.0" customHeight="1">
      <c r="A39" s="203" t="s">
        <v>2636</v>
      </c>
      <c r="B39" s="203" t="s">
        <v>2637</v>
      </c>
      <c r="C39" s="202" t="s">
        <v>2638</v>
      </c>
      <c r="D39" s="15"/>
      <c r="E39" s="15"/>
      <c r="F39" s="15"/>
      <c r="G39" s="15"/>
      <c r="H39" s="15"/>
      <c r="I39" s="15"/>
      <c r="J39" s="15"/>
      <c r="K39" s="15"/>
      <c r="L39" s="15"/>
      <c r="M39" s="15"/>
      <c r="N39" s="15"/>
      <c r="O39" s="15"/>
      <c r="P39" s="15"/>
      <c r="Q39" s="15"/>
      <c r="R39" s="15"/>
      <c r="S39" s="15"/>
      <c r="T39" s="15"/>
      <c r="U39" s="15"/>
      <c r="V39" s="15"/>
      <c r="W39" s="15"/>
      <c r="X39" s="15"/>
      <c r="Y39" s="15"/>
      <c r="Z39" s="15"/>
    </row>
    <row r="40" ht="17.25" customHeight="1">
      <c r="A40" s="44" t="s">
        <v>2639</v>
      </c>
      <c r="B40" s="44" t="s">
        <v>2640</v>
      </c>
      <c r="C40" s="44" t="s">
        <v>1989</v>
      </c>
      <c r="D40" s="15"/>
      <c r="E40" s="15"/>
      <c r="F40" s="15"/>
      <c r="G40" s="15"/>
      <c r="H40" s="15"/>
      <c r="I40" s="15"/>
      <c r="J40" s="15"/>
      <c r="K40" s="15"/>
      <c r="L40" s="15"/>
      <c r="M40" s="15"/>
      <c r="N40" s="15"/>
      <c r="O40" s="15"/>
      <c r="P40" s="15"/>
      <c r="Q40" s="15"/>
      <c r="R40" s="15"/>
      <c r="S40" s="15"/>
      <c r="T40" s="15"/>
      <c r="U40" s="15"/>
      <c r="V40" s="15"/>
      <c r="W40" s="15"/>
      <c r="X40" s="15"/>
      <c r="Y40" s="15"/>
      <c r="Z40" s="15"/>
    </row>
    <row r="41" ht="31.5" customHeight="1">
      <c r="A41" s="44" t="s">
        <v>2641</v>
      </c>
      <c r="B41" s="44" t="s">
        <v>2642</v>
      </c>
      <c r="C41" s="44" t="s">
        <v>1582</v>
      </c>
      <c r="D41" s="15"/>
      <c r="E41" s="15"/>
      <c r="F41" s="15"/>
      <c r="G41" s="15"/>
      <c r="H41" s="15"/>
      <c r="I41" s="15"/>
      <c r="J41" s="15"/>
      <c r="K41" s="15"/>
      <c r="L41" s="15"/>
      <c r="M41" s="15"/>
      <c r="N41" s="15"/>
      <c r="O41" s="15"/>
      <c r="P41" s="15"/>
      <c r="Q41" s="15"/>
      <c r="R41" s="15"/>
      <c r="S41" s="15"/>
      <c r="T41" s="15"/>
      <c r="U41" s="15"/>
      <c r="V41" s="15"/>
      <c r="W41" s="15"/>
      <c r="X41" s="15"/>
      <c r="Y41" s="15"/>
      <c r="Z41" s="15"/>
    </row>
    <row r="42" ht="17.25" customHeight="1">
      <c r="A42" s="44" t="s">
        <v>2643</v>
      </c>
      <c r="B42" s="46" t="s">
        <v>2644</v>
      </c>
      <c r="C42" s="44" t="s">
        <v>1582</v>
      </c>
      <c r="D42" s="15"/>
      <c r="E42" s="15"/>
      <c r="F42" s="15"/>
      <c r="G42" s="15"/>
      <c r="H42" s="15"/>
      <c r="I42" s="15"/>
      <c r="J42" s="15"/>
      <c r="K42" s="15"/>
      <c r="L42" s="15"/>
      <c r="M42" s="15"/>
      <c r="N42" s="15"/>
      <c r="O42" s="15"/>
      <c r="P42" s="15"/>
      <c r="Q42" s="15"/>
      <c r="R42" s="15"/>
      <c r="S42" s="15"/>
      <c r="T42" s="15"/>
      <c r="U42" s="15"/>
      <c r="V42" s="15"/>
      <c r="W42" s="15"/>
      <c r="X42" s="15"/>
      <c r="Y42" s="15"/>
      <c r="Z42" s="15"/>
    </row>
    <row r="43" ht="17.25" customHeight="1">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ht="17.25" customHeight="1">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ht="31.5" customHeight="1">
      <c r="A45" s="24" t="s">
        <v>2645</v>
      </c>
      <c r="B45" s="24" t="s">
        <v>2646</v>
      </c>
      <c r="C45" s="24" t="s">
        <v>1582</v>
      </c>
      <c r="D45" s="15"/>
      <c r="E45" s="15"/>
      <c r="F45" s="15"/>
      <c r="G45" s="15"/>
      <c r="H45" s="15"/>
      <c r="I45" s="15"/>
      <c r="J45" s="15"/>
      <c r="K45" s="15"/>
      <c r="L45" s="15"/>
      <c r="M45" s="15"/>
      <c r="N45" s="15"/>
      <c r="O45" s="15"/>
      <c r="P45" s="15"/>
      <c r="Q45" s="15"/>
      <c r="R45" s="15"/>
      <c r="S45" s="15"/>
      <c r="T45" s="15"/>
      <c r="U45" s="15"/>
      <c r="V45" s="15"/>
      <c r="W45" s="15"/>
      <c r="X45" s="15"/>
      <c r="Y45" s="15"/>
      <c r="Z45" s="15"/>
    </row>
    <row r="46" ht="17.25" customHeight="1">
      <c r="A46" s="24" t="s">
        <v>2647</v>
      </c>
      <c r="B46" s="24" t="s">
        <v>2648</v>
      </c>
      <c r="C46" s="24" t="s">
        <v>1582</v>
      </c>
      <c r="D46" s="15"/>
      <c r="E46" s="15"/>
      <c r="F46" s="15"/>
      <c r="G46" s="15"/>
      <c r="H46" s="15"/>
      <c r="I46" s="15"/>
      <c r="J46" s="15"/>
      <c r="K46" s="15"/>
      <c r="L46" s="15"/>
      <c r="M46" s="15"/>
      <c r="N46" s="15"/>
      <c r="O46" s="15"/>
      <c r="P46" s="15"/>
      <c r="Q46" s="15"/>
      <c r="R46" s="15"/>
      <c r="S46" s="15"/>
      <c r="T46" s="15"/>
      <c r="U46" s="15"/>
      <c r="V46" s="15"/>
      <c r="W46" s="15"/>
      <c r="X46" s="15"/>
      <c r="Y46" s="15"/>
      <c r="Z46" s="15"/>
    </row>
    <row r="47" ht="31.5" customHeight="1">
      <c r="A47" s="24" t="s">
        <v>2649</v>
      </c>
      <c r="B47" s="24" t="s">
        <v>2650</v>
      </c>
      <c r="C47" s="24" t="s">
        <v>1582</v>
      </c>
      <c r="D47" s="15"/>
      <c r="E47" s="15"/>
      <c r="F47" s="15"/>
      <c r="G47" s="15"/>
      <c r="H47" s="15"/>
      <c r="I47" s="15"/>
      <c r="J47" s="15"/>
      <c r="K47" s="15"/>
      <c r="L47" s="15"/>
      <c r="M47" s="15"/>
      <c r="N47" s="15"/>
      <c r="O47" s="15"/>
      <c r="P47" s="15"/>
      <c r="Q47" s="15"/>
      <c r="R47" s="15"/>
      <c r="S47" s="15"/>
      <c r="T47" s="15"/>
      <c r="U47" s="15"/>
      <c r="V47" s="15"/>
      <c r="W47" s="15"/>
      <c r="X47" s="15"/>
      <c r="Y47" s="15"/>
      <c r="Z47" s="15"/>
    </row>
    <row r="48" ht="45.0" customHeight="1">
      <c r="A48" s="50" t="s">
        <v>2651</v>
      </c>
      <c r="B48" s="50" t="s">
        <v>2652</v>
      </c>
      <c r="C48" s="48" t="s">
        <v>2653</v>
      </c>
      <c r="D48" s="15"/>
      <c r="E48" s="15"/>
      <c r="F48" s="15"/>
      <c r="G48" s="15"/>
      <c r="H48" s="15"/>
      <c r="I48" s="15"/>
      <c r="J48" s="15"/>
      <c r="K48" s="15"/>
      <c r="L48" s="15"/>
      <c r="M48" s="15"/>
      <c r="N48" s="15"/>
      <c r="O48" s="15"/>
      <c r="P48" s="15"/>
      <c r="Q48" s="15"/>
      <c r="R48" s="15"/>
      <c r="S48" s="15"/>
      <c r="T48" s="15"/>
      <c r="U48" s="15"/>
      <c r="V48" s="15"/>
      <c r="W48" s="15"/>
      <c r="X48" s="15"/>
      <c r="Y48" s="15"/>
      <c r="Z48" s="15"/>
    </row>
    <row r="49" ht="45.0" customHeight="1">
      <c r="A49" s="50" t="s">
        <v>2654</v>
      </c>
      <c r="B49" s="50" t="s">
        <v>2655</v>
      </c>
      <c r="C49" s="48" t="s">
        <v>2653</v>
      </c>
      <c r="D49" s="15"/>
      <c r="E49" s="15"/>
      <c r="F49" s="15"/>
      <c r="G49" s="15"/>
      <c r="H49" s="15"/>
      <c r="I49" s="15"/>
      <c r="J49" s="15"/>
      <c r="K49" s="15"/>
      <c r="L49" s="15"/>
      <c r="M49" s="15"/>
      <c r="N49" s="15"/>
      <c r="O49" s="15"/>
      <c r="P49" s="15"/>
      <c r="Q49" s="15"/>
      <c r="R49" s="15"/>
      <c r="S49" s="15"/>
      <c r="T49" s="15"/>
      <c r="U49" s="15"/>
      <c r="V49" s="15"/>
      <c r="W49" s="15"/>
      <c r="X49" s="15"/>
      <c r="Y49" s="15"/>
      <c r="Z49" s="15"/>
    </row>
    <row r="50" ht="31.5" customHeight="1">
      <c r="A50" s="50" t="s">
        <v>2656</v>
      </c>
      <c r="B50" s="50" t="s">
        <v>2657</v>
      </c>
      <c r="C50" s="50" t="s">
        <v>2579</v>
      </c>
      <c r="D50" s="15"/>
      <c r="E50" s="15"/>
      <c r="F50" s="15"/>
      <c r="G50" s="15"/>
      <c r="H50" s="15"/>
      <c r="I50" s="15"/>
      <c r="J50" s="15"/>
      <c r="K50" s="15"/>
      <c r="L50" s="15"/>
      <c r="M50" s="15"/>
      <c r="N50" s="15"/>
      <c r="O50" s="15"/>
      <c r="P50" s="15"/>
      <c r="Q50" s="15"/>
      <c r="R50" s="15"/>
      <c r="S50" s="15"/>
      <c r="T50" s="15"/>
      <c r="U50" s="15"/>
      <c r="V50" s="15"/>
      <c r="W50" s="15"/>
      <c r="X50" s="15"/>
      <c r="Y50" s="15"/>
      <c r="Z50" s="15"/>
    </row>
    <row r="51" ht="45.0" customHeight="1">
      <c r="A51" s="24" t="s">
        <v>2658</v>
      </c>
      <c r="B51" s="24" t="s">
        <v>2659</v>
      </c>
      <c r="C51" s="18" t="s">
        <v>2660</v>
      </c>
      <c r="D51" s="15"/>
      <c r="E51" s="15"/>
      <c r="F51" s="15"/>
      <c r="G51" s="15"/>
      <c r="H51" s="15"/>
      <c r="I51" s="15"/>
      <c r="J51" s="15"/>
      <c r="K51" s="15"/>
      <c r="L51" s="15"/>
      <c r="M51" s="15"/>
      <c r="N51" s="15"/>
      <c r="O51" s="15"/>
      <c r="P51" s="15"/>
      <c r="Q51" s="15"/>
      <c r="R51" s="15"/>
      <c r="S51" s="15"/>
      <c r="T51" s="15"/>
      <c r="U51" s="15"/>
      <c r="V51" s="15"/>
      <c r="W51" s="15"/>
      <c r="X51" s="15"/>
      <c r="Y51" s="15"/>
      <c r="Z51" s="15"/>
    </row>
    <row r="52" ht="31.5" customHeight="1">
      <c r="A52" s="24" t="s">
        <v>2661</v>
      </c>
      <c r="B52" s="24" t="s">
        <v>2662</v>
      </c>
      <c r="C52" s="24" t="s">
        <v>1582</v>
      </c>
      <c r="D52" s="15"/>
      <c r="E52" s="15"/>
      <c r="F52" s="15"/>
      <c r="G52" s="15"/>
      <c r="H52" s="15"/>
      <c r="I52" s="15"/>
      <c r="J52" s="15"/>
      <c r="K52" s="15"/>
      <c r="L52" s="15"/>
      <c r="M52" s="15"/>
      <c r="N52" s="15"/>
      <c r="O52" s="15"/>
      <c r="P52" s="15"/>
      <c r="Q52" s="15"/>
      <c r="R52" s="15"/>
      <c r="S52" s="15"/>
      <c r="T52" s="15"/>
      <c r="U52" s="15"/>
      <c r="V52" s="15"/>
      <c r="W52" s="15"/>
      <c r="X52" s="15"/>
      <c r="Y52" s="15"/>
      <c r="Z52" s="15"/>
    </row>
    <row r="53" ht="100.5" customHeight="1">
      <c r="A53" s="55" t="s">
        <v>2663</v>
      </c>
      <c r="B53" s="55" t="s">
        <v>2664</v>
      </c>
      <c r="C53" s="55" t="s">
        <v>2665</v>
      </c>
      <c r="D53" s="15"/>
      <c r="E53" s="15"/>
      <c r="F53" s="15"/>
      <c r="G53" s="15"/>
      <c r="H53" s="15"/>
      <c r="I53" s="15"/>
      <c r="J53" s="15"/>
      <c r="K53" s="15"/>
      <c r="L53" s="15"/>
      <c r="M53" s="15"/>
      <c r="N53" s="15"/>
      <c r="O53" s="15"/>
      <c r="P53" s="15"/>
      <c r="Q53" s="15"/>
      <c r="R53" s="15"/>
      <c r="S53" s="15"/>
      <c r="T53" s="15"/>
      <c r="U53" s="15"/>
      <c r="V53" s="15"/>
      <c r="W53" s="15"/>
      <c r="X53" s="15"/>
      <c r="Y53" s="15"/>
      <c r="Z53" s="15"/>
    </row>
    <row r="54" ht="31.5" customHeight="1">
      <c r="A54" s="24" t="s">
        <v>2666</v>
      </c>
      <c r="B54" s="24" t="s">
        <v>2667</v>
      </c>
      <c r="C54" s="24" t="s">
        <v>1582</v>
      </c>
      <c r="D54" s="15"/>
      <c r="E54" s="15"/>
      <c r="F54" s="15"/>
      <c r="G54" s="15"/>
      <c r="H54" s="15"/>
      <c r="I54" s="15"/>
      <c r="J54" s="15"/>
      <c r="K54" s="15"/>
      <c r="L54" s="15"/>
      <c r="M54" s="15"/>
      <c r="N54" s="15"/>
      <c r="O54" s="15"/>
      <c r="P54" s="15"/>
      <c r="Q54" s="15"/>
      <c r="R54" s="15"/>
      <c r="S54" s="15"/>
      <c r="T54" s="15"/>
      <c r="U54" s="15"/>
      <c r="V54" s="15"/>
      <c r="W54" s="15"/>
      <c r="X54" s="15"/>
      <c r="Y54" s="15"/>
      <c r="Z54" s="15"/>
    </row>
    <row r="55" ht="31.5" customHeight="1">
      <c r="A55" s="24" t="s">
        <v>2668</v>
      </c>
      <c r="B55" s="24" t="s">
        <v>2669</v>
      </c>
      <c r="C55" s="24" t="s">
        <v>1582</v>
      </c>
      <c r="D55" s="15"/>
      <c r="E55" s="15"/>
      <c r="F55" s="15"/>
      <c r="G55" s="15"/>
      <c r="H55" s="15"/>
      <c r="I55" s="15"/>
      <c r="J55" s="15"/>
      <c r="K55" s="15"/>
      <c r="L55" s="15"/>
      <c r="M55" s="15"/>
      <c r="N55" s="15"/>
      <c r="O55" s="15"/>
      <c r="P55" s="15"/>
      <c r="Q55" s="15"/>
      <c r="R55" s="15"/>
      <c r="S55" s="15"/>
      <c r="T55" s="15"/>
      <c r="U55" s="15"/>
      <c r="V55" s="15"/>
      <c r="W55" s="15"/>
      <c r="X55" s="15"/>
      <c r="Y55" s="15"/>
      <c r="Z55" s="15"/>
    </row>
    <row r="56" ht="58.5" customHeight="1">
      <c r="A56" s="55" t="s">
        <v>2670</v>
      </c>
      <c r="B56" s="55" t="s">
        <v>2671</v>
      </c>
      <c r="C56" s="55" t="s">
        <v>2672</v>
      </c>
      <c r="D56" s="15"/>
      <c r="E56" s="15"/>
      <c r="F56" s="15"/>
      <c r="G56" s="15"/>
      <c r="H56" s="15"/>
      <c r="I56" s="15"/>
      <c r="J56" s="15"/>
      <c r="K56" s="15"/>
      <c r="L56" s="15"/>
      <c r="M56" s="15"/>
      <c r="N56" s="15"/>
      <c r="O56" s="15"/>
      <c r="P56" s="15"/>
      <c r="Q56" s="15"/>
      <c r="R56" s="15"/>
      <c r="S56" s="15"/>
      <c r="T56" s="15"/>
      <c r="U56" s="15"/>
      <c r="V56" s="15"/>
      <c r="W56" s="15"/>
      <c r="X56" s="15"/>
      <c r="Y56" s="15"/>
      <c r="Z56" s="15"/>
    </row>
    <row r="57" ht="45.0" customHeight="1">
      <c r="A57" s="59" t="s">
        <v>2673</v>
      </c>
      <c r="B57" s="59" t="s">
        <v>2674</v>
      </c>
      <c r="C57" s="59" t="s">
        <v>2422</v>
      </c>
      <c r="D57" s="15"/>
      <c r="E57" s="15"/>
      <c r="F57" s="15"/>
      <c r="G57" s="15"/>
      <c r="H57" s="15"/>
      <c r="I57" s="15"/>
      <c r="J57" s="15"/>
      <c r="K57" s="15"/>
      <c r="L57" s="15"/>
      <c r="M57" s="15"/>
      <c r="N57" s="15"/>
      <c r="O57" s="15"/>
      <c r="P57" s="15"/>
      <c r="Q57" s="15"/>
      <c r="R57" s="15"/>
      <c r="S57" s="15"/>
      <c r="T57" s="15"/>
      <c r="U57" s="15"/>
      <c r="V57" s="15"/>
      <c r="W57" s="15"/>
      <c r="X57" s="15"/>
      <c r="Y57" s="15"/>
      <c r="Z57" s="15"/>
    </row>
    <row r="58" ht="45.0" customHeight="1">
      <c r="A58" s="59" t="s">
        <v>2675</v>
      </c>
      <c r="B58" s="59" t="s">
        <v>2676</v>
      </c>
      <c r="C58" s="59" t="s">
        <v>2422</v>
      </c>
      <c r="D58" s="15"/>
      <c r="E58" s="15"/>
      <c r="F58" s="15"/>
      <c r="G58" s="15"/>
      <c r="H58" s="15"/>
      <c r="I58" s="15"/>
      <c r="J58" s="15"/>
      <c r="K58" s="15"/>
      <c r="L58" s="15"/>
      <c r="M58" s="15"/>
      <c r="N58" s="15"/>
      <c r="O58" s="15"/>
      <c r="P58" s="15"/>
      <c r="Q58" s="15"/>
      <c r="R58" s="15"/>
      <c r="S58" s="15"/>
      <c r="T58" s="15"/>
      <c r="U58" s="15"/>
      <c r="V58" s="15"/>
      <c r="W58" s="15"/>
      <c r="X58" s="15"/>
      <c r="Y58" s="15"/>
      <c r="Z58" s="15"/>
    </row>
    <row r="59" ht="31.5" customHeight="1">
      <c r="A59" s="62" t="s">
        <v>2677</v>
      </c>
      <c r="B59" s="62" t="s">
        <v>2678</v>
      </c>
      <c r="C59" s="61" t="s">
        <v>947</v>
      </c>
      <c r="D59" s="15"/>
      <c r="E59" s="15"/>
      <c r="F59" s="15"/>
      <c r="G59" s="15"/>
      <c r="H59" s="15"/>
      <c r="I59" s="15"/>
      <c r="J59" s="15"/>
      <c r="K59" s="15"/>
      <c r="L59" s="15"/>
      <c r="M59" s="15"/>
      <c r="N59" s="15"/>
      <c r="O59" s="15"/>
      <c r="P59" s="15"/>
      <c r="Q59" s="15"/>
      <c r="R59" s="15"/>
      <c r="S59" s="15"/>
      <c r="T59" s="15"/>
      <c r="U59" s="15"/>
      <c r="V59" s="15"/>
      <c r="W59" s="15"/>
      <c r="X59" s="15"/>
      <c r="Y59" s="15"/>
      <c r="Z59" s="15"/>
    </row>
    <row r="60" ht="17.25" customHeight="1">
      <c r="A60" s="62" t="s">
        <v>2679</v>
      </c>
      <c r="B60" s="62" t="s">
        <v>2680</v>
      </c>
      <c r="C60" s="61" t="s">
        <v>947</v>
      </c>
      <c r="D60" s="15"/>
      <c r="E60" s="15"/>
      <c r="F60" s="15"/>
      <c r="G60" s="15"/>
      <c r="H60" s="15"/>
      <c r="I60" s="15"/>
      <c r="J60" s="15"/>
      <c r="K60" s="15"/>
      <c r="L60" s="15"/>
      <c r="M60" s="15"/>
      <c r="N60" s="15"/>
      <c r="O60" s="15"/>
      <c r="P60" s="15"/>
      <c r="Q60" s="15"/>
      <c r="R60" s="15"/>
      <c r="S60" s="15"/>
      <c r="T60" s="15"/>
      <c r="U60" s="15"/>
      <c r="V60" s="15"/>
      <c r="W60" s="15"/>
      <c r="X60" s="15"/>
      <c r="Y60" s="15"/>
      <c r="Z60" s="15"/>
    </row>
    <row r="61" ht="17.25" customHeight="1">
      <c r="A61" s="62" t="s">
        <v>2681</v>
      </c>
      <c r="B61" s="62" t="s">
        <v>2682</v>
      </c>
      <c r="C61" s="61" t="s">
        <v>947</v>
      </c>
      <c r="D61" s="15"/>
      <c r="E61" s="15"/>
      <c r="F61" s="15"/>
      <c r="G61" s="15"/>
      <c r="H61" s="15"/>
      <c r="I61" s="15"/>
      <c r="J61" s="15"/>
      <c r="K61" s="15"/>
      <c r="L61" s="15"/>
      <c r="M61" s="15"/>
      <c r="N61" s="15"/>
      <c r="O61" s="15"/>
      <c r="P61" s="15"/>
      <c r="Q61" s="15"/>
      <c r="R61" s="15"/>
      <c r="S61" s="15"/>
      <c r="T61" s="15"/>
      <c r="U61" s="15"/>
      <c r="V61" s="15"/>
      <c r="W61" s="15"/>
      <c r="X61" s="15"/>
      <c r="Y61" s="15"/>
      <c r="Z61" s="15"/>
    </row>
    <row r="62" ht="17.25" customHeight="1">
      <c r="A62" s="62" t="s">
        <v>2683</v>
      </c>
      <c r="B62" s="62" t="s">
        <v>2684</v>
      </c>
      <c r="C62" s="61" t="s">
        <v>947</v>
      </c>
      <c r="D62" s="15"/>
      <c r="E62" s="15"/>
      <c r="F62" s="15"/>
      <c r="G62" s="15"/>
      <c r="H62" s="15"/>
      <c r="I62" s="15"/>
      <c r="J62" s="15"/>
      <c r="K62" s="15"/>
      <c r="L62" s="15"/>
      <c r="M62" s="15"/>
      <c r="N62" s="15"/>
      <c r="O62" s="15"/>
      <c r="P62" s="15"/>
      <c r="Q62" s="15"/>
      <c r="R62" s="15"/>
      <c r="S62" s="15"/>
      <c r="T62" s="15"/>
      <c r="U62" s="15"/>
      <c r="V62" s="15"/>
      <c r="W62" s="15"/>
      <c r="X62" s="15"/>
      <c r="Y62" s="15"/>
      <c r="Z62" s="15"/>
    </row>
    <row r="63" ht="31.5" customHeight="1">
      <c r="A63" s="62" t="s">
        <v>2685</v>
      </c>
      <c r="B63" s="62" t="s">
        <v>2686</v>
      </c>
      <c r="C63" s="61" t="s">
        <v>947</v>
      </c>
      <c r="D63" s="15"/>
      <c r="E63" s="15"/>
      <c r="F63" s="15"/>
      <c r="G63" s="15"/>
      <c r="H63" s="15"/>
      <c r="I63" s="15"/>
      <c r="J63" s="15"/>
      <c r="K63" s="15"/>
      <c r="L63" s="15"/>
      <c r="M63" s="15"/>
      <c r="N63" s="15"/>
      <c r="O63" s="15"/>
      <c r="P63" s="15"/>
      <c r="Q63" s="15"/>
      <c r="R63" s="15"/>
      <c r="S63" s="15"/>
      <c r="T63" s="15"/>
      <c r="U63" s="15"/>
      <c r="V63" s="15"/>
      <c r="W63" s="15"/>
      <c r="X63" s="15"/>
      <c r="Y63" s="15"/>
      <c r="Z63" s="15"/>
    </row>
    <row r="64" ht="31.5" customHeight="1">
      <c r="A64" s="62" t="s">
        <v>443</v>
      </c>
      <c r="B64" s="62" t="s">
        <v>2687</v>
      </c>
      <c r="C64" s="61" t="s">
        <v>947</v>
      </c>
      <c r="D64" s="15"/>
      <c r="E64" s="15"/>
      <c r="F64" s="15"/>
      <c r="G64" s="15"/>
      <c r="H64" s="15"/>
      <c r="I64" s="15"/>
      <c r="J64" s="15"/>
      <c r="K64" s="15"/>
      <c r="L64" s="15"/>
      <c r="M64" s="15"/>
      <c r="N64" s="15"/>
      <c r="O64" s="15"/>
      <c r="P64" s="15"/>
      <c r="Q64" s="15"/>
      <c r="R64" s="15"/>
      <c r="S64" s="15"/>
      <c r="T64" s="15"/>
      <c r="U64" s="15"/>
      <c r="V64" s="15"/>
      <c r="W64" s="15"/>
      <c r="X64" s="15"/>
      <c r="Y64" s="15"/>
      <c r="Z64" s="15"/>
    </row>
    <row r="65" ht="31.5" customHeight="1">
      <c r="A65" s="62" t="s">
        <v>451</v>
      </c>
      <c r="B65" s="62" t="s">
        <v>2688</v>
      </c>
      <c r="C65" s="61" t="s">
        <v>947</v>
      </c>
      <c r="D65" s="15"/>
      <c r="E65" s="15"/>
      <c r="F65" s="15"/>
      <c r="G65" s="15"/>
      <c r="H65" s="15"/>
      <c r="I65" s="15"/>
      <c r="J65" s="15"/>
      <c r="K65" s="15"/>
      <c r="L65" s="15"/>
      <c r="M65" s="15"/>
      <c r="N65" s="15"/>
      <c r="O65" s="15"/>
      <c r="P65" s="15"/>
      <c r="Q65" s="15"/>
      <c r="R65" s="15"/>
      <c r="S65" s="15"/>
      <c r="T65" s="15"/>
      <c r="U65" s="15"/>
      <c r="V65" s="15"/>
      <c r="W65" s="15"/>
      <c r="X65" s="15"/>
      <c r="Y65" s="15"/>
      <c r="Z65" s="15"/>
    </row>
    <row r="66" ht="31.5" customHeight="1">
      <c r="A66" s="62" t="s">
        <v>430</v>
      </c>
      <c r="B66" s="62" t="s">
        <v>2689</v>
      </c>
      <c r="C66" s="61" t="s">
        <v>947</v>
      </c>
      <c r="D66" s="15"/>
      <c r="E66" s="15"/>
      <c r="F66" s="15"/>
      <c r="G66" s="15"/>
      <c r="H66" s="15"/>
      <c r="I66" s="15"/>
      <c r="J66" s="15"/>
      <c r="K66" s="15"/>
      <c r="L66" s="15"/>
      <c r="M66" s="15"/>
      <c r="N66" s="15"/>
      <c r="O66" s="15"/>
      <c r="P66" s="15"/>
      <c r="Q66" s="15"/>
      <c r="R66" s="15"/>
      <c r="S66" s="15"/>
      <c r="T66" s="15"/>
      <c r="U66" s="15"/>
      <c r="V66" s="15"/>
      <c r="W66" s="15"/>
      <c r="X66" s="15"/>
      <c r="Y66" s="15"/>
      <c r="Z66" s="15"/>
    </row>
    <row r="67" ht="31.5" customHeight="1">
      <c r="A67" s="62" t="s">
        <v>2690</v>
      </c>
      <c r="B67" s="62" t="s">
        <v>2691</v>
      </c>
      <c r="C67" s="61" t="s">
        <v>947</v>
      </c>
      <c r="D67" s="15"/>
      <c r="E67" s="15"/>
      <c r="F67" s="15"/>
      <c r="G67" s="15"/>
      <c r="H67" s="15"/>
      <c r="I67" s="15"/>
      <c r="J67" s="15"/>
      <c r="K67" s="15"/>
      <c r="L67" s="15"/>
      <c r="M67" s="15"/>
      <c r="N67" s="15"/>
      <c r="O67" s="15"/>
      <c r="P67" s="15"/>
      <c r="Q67" s="15"/>
      <c r="R67" s="15"/>
      <c r="S67" s="15"/>
      <c r="T67" s="15"/>
      <c r="U67" s="15"/>
      <c r="V67" s="15"/>
      <c r="W67" s="15"/>
      <c r="X67" s="15"/>
      <c r="Y67" s="15"/>
      <c r="Z67" s="15"/>
    </row>
    <row r="68" ht="17.25" customHeight="1">
      <c r="A68" s="62" t="s">
        <v>383</v>
      </c>
      <c r="B68" s="62" t="s">
        <v>2692</v>
      </c>
      <c r="C68" s="61" t="s">
        <v>947</v>
      </c>
      <c r="D68" s="15"/>
      <c r="E68" s="15"/>
      <c r="F68" s="15"/>
      <c r="G68" s="15"/>
      <c r="H68" s="15"/>
      <c r="I68" s="15"/>
      <c r="J68" s="15"/>
      <c r="K68" s="15"/>
      <c r="L68" s="15"/>
      <c r="M68" s="15"/>
      <c r="N68" s="15"/>
      <c r="O68" s="15"/>
      <c r="P68" s="15"/>
      <c r="Q68" s="15"/>
      <c r="R68" s="15"/>
      <c r="S68" s="15"/>
      <c r="T68" s="15"/>
      <c r="U68" s="15"/>
      <c r="V68" s="15"/>
      <c r="W68" s="15"/>
      <c r="X68" s="15"/>
      <c r="Y68" s="15"/>
      <c r="Z68" s="15"/>
    </row>
    <row r="69" ht="17.25" customHeight="1">
      <c r="A69" s="61" t="s">
        <v>618</v>
      </c>
      <c r="B69" s="62" t="s">
        <v>2693</v>
      </c>
      <c r="C69" s="61" t="s">
        <v>947</v>
      </c>
      <c r="D69" s="15"/>
      <c r="E69" s="15"/>
      <c r="F69" s="15"/>
      <c r="G69" s="15"/>
      <c r="H69" s="15"/>
      <c r="I69" s="15"/>
      <c r="J69" s="15"/>
      <c r="K69" s="15"/>
      <c r="L69" s="15"/>
      <c r="M69" s="15"/>
      <c r="N69" s="15"/>
      <c r="O69" s="15"/>
      <c r="P69" s="15"/>
      <c r="Q69" s="15"/>
      <c r="R69" s="15"/>
      <c r="S69" s="15"/>
      <c r="T69" s="15"/>
      <c r="U69" s="15"/>
      <c r="V69" s="15"/>
      <c r="W69" s="15"/>
      <c r="X69" s="15"/>
      <c r="Y69" s="15"/>
      <c r="Z69" s="15"/>
    </row>
    <row r="70" ht="17.25" customHeight="1">
      <c r="A70" s="61" t="s">
        <v>623</v>
      </c>
      <c r="B70" s="61" t="s">
        <v>2694</v>
      </c>
      <c r="C70" s="61" t="s">
        <v>947</v>
      </c>
      <c r="D70" s="15"/>
      <c r="E70" s="15"/>
      <c r="F70" s="15"/>
      <c r="G70" s="15"/>
      <c r="H70" s="15"/>
      <c r="I70" s="15"/>
      <c r="J70" s="15"/>
      <c r="K70" s="15"/>
      <c r="L70" s="15"/>
      <c r="M70" s="15"/>
      <c r="N70" s="15"/>
      <c r="O70" s="15"/>
      <c r="P70" s="15"/>
      <c r="Q70" s="15"/>
      <c r="R70" s="15"/>
      <c r="S70" s="15"/>
      <c r="T70" s="15"/>
      <c r="U70" s="15"/>
      <c r="V70" s="15"/>
      <c r="W70" s="15"/>
      <c r="X70" s="15"/>
      <c r="Y70" s="15"/>
      <c r="Z70" s="15"/>
    </row>
    <row r="71" ht="31.5" customHeight="1">
      <c r="A71" s="62" t="s">
        <v>2695</v>
      </c>
      <c r="B71" s="62" t="s">
        <v>2696</v>
      </c>
      <c r="C71" s="61" t="s">
        <v>947</v>
      </c>
      <c r="D71" s="15"/>
      <c r="E71" s="15"/>
      <c r="F71" s="15"/>
      <c r="G71" s="15"/>
      <c r="H71" s="15"/>
      <c r="I71" s="15"/>
      <c r="J71" s="15"/>
      <c r="K71" s="15"/>
      <c r="L71" s="15"/>
      <c r="M71" s="15"/>
      <c r="N71" s="15"/>
      <c r="O71" s="15"/>
      <c r="P71" s="15"/>
      <c r="Q71" s="15"/>
      <c r="R71" s="15"/>
      <c r="S71" s="15"/>
      <c r="T71" s="15"/>
      <c r="U71" s="15"/>
      <c r="V71" s="15"/>
      <c r="W71" s="15"/>
      <c r="X71" s="15"/>
      <c r="Y71" s="15"/>
      <c r="Z71" s="15"/>
    </row>
    <row r="72" ht="31.5" customHeight="1">
      <c r="A72" s="62" t="s">
        <v>2697</v>
      </c>
      <c r="B72" s="61" t="s">
        <v>2698</v>
      </c>
      <c r="C72" s="61" t="s">
        <v>947</v>
      </c>
      <c r="D72" s="15"/>
      <c r="E72" s="15"/>
      <c r="F72" s="15"/>
      <c r="G72" s="15"/>
      <c r="H72" s="15"/>
      <c r="I72" s="15"/>
      <c r="J72" s="15"/>
      <c r="K72" s="15"/>
      <c r="L72" s="15"/>
      <c r="M72" s="15"/>
      <c r="N72" s="15"/>
      <c r="O72" s="15"/>
      <c r="P72" s="15"/>
      <c r="Q72" s="15"/>
      <c r="R72" s="15"/>
      <c r="S72" s="15"/>
      <c r="T72" s="15"/>
      <c r="U72" s="15"/>
      <c r="V72" s="15"/>
      <c r="W72" s="15"/>
      <c r="X72" s="15"/>
      <c r="Y72" s="15"/>
      <c r="Z72" s="15"/>
    </row>
    <row r="73" ht="31.5" customHeight="1">
      <c r="A73" s="62" t="s">
        <v>2699</v>
      </c>
      <c r="B73" s="62" t="s">
        <v>2700</v>
      </c>
      <c r="C73" s="61" t="s">
        <v>947</v>
      </c>
      <c r="D73" s="15"/>
      <c r="E73" s="15"/>
      <c r="F73" s="15"/>
      <c r="G73" s="15"/>
      <c r="H73" s="15"/>
      <c r="I73" s="15"/>
      <c r="J73" s="15"/>
      <c r="K73" s="15"/>
      <c r="L73" s="15"/>
      <c r="M73" s="15"/>
      <c r="N73" s="15"/>
      <c r="O73" s="15"/>
      <c r="P73" s="15"/>
      <c r="Q73" s="15"/>
      <c r="R73" s="15"/>
      <c r="S73" s="15"/>
      <c r="T73" s="15"/>
      <c r="U73" s="15"/>
      <c r="V73" s="15"/>
      <c r="W73" s="15"/>
      <c r="X73" s="15"/>
      <c r="Y73" s="15"/>
      <c r="Z73" s="15"/>
    </row>
    <row r="74" ht="31.5" customHeight="1">
      <c r="A74" s="62" t="s">
        <v>2701</v>
      </c>
      <c r="B74" s="62" t="s">
        <v>2702</v>
      </c>
      <c r="C74" s="61" t="s">
        <v>2703</v>
      </c>
      <c r="D74" s="84"/>
      <c r="E74" s="84"/>
      <c r="F74" s="84"/>
      <c r="G74" s="84"/>
      <c r="H74" s="84"/>
      <c r="I74" s="84"/>
      <c r="J74" s="84"/>
      <c r="K74" s="84"/>
      <c r="L74" s="84"/>
      <c r="M74" s="84"/>
      <c r="N74" s="84"/>
      <c r="O74" s="84"/>
      <c r="P74" s="84"/>
      <c r="Q74" s="84"/>
      <c r="R74" s="84"/>
      <c r="S74" s="84"/>
      <c r="T74" s="84"/>
      <c r="U74" s="84"/>
      <c r="V74" s="84"/>
      <c r="W74" s="84"/>
      <c r="X74" s="84"/>
      <c r="Y74" s="84"/>
      <c r="Z74" s="84"/>
    </row>
    <row r="75" ht="31.5" customHeight="1">
      <c r="A75" s="62" t="s">
        <v>2704</v>
      </c>
      <c r="B75" s="62" t="s">
        <v>2705</v>
      </c>
      <c r="C75" s="61" t="s">
        <v>2531</v>
      </c>
      <c r="D75" s="84"/>
      <c r="E75" s="84"/>
      <c r="F75" s="84"/>
      <c r="G75" s="84"/>
      <c r="H75" s="84"/>
      <c r="I75" s="84"/>
      <c r="J75" s="84"/>
      <c r="K75" s="84"/>
      <c r="L75" s="84"/>
      <c r="M75" s="84"/>
      <c r="N75" s="84"/>
      <c r="O75" s="84"/>
      <c r="P75" s="84"/>
      <c r="Q75" s="84"/>
      <c r="R75" s="84"/>
      <c r="S75" s="84"/>
      <c r="T75" s="84"/>
      <c r="U75" s="84"/>
      <c r="V75" s="84"/>
      <c r="W75" s="84"/>
      <c r="X75" s="84"/>
      <c r="Y75" s="84"/>
      <c r="Z75" s="84"/>
    </row>
    <row r="76" ht="31.5" customHeight="1">
      <c r="A76" s="62" t="s">
        <v>2706</v>
      </c>
      <c r="B76" s="62" t="s">
        <v>2707</v>
      </c>
      <c r="C76" s="61" t="s">
        <v>2531</v>
      </c>
      <c r="D76" s="84"/>
      <c r="E76" s="84"/>
      <c r="F76" s="84"/>
      <c r="G76" s="84"/>
      <c r="H76" s="84"/>
      <c r="I76" s="84"/>
      <c r="J76" s="84"/>
      <c r="K76" s="84"/>
      <c r="L76" s="84"/>
      <c r="M76" s="84"/>
      <c r="N76" s="84"/>
      <c r="O76" s="84"/>
      <c r="P76" s="84"/>
      <c r="Q76" s="84"/>
      <c r="R76" s="84"/>
      <c r="S76" s="84"/>
      <c r="T76" s="84"/>
      <c r="U76" s="84"/>
      <c r="V76" s="84"/>
      <c r="W76" s="84"/>
      <c r="X76" s="84"/>
      <c r="Y76" s="84"/>
      <c r="Z76" s="84"/>
    </row>
    <row r="77" ht="31.5" customHeight="1">
      <c r="A77" s="62" t="s">
        <v>2708</v>
      </c>
      <c r="B77" s="62" t="s">
        <v>2709</v>
      </c>
      <c r="C77" s="61" t="s">
        <v>2531</v>
      </c>
      <c r="D77" s="84"/>
      <c r="E77" s="84"/>
      <c r="F77" s="84"/>
      <c r="G77" s="84"/>
      <c r="H77" s="84"/>
      <c r="I77" s="84"/>
      <c r="J77" s="84"/>
      <c r="K77" s="84"/>
      <c r="L77" s="84"/>
      <c r="M77" s="84"/>
      <c r="N77" s="84"/>
      <c r="O77" s="84"/>
      <c r="P77" s="84"/>
      <c r="Q77" s="84"/>
      <c r="R77" s="84"/>
      <c r="S77" s="84"/>
      <c r="T77" s="84"/>
      <c r="U77" s="84"/>
      <c r="V77" s="84"/>
      <c r="W77" s="84"/>
      <c r="X77" s="84"/>
      <c r="Y77" s="84"/>
      <c r="Z77" s="84"/>
    </row>
    <row r="78" ht="31.5" customHeight="1">
      <c r="A78" s="62" t="s">
        <v>2710</v>
      </c>
      <c r="B78" s="62" t="s">
        <v>2711</v>
      </c>
      <c r="C78" s="61" t="s">
        <v>2712</v>
      </c>
      <c r="D78" s="84"/>
      <c r="E78" s="84"/>
      <c r="F78" s="84"/>
      <c r="G78" s="84"/>
      <c r="H78" s="84"/>
      <c r="I78" s="84"/>
      <c r="J78" s="84"/>
      <c r="K78" s="84"/>
      <c r="L78" s="84"/>
      <c r="M78" s="84"/>
      <c r="N78" s="84"/>
      <c r="O78" s="84"/>
      <c r="P78" s="84"/>
      <c r="Q78" s="84"/>
      <c r="R78" s="84"/>
      <c r="S78" s="84"/>
      <c r="T78" s="84"/>
      <c r="U78" s="84"/>
      <c r="V78" s="84"/>
      <c r="W78" s="84"/>
      <c r="X78" s="84"/>
      <c r="Y78" s="84"/>
      <c r="Z78" s="84"/>
    </row>
    <row r="79" ht="15.75" customHeight="1">
      <c r="A79" s="84"/>
      <c r="B79" s="84"/>
      <c r="C79" s="84"/>
      <c r="D79" s="84"/>
      <c r="E79" s="84"/>
      <c r="F79" s="84"/>
      <c r="G79" s="84"/>
      <c r="H79" s="84"/>
      <c r="I79" s="84"/>
      <c r="J79" s="84"/>
      <c r="K79" s="84"/>
      <c r="L79" s="84"/>
      <c r="M79" s="84"/>
      <c r="N79" s="84"/>
      <c r="O79" s="84"/>
      <c r="P79" s="84"/>
      <c r="Q79" s="84"/>
      <c r="R79" s="84"/>
      <c r="S79" s="84"/>
      <c r="T79" s="84"/>
      <c r="U79" s="84"/>
      <c r="V79" s="84"/>
      <c r="W79" s="84"/>
      <c r="X79" s="84"/>
      <c r="Y79" s="84"/>
      <c r="Z79" s="84"/>
    </row>
    <row r="80" ht="15.75" customHeight="1">
      <c r="A80" s="84"/>
      <c r="B80" s="84"/>
      <c r="C80" s="84"/>
      <c r="D80" s="84"/>
      <c r="E80" s="84"/>
      <c r="F80" s="84"/>
      <c r="G80" s="84"/>
      <c r="H80" s="84"/>
      <c r="I80" s="84"/>
      <c r="J80" s="84"/>
      <c r="K80" s="84"/>
      <c r="L80" s="84"/>
      <c r="M80" s="84"/>
      <c r="N80" s="84"/>
      <c r="O80" s="84"/>
      <c r="P80" s="84"/>
      <c r="Q80" s="84"/>
      <c r="R80" s="84"/>
      <c r="S80" s="84"/>
      <c r="T80" s="84"/>
      <c r="U80" s="84"/>
      <c r="V80" s="84"/>
      <c r="W80" s="84"/>
      <c r="X80" s="84"/>
      <c r="Y80" s="84"/>
      <c r="Z80" s="84"/>
    </row>
    <row r="81" ht="15.75" customHeight="1">
      <c r="A81" s="84"/>
      <c r="B81" s="84"/>
      <c r="C81" s="84"/>
      <c r="D81" s="84"/>
      <c r="E81" s="84"/>
      <c r="F81" s="84"/>
      <c r="G81" s="84"/>
      <c r="H81" s="84"/>
      <c r="I81" s="84"/>
      <c r="J81" s="84"/>
      <c r="K81" s="84"/>
      <c r="L81" s="84"/>
      <c r="M81" s="84"/>
      <c r="N81" s="84"/>
      <c r="O81" s="84"/>
      <c r="P81" s="84"/>
      <c r="Q81" s="84"/>
      <c r="R81" s="84"/>
      <c r="S81" s="84"/>
      <c r="T81" s="84"/>
      <c r="U81" s="84"/>
      <c r="V81" s="84"/>
      <c r="W81" s="84"/>
      <c r="X81" s="84"/>
      <c r="Y81" s="84"/>
      <c r="Z81" s="84"/>
    </row>
    <row r="82" ht="15.75" customHeight="1">
      <c r="A82" s="84"/>
      <c r="B82" s="84"/>
      <c r="C82" s="84"/>
      <c r="D82" s="84"/>
      <c r="E82" s="84"/>
      <c r="F82" s="84"/>
      <c r="G82" s="84"/>
      <c r="H82" s="84"/>
      <c r="I82" s="84"/>
      <c r="J82" s="84"/>
      <c r="K82" s="84"/>
      <c r="L82" s="84"/>
      <c r="M82" s="84"/>
      <c r="N82" s="84"/>
      <c r="O82" s="84"/>
      <c r="P82" s="84"/>
      <c r="Q82" s="84"/>
      <c r="R82" s="84"/>
      <c r="S82" s="84"/>
      <c r="T82" s="84"/>
      <c r="U82" s="84"/>
      <c r="V82" s="84"/>
      <c r="W82" s="84"/>
      <c r="X82" s="84"/>
      <c r="Y82" s="84"/>
      <c r="Z82" s="84"/>
    </row>
    <row r="83" ht="15.75" customHeight="1">
      <c r="A83" s="84"/>
      <c r="B83" s="84"/>
      <c r="C83" s="84"/>
      <c r="D83" s="84"/>
      <c r="E83" s="84"/>
      <c r="F83" s="84"/>
      <c r="G83" s="84"/>
      <c r="H83" s="84"/>
      <c r="I83" s="84"/>
      <c r="J83" s="84"/>
      <c r="K83" s="84"/>
      <c r="L83" s="84"/>
      <c r="M83" s="84"/>
      <c r="N83" s="84"/>
      <c r="O83" s="84"/>
      <c r="P83" s="84"/>
      <c r="Q83" s="84"/>
      <c r="R83" s="84"/>
      <c r="S83" s="84"/>
      <c r="T83" s="84"/>
      <c r="U83" s="84"/>
      <c r="V83" s="84"/>
      <c r="W83" s="84"/>
      <c r="X83" s="84"/>
      <c r="Y83" s="84"/>
      <c r="Z83" s="84"/>
    </row>
    <row r="84" ht="15.75" customHeight="1">
      <c r="A84" s="84"/>
      <c r="B84" s="84"/>
      <c r="C84" s="84"/>
      <c r="D84" s="84"/>
      <c r="E84" s="84"/>
      <c r="F84" s="84"/>
      <c r="G84" s="84"/>
      <c r="H84" s="84"/>
      <c r="I84" s="84"/>
      <c r="J84" s="84"/>
      <c r="K84" s="84"/>
      <c r="L84" s="84"/>
      <c r="M84" s="84"/>
      <c r="N84" s="84"/>
      <c r="O84" s="84"/>
      <c r="P84" s="84"/>
      <c r="Q84" s="84"/>
      <c r="R84" s="84"/>
      <c r="S84" s="84"/>
      <c r="T84" s="84"/>
      <c r="U84" s="84"/>
      <c r="V84" s="84"/>
      <c r="W84" s="84"/>
      <c r="X84" s="84"/>
      <c r="Y84" s="84"/>
      <c r="Z84" s="84"/>
    </row>
    <row r="85" ht="15.75" customHeight="1">
      <c r="A85" s="84"/>
      <c r="B85" s="84"/>
      <c r="C85" s="84"/>
      <c r="D85" s="84"/>
      <c r="E85" s="84"/>
      <c r="F85" s="84"/>
      <c r="G85" s="84"/>
      <c r="H85" s="84"/>
      <c r="I85" s="84"/>
      <c r="J85" s="84"/>
      <c r="K85" s="84"/>
      <c r="L85" s="84"/>
      <c r="M85" s="84"/>
      <c r="N85" s="84"/>
      <c r="O85" s="84"/>
      <c r="P85" s="84"/>
      <c r="Q85" s="84"/>
      <c r="R85" s="84"/>
      <c r="S85" s="84"/>
      <c r="T85" s="84"/>
      <c r="U85" s="84"/>
      <c r="V85" s="84"/>
      <c r="W85" s="84"/>
      <c r="X85" s="84"/>
      <c r="Y85" s="84"/>
      <c r="Z85" s="84"/>
    </row>
    <row r="86" ht="15.75" customHeight="1">
      <c r="A86" s="84"/>
      <c r="B86" s="84"/>
      <c r="C86" s="84"/>
      <c r="D86" s="84"/>
      <c r="E86" s="84"/>
      <c r="F86" s="84"/>
      <c r="G86" s="84"/>
      <c r="H86" s="84"/>
      <c r="I86" s="84"/>
      <c r="J86" s="84"/>
      <c r="K86" s="84"/>
      <c r="L86" s="84"/>
      <c r="M86" s="84"/>
      <c r="N86" s="84"/>
      <c r="O86" s="84"/>
      <c r="P86" s="84"/>
      <c r="Q86" s="84"/>
      <c r="R86" s="84"/>
      <c r="S86" s="84"/>
      <c r="T86" s="84"/>
      <c r="U86" s="84"/>
      <c r="V86" s="84"/>
      <c r="W86" s="84"/>
      <c r="X86" s="84"/>
      <c r="Y86" s="84"/>
      <c r="Z86" s="84"/>
    </row>
    <row r="87" ht="15.75" customHeight="1">
      <c r="A87" s="84"/>
      <c r="B87" s="84"/>
      <c r="C87" s="84"/>
      <c r="D87" s="84"/>
      <c r="E87" s="84"/>
      <c r="F87" s="84"/>
      <c r="G87" s="84"/>
      <c r="H87" s="84"/>
      <c r="I87" s="84"/>
      <c r="J87" s="84"/>
      <c r="K87" s="84"/>
      <c r="L87" s="84"/>
      <c r="M87" s="84"/>
      <c r="N87" s="84"/>
      <c r="O87" s="84"/>
      <c r="P87" s="84"/>
      <c r="Q87" s="84"/>
      <c r="R87" s="84"/>
      <c r="S87" s="84"/>
      <c r="T87" s="84"/>
      <c r="U87" s="84"/>
      <c r="V87" s="84"/>
      <c r="W87" s="84"/>
      <c r="X87" s="84"/>
      <c r="Y87" s="84"/>
      <c r="Z87" s="84"/>
    </row>
    <row r="88" ht="15.75" customHeight="1">
      <c r="A88" s="84"/>
      <c r="B88" s="84"/>
      <c r="C88" s="84"/>
      <c r="D88" s="84"/>
      <c r="E88" s="84"/>
      <c r="F88" s="84"/>
      <c r="G88" s="84"/>
      <c r="H88" s="84"/>
      <c r="I88" s="84"/>
      <c r="J88" s="84"/>
      <c r="K88" s="84"/>
      <c r="L88" s="84"/>
      <c r="M88" s="84"/>
      <c r="N88" s="84"/>
      <c r="O88" s="84"/>
      <c r="P88" s="84"/>
      <c r="Q88" s="84"/>
      <c r="R88" s="84"/>
      <c r="S88" s="84"/>
      <c r="T88" s="84"/>
      <c r="U88" s="84"/>
      <c r="V88" s="84"/>
      <c r="W88" s="84"/>
      <c r="X88" s="84"/>
      <c r="Y88" s="84"/>
      <c r="Z88" s="84"/>
    </row>
    <row r="89" ht="15.75" customHeight="1">
      <c r="A89" s="84"/>
      <c r="B89" s="84"/>
      <c r="C89" s="84"/>
      <c r="D89" s="84"/>
      <c r="E89" s="84"/>
      <c r="F89" s="84"/>
      <c r="G89" s="84"/>
      <c r="H89" s="84"/>
      <c r="I89" s="84"/>
      <c r="J89" s="84"/>
      <c r="K89" s="84"/>
      <c r="L89" s="84"/>
      <c r="M89" s="84"/>
      <c r="N89" s="84"/>
      <c r="O89" s="84"/>
      <c r="P89" s="84"/>
      <c r="Q89" s="84"/>
      <c r="R89" s="84"/>
      <c r="S89" s="84"/>
      <c r="T89" s="84"/>
      <c r="U89" s="84"/>
      <c r="V89" s="84"/>
      <c r="W89" s="84"/>
      <c r="X89" s="84"/>
      <c r="Y89" s="84"/>
      <c r="Z89" s="84"/>
    </row>
    <row r="90" ht="15.75" customHeight="1">
      <c r="A90" s="84"/>
      <c r="B90" s="84"/>
      <c r="C90" s="84"/>
      <c r="D90" s="84"/>
      <c r="E90" s="84"/>
      <c r="F90" s="84"/>
      <c r="G90" s="84"/>
      <c r="H90" s="84"/>
      <c r="I90" s="84"/>
      <c r="J90" s="84"/>
      <c r="K90" s="84"/>
      <c r="L90" s="84"/>
      <c r="M90" s="84"/>
      <c r="N90" s="84"/>
      <c r="O90" s="84"/>
      <c r="P90" s="84"/>
      <c r="Q90" s="84"/>
      <c r="R90" s="84"/>
      <c r="S90" s="84"/>
      <c r="T90" s="84"/>
      <c r="U90" s="84"/>
      <c r="V90" s="84"/>
      <c r="W90" s="84"/>
      <c r="X90" s="84"/>
      <c r="Y90" s="84"/>
      <c r="Z90" s="84"/>
    </row>
    <row r="91" ht="15.75" customHeight="1">
      <c r="A91" s="84"/>
      <c r="B91" s="84"/>
      <c r="C91" s="84"/>
      <c r="D91" s="84"/>
      <c r="E91" s="84"/>
      <c r="F91" s="84"/>
      <c r="G91" s="84"/>
      <c r="H91" s="84"/>
      <c r="I91" s="84"/>
      <c r="J91" s="84"/>
      <c r="K91" s="84"/>
      <c r="L91" s="84"/>
      <c r="M91" s="84"/>
      <c r="N91" s="84"/>
      <c r="O91" s="84"/>
      <c r="P91" s="84"/>
      <c r="Q91" s="84"/>
      <c r="R91" s="84"/>
      <c r="S91" s="84"/>
      <c r="T91" s="84"/>
      <c r="U91" s="84"/>
      <c r="V91" s="84"/>
      <c r="W91" s="84"/>
      <c r="X91" s="84"/>
      <c r="Y91" s="84"/>
      <c r="Z91" s="84"/>
    </row>
    <row r="92" ht="15.75" customHeight="1">
      <c r="A92" s="84"/>
      <c r="B92" s="84"/>
      <c r="C92" s="84"/>
      <c r="D92" s="84"/>
      <c r="E92" s="84"/>
      <c r="F92" s="84"/>
      <c r="G92" s="84"/>
      <c r="H92" s="84"/>
      <c r="I92" s="84"/>
      <c r="J92" s="84"/>
      <c r="K92" s="84"/>
      <c r="L92" s="84"/>
      <c r="M92" s="84"/>
      <c r="N92" s="84"/>
      <c r="O92" s="84"/>
      <c r="P92" s="84"/>
      <c r="Q92" s="84"/>
      <c r="R92" s="84"/>
      <c r="S92" s="84"/>
      <c r="T92" s="84"/>
      <c r="U92" s="84"/>
      <c r="V92" s="84"/>
      <c r="W92" s="84"/>
      <c r="X92" s="84"/>
      <c r="Y92" s="84"/>
      <c r="Z92" s="84"/>
    </row>
    <row r="93" ht="15.75" customHeight="1">
      <c r="A93" s="84"/>
      <c r="B93" s="84"/>
      <c r="C93" s="84"/>
      <c r="D93" s="84"/>
      <c r="E93" s="84"/>
      <c r="F93" s="84"/>
      <c r="G93" s="84"/>
      <c r="H93" s="84"/>
      <c r="I93" s="84"/>
      <c r="J93" s="84"/>
      <c r="K93" s="84"/>
      <c r="L93" s="84"/>
      <c r="M93" s="84"/>
      <c r="N93" s="84"/>
      <c r="O93" s="84"/>
      <c r="P93" s="84"/>
      <c r="Q93" s="84"/>
      <c r="R93" s="84"/>
      <c r="S93" s="84"/>
      <c r="T93" s="84"/>
      <c r="U93" s="84"/>
      <c r="V93" s="84"/>
      <c r="W93" s="84"/>
      <c r="X93" s="84"/>
      <c r="Y93" s="84"/>
      <c r="Z93" s="84"/>
    </row>
    <row r="94" ht="15.75" customHeight="1">
      <c r="A94" s="84"/>
      <c r="B94" s="84"/>
      <c r="C94" s="84"/>
      <c r="D94" s="84"/>
      <c r="E94" s="84"/>
      <c r="F94" s="84"/>
      <c r="G94" s="84"/>
      <c r="H94" s="84"/>
      <c r="I94" s="84"/>
      <c r="J94" s="84"/>
      <c r="K94" s="84"/>
      <c r="L94" s="84"/>
      <c r="M94" s="84"/>
      <c r="N94" s="84"/>
      <c r="O94" s="84"/>
      <c r="P94" s="84"/>
      <c r="Q94" s="84"/>
      <c r="R94" s="84"/>
      <c r="S94" s="84"/>
      <c r="T94" s="84"/>
      <c r="U94" s="84"/>
      <c r="V94" s="84"/>
      <c r="W94" s="84"/>
      <c r="X94" s="84"/>
      <c r="Y94" s="84"/>
      <c r="Z94" s="84"/>
    </row>
    <row r="95" ht="15.75" customHeight="1">
      <c r="A95" s="84"/>
      <c r="B95" s="84"/>
      <c r="C95" s="84"/>
      <c r="D95" s="84"/>
      <c r="E95" s="84"/>
      <c r="F95" s="84"/>
      <c r="G95" s="84"/>
      <c r="H95" s="84"/>
      <c r="I95" s="84"/>
      <c r="J95" s="84"/>
      <c r="K95" s="84"/>
      <c r="L95" s="84"/>
      <c r="M95" s="84"/>
      <c r="N95" s="84"/>
      <c r="O95" s="84"/>
      <c r="P95" s="84"/>
      <c r="Q95" s="84"/>
      <c r="R95" s="84"/>
      <c r="S95" s="84"/>
      <c r="T95" s="84"/>
      <c r="U95" s="84"/>
      <c r="V95" s="84"/>
      <c r="W95" s="84"/>
      <c r="X95" s="84"/>
      <c r="Y95" s="84"/>
      <c r="Z95" s="84"/>
    </row>
    <row r="96" ht="15.75" customHeight="1">
      <c r="A96" s="84"/>
      <c r="B96" s="84"/>
      <c r="C96" s="84"/>
      <c r="D96" s="84"/>
      <c r="E96" s="84"/>
      <c r="F96" s="84"/>
      <c r="G96" s="84"/>
      <c r="H96" s="84"/>
      <c r="I96" s="84"/>
      <c r="J96" s="84"/>
      <c r="K96" s="84"/>
      <c r="L96" s="84"/>
      <c r="M96" s="84"/>
      <c r="N96" s="84"/>
      <c r="O96" s="84"/>
      <c r="P96" s="84"/>
      <c r="Q96" s="84"/>
      <c r="R96" s="84"/>
      <c r="S96" s="84"/>
      <c r="T96" s="84"/>
      <c r="U96" s="84"/>
      <c r="V96" s="84"/>
      <c r="W96" s="84"/>
      <c r="X96" s="84"/>
      <c r="Y96" s="84"/>
      <c r="Z96" s="84"/>
    </row>
    <row r="97" ht="15.75" customHeight="1">
      <c r="A97" s="84"/>
      <c r="B97" s="84"/>
      <c r="C97" s="84"/>
      <c r="D97" s="84"/>
      <c r="E97" s="84"/>
      <c r="F97" s="84"/>
      <c r="G97" s="84"/>
      <c r="H97" s="84"/>
      <c r="I97" s="84"/>
      <c r="J97" s="84"/>
      <c r="K97" s="84"/>
      <c r="L97" s="84"/>
      <c r="M97" s="84"/>
      <c r="N97" s="84"/>
      <c r="O97" s="84"/>
      <c r="P97" s="84"/>
      <c r="Q97" s="84"/>
      <c r="R97" s="84"/>
      <c r="S97" s="84"/>
      <c r="T97" s="84"/>
      <c r="U97" s="84"/>
      <c r="V97" s="84"/>
      <c r="W97" s="84"/>
      <c r="X97" s="84"/>
      <c r="Y97" s="84"/>
      <c r="Z97" s="84"/>
    </row>
    <row r="98" ht="15.75" customHeight="1">
      <c r="A98" s="84"/>
      <c r="B98" s="84"/>
      <c r="C98" s="84"/>
      <c r="D98" s="84"/>
      <c r="E98" s="84"/>
      <c r="F98" s="84"/>
      <c r="G98" s="84"/>
      <c r="H98" s="84"/>
      <c r="I98" s="84"/>
      <c r="J98" s="84"/>
      <c r="K98" s="84"/>
      <c r="L98" s="84"/>
      <c r="M98" s="84"/>
      <c r="N98" s="84"/>
      <c r="O98" s="84"/>
      <c r="P98" s="84"/>
      <c r="Q98" s="84"/>
      <c r="R98" s="84"/>
      <c r="S98" s="84"/>
      <c r="T98" s="84"/>
      <c r="U98" s="84"/>
      <c r="V98" s="84"/>
      <c r="W98" s="84"/>
      <c r="X98" s="84"/>
      <c r="Y98" s="84"/>
      <c r="Z98" s="84"/>
    </row>
    <row r="99" ht="15.75" customHeight="1">
      <c r="A99" s="84"/>
      <c r="B99" s="84"/>
      <c r="C99" s="84"/>
      <c r="D99" s="84"/>
      <c r="E99" s="84"/>
      <c r="F99" s="84"/>
      <c r="G99" s="84"/>
      <c r="H99" s="84"/>
      <c r="I99" s="84"/>
      <c r="J99" s="84"/>
      <c r="K99" s="84"/>
      <c r="L99" s="84"/>
      <c r="M99" s="84"/>
      <c r="N99" s="84"/>
      <c r="O99" s="84"/>
      <c r="P99" s="84"/>
      <c r="Q99" s="84"/>
      <c r="R99" s="84"/>
      <c r="S99" s="84"/>
      <c r="T99" s="84"/>
      <c r="U99" s="84"/>
      <c r="V99" s="84"/>
      <c r="W99" s="84"/>
      <c r="X99" s="84"/>
      <c r="Y99" s="84"/>
      <c r="Z99" s="84"/>
    </row>
    <row r="100" ht="15.75" customHeight="1">
      <c r="A100" s="84"/>
      <c r="B100" s="84"/>
      <c r="C100" s="84"/>
      <c r="D100" s="84"/>
      <c r="E100" s="84"/>
      <c r="F100" s="84"/>
      <c r="G100" s="84"/>
      <c r="H100" s="84"/>
      <c r="I100" s="84"/>
      <c r="J100" s="84"/>
      <c r="K100" s="84"/>
      <c r="L100" s="84"/>
      <c r="M100" s="84"/>
      <c r="N100" s="84"/>
      <c r="O100" s="84"/>
      <c r="P100" s="84"/>
      <c r="Q100" s="84"/>
      <c r="R100" s="84"/>
      <c r="S100" s="84"/>
      <c r="T100" s="84"/>
      <c r="U100" s="84"/>
      <c r="V100" s="84"/>
      <c r="W100" s="84"/>
      <c r="X100" s="84"/>
      <c r="Y100" s="84"/>
      <c r="Z100" s="84"/>
    </row>
    <row r="101" ht="15.75" customHeight="1">
      <c r="A101" s="84"/>
      <c r="B101" s="84"/>
      <c r="C101" s="84"/>
      <c r="D101" s="84"/>
      <c r="E101" s="84"/>
      <c r="F101" s="84"/>
      <c r="G101" s="84"/>
      <c r="H101" s="84"/>
      <c r="I101" s="84"/>
      <c r="J101" s="84"/>
      <c r="K101" s="84"/>
      <c r="L101" s="84"/>
      <c r="M101" s="84"/>
      <c r="N101" s="84"/>
      <c r="O101" s="84"/>
      <c r="P101" s="84"/>
      <c r="Q101" s="84"/>
      <c r="R101" s="84"/>
      <c r="S101" s="84"/>
      <c r="T101" s="84"/>
      <c r="U101" s="84"/>
      <c r="V101" s="84"/>
      <c r="W101" s="84"/>
      <c r="X101" s="84"/>
      <c r="Y101" s="84"/>
      <c r="Z101" s="84"/>
    </row>
    <row r="102" ht="15.75" customHeight="1">
      <c r="A102" s="84"/>
      <c r="B102" s="84"/>
      <c r="C102" s="84"/>
      <c r="D102" s="84"/>
      <c r="E102" s="84"/>
      <c r="F102" s="84"/>
      <c r="G102" s="84"/>
      <c r="H102" s="84"/>
      <c r="I102" s="84"/>
      <c r="J102" s="84"/>
      <c r="K102" s="84"/>
      <c r="L102" s="84"/>
      <c r="M102" s="84"/>
      <c r="N102" s="84"/>
      <c r="O102" s="84"/>
      <c r="P102" s="84"/>
      <c r="Q102" s="84"/>
      <c r="R102" s="84"/>
      <c r="S102" s="84"/>
      <c r="T102" s="84"/>
      <c r="U102" s="84"/>
      <c r="V102" s="84"/>
      <c r="W102" s="84"/>
      <c r="X102" s="84"/>
      <c r="Y102" s="84"/>
      <c r="Z102" s="84"/>
    </row>
    <row r="103" ht="15.75" customHeight="1">
      <c r="A103" s="84"/>
      <c r="B103" s="84"/>
      <c r="C103" s="84"/>
      <c r="D103" s="84"/>
      <c r="E103" s="84"/>
      <c r="F103" s="84"/>
      <c r="G103" s="84"/>
      <c r="H103" s="84"/>
      <c r="I103" s="84"/>
      <c r="J103" s="84"/>
      <c r="K103" s="84"/>
      <c r="L103" s="84"/>
      <c r="M103" s="84"/>
      <c r="N103" s="84"/>
      <c r="O103" s="84"/>
      <c r="P103" s="84"/>
      <c r="Q103" s="84"/>
      <c r="R103" s="84"/>
      <c r="S103" s="84"/>
      <c r="T103" s="84"/>
      <c r="U103" s="84"/>
      <c r="V103" s="84"/>
      <c r="W103" s="84"/>
      <c r="X103" s="84"/>
      <c r="Y103" s="84"/>
      <c r="Z103" s="84"/>
    </row>
    <row r="104" ht="15.75" customHeight="1">
      <c r="A104" s="84"/>
      <c r="B104" s="84"/>
      <c r="C104" s="84"/>
      <c r="D104" s="84"/>
      <c r="E104" s="84"/>
      <c r="F104" s="84"/>
      <c r="G104" s="84"/>
      <c r="H104" s="84"/>
      <c r="I104" s="84"/>
      <c r="J104" s="84"/>
      <c r="K104" s="84"/>
      <c r="L104" s="84"/>
      <c r="M104" s="84"/>
      <c r="N104" s="84"/>
      <c r="O104" s="84"/>
      <c r="P104" s="84"/>
      <c r="Q104" s="84"/>
      <c r="R104" s="84"/>
      <c r="S104" s="84"/>
      <c r="T104" s="84"/>
      <c r="U104" s="84"/>
      <c r="V104" s="84"/>
      <c r="W104" s="84"/>
      <c r="X104" s="84"/>
      <c r="Y104" s="84"/>
      <c r="Z104" s="84"/>
    </row>
    <row r="105" ht="15.75" customHeight="1">
      <c r="A105" s="84"/>
      <c r="B105" s="84"/>
      <c r="C105" s="84"/>
      <c r="D105" s="84"/>
      <c r="E105" s="84"/>
      <c r="F105" s="84"/>
      <c r="G105" s="84"/>
      <c r="H105" s="84"/>
      <c r="I105" s="84"/>
      <c r="J105" s="84"/>
      <c r="K105" s="84"/>
      <c r="L105" s="84"/>
      <c r="M105" s="84"/>
      <c r="N105" s="84"/>
      <c r="O105" s="84"/>
      <c r="P105" s="84"/>
      <c r="Q105" s="84"/>
      <c r="R105" s="84"/>
      <c r="S105" s="84"/>
      <c r="T105" s="84"/>
      <c r="U105" s="84"/>
      <c r="V105" s="84"/>
      <c r="W105" s="84"/>
      <c r="X105" s="84"/>
      <c r="Y105" s="84"/>
      <c r="Z105" s="84"/>
    </row>
    <row r="106" ht="15.75" customHeight="1">
      <c r="A106" s="84"/>
      <c r="B106" s="84"/>
      <c r="C106" s="84"/>
      <c r="D106" s="84"/>
      <c r="E106" s="84"/>
      <c r="F106" s="84"/>
      <c r="G106" s="84"/>
      <c r="H106" s="84"/>
      <c r="I106" s="84"/>
      <c r="J106" s="84"/>
      <c r="K106" s="84"/>
      <c r="L106" s="84"/>
      <c r="M106" s="84"/>
      <c r="N106" s="84"/>
      <c r="O106" s="84"/>
      <c r="P106" s="84"/>
      <c r="Q106" s="84"/>
      <c r="R106" s="84"/>
      <c r="S106" s="84"/>
      <c r="T106" s="84"/>
      <c r="U106" s="84"/>
      <c r="V106" s="84"/>
      <c r="W106" s="84"/>
      <c r="X106" s="84"/>
      <c r="Y106" s="84"/>
      <c r="Z106" s="84"/>
    </row>
    <row r="107" ht="15.75" customHeight="1">
      <c r="A107" s="84"/>
      <c r="B107" s="84"/>
      <c r="C107" s="84"/>
      <c r="D107" s="84"/>
      <c r="E107" s="84"/>
      <c r="F107" s="84"/>
      <c r="G107" s="84"/>
      <c r="H107" s="84"/>
      <c r="I107" s="84"/>
      <c r="J107" s="84"/>
      <c r="K107" s="84"/>
      <c r="L107" s="84"/>
      <c r="M107" s="84"/>
      <c r="N107" s="84"/>
      <c r="O107" s="84"/>
      <c r="P107" s="84"/>
      <c r="Q107" s="84"/>
      <c r="R107" s="84"/>
      <c r="S107" s="84"/>
      <c r="T107" s="84"/>
      <c r="U107" s="84"/>
      <c r="V107" s="84"/>
      <c r="W107" s="84"/>
      <c r="X107" s="84"/>
      <c r="Y107" s="84"/>
      <c r="Z107" s="84"/>
    </row>
    <row r="108" ht="15.75" customHeight="1">
      <c r="A108" s="84"/>
      <c r="B108" s="84"/>
      <c r="C108" s="84"/>
      <c r="D108" s="84"/>
      <c r="E108" s="84"/>
      <c r="F108" s="84"/>
      <c r="G108" s="84"/>
      <c r="H108" s="84"/>
      <c r="I108" s="84"/>
      <c r="J108" s="84"/>
      <c r="K108" s="84"/>
      <c r="L108" s="84"/>
      <c r="M108" s="84"/>
      <c r="N108" s="84"/>
      <c r="O108" s="84"/>
      <c r="P108" s="84"/>
      <c r="Q108" s="84"/>
      <c r="R108" s="84"/>
      <c r="S108" s="84"/>
      <c r="T108" s="84"/>
      <c r="U108" s="84"/>
      <c r="V108" s="84"/>
      <c r="W108" s="84"/>
      <c r="X108" s="84"/>
      <c r="Y108" s="84"/>
      <c r="Z108" s="84"/>
    </row>
    <row r="109" ht="15.75" customHeight="1">
      <c r="A109" s="84"/>
      <c r="B109" s="84"/>
      <c r="C109" s="84"/>
      <c r="D109" s="84"/>
      <c r="E109" s="84"/>
      <c r="F109" s="84"/>
      <c r="G109" s="84"/>
      <c r="H109" s="84"/>
      <c r="I109" s="84"/>
      <c r="J109" s="84"/>
      <c r="K109" s="84"/>
      <c r="L109" s="84"/>
      <c r="M109" s="84"/>
      <c r="N109" s="84"/>
      <c r="O109" s="84"/>
      <c r="P109" s="84"/>
      <c r="Q109" s="84"/>
      <c r="R109" s="84"/>
      <c r="S109" s="84"/>
      <c r="T109" s="84"/>
      <c r="U109" s="84"/>
      <c r="V109" s="84"/>
      <c r="W109" s="84"/>
      <c r="X109" s="84"/>
      <c r="Y109" s="84"/>
      <c r="Z109" s="84"/>
    </row>
    <row r="110" ht="15.75" customHeight="1">
      <c r="A110" s="84"/>
      <c r="B110" s="84"/>
      <c r="C110" s="84"/>
      <c r="D110" s="84"/>
      <c r="E110" s="84"/>
      <c r="F110" s="84"/>
      <c r="G110" s="84"/>
      <c r="H110" s="84"/>
      <c r="I110" s="84"/>
      <c r="J110" s="84"/>
      <c r="K110" s="84"/>
      <c r="L110" s="84"/>
      <c r="M110" s="84"/>
      <c r="N110" s="84"/>
      <c r="O110" s="84"/>
      <c r="P110" s="84"/>
      <c r="Q110" s="84"/>
      <c r="R110" s="84"/>
      <c r="S110" s="84"/>
      <c r="T110" s="84"/>
      <c r="U110" s="84"/>
      <c r="V110" s="84"/>
      <c r="W110" s="84"/>
      <c r="X110" s="84"/>
      <c r="Y110" s="84"/>
      <c r="Z110" s="84"/>
    </row>
    <row r="111" ht="15.75" customHeight="1">
      <c r="A111" s="84"/>
      <c r="B111" s="84"/>
      <c r="C111" s="84"/>
      <c r="D111" s="84"/>
      <c r="E111" s="84"/>
      <c r="F111" s="84"/>
      <c r="G111" s="84"/>
      <c r="H111" s="84"/>
      <c r="I111" s="84"/>
      <c r="J111" s="84"/>
      <c r="K111" s="84"/>
      <c r="L111" s="84"/>
      <c r="M111" s="84"/>
      <c r="N111" s="84"/>
      <c r="O111" s="84"/>
      <c r="P111" s="84"/>
      <c r="Q111" s="84"/>
      <c r="R111" s="84"/>
      <c r="S111" s="84"/>
      <c r="T111" s="84"/>
      <c r="U111" s="84"/>
      <c r="V111" s="84"/>
      <c r="W111" s="84"/>
      <c r="X111" s="84"/>
      <c r="Y111" s="84"/>
      <c r="Z111" s="84"/>
    </row>
    <row r="112" ht="15.75" customHeight="1">
      <c r="A112" s="84"/>
      <c r="B112" s="84"/>
      <c r="C112" s="84"/>
      <c r="D112" s="84"/>
      <c r="E112" s="84"/>
      <c r="F112" s="84"/>
      <c r="G112" s="84"/>
      <c r="H112" s="84"/>
      <c r="I112" s="84"/>
      <c r="J112" s="84"/>
      <c r="K112" s="84"/>
      <c r="L112" s="84"/>
      <c r="M112" s="84"/>
      <c r="N112" s="84"/>
      <c r="O112" s="84"/>
      <c r="P112" s="84"/>
      <c r="Q112" s="84"/>
      <c r="R112" s="84"/>
      <c r="S112" s="84"/>
      <c r="T112" s="84"/>
      <c r="U112" s="84"/>
      <c r="V112" s="84"/>
      <c r="W112" s="84"/>
      <c r="X112" s="84"/>
      <c r="Y112" s="84"/>
      <c r="Z112" s="84"/>
    </row>
    <row r="113" ht="15.75" customHeight="1">
      <c r="A113" s="84"/>
      <c r="B113" s="84"/>
      <c r="C113" s="84"/>
      <c r="D113" s="84"/>
      <c r="E113" s="84"/>
      <c r="F113" s="84"/>
      <c r="G113" s="84"/>
      <c r="H113" s="84"/>
      <c r="I113" s="84"/>
      <c r="J113" s="84"/>
      <c r="K113" s="84"/>
      <c r="L113" s="84"/>
      <c r="M113" s="84"/>
      <c r="N113" s="84"/>
      <c r="O113" s="84"/>
      <c r="P113" s="84"/>
      <c r="Q113" s="84"/>
      <c r="R113" s="84"/>
      <c r="S113" s="84"/>
      <c r="T113" s="84"/>
      <c r="U113" s="84"/>
      <c r="V113" s="84"/>
      <c r="W113" s="84"/>
      <c r="X113" s="84"/>
      <c r="Y113" s="84"/>
      <c r="Z113" s="84"/>
    </row>
    <row r="114" ht="15.75" customHeight="1">
      <c r="A114" s="84"/>
      <c r="B114" s="84"/>
      <c r="C114" s="84"/>
      <c r="D114" s="84"/>
      <c r="E114" s="84"/>
      <c r="F114" s="84"/>
      <c r="G114" s="84"/>
      <c r="H114" s="84"/>
      <c r="I114" s="84"/>
      <c r="J114" s="84"/>
      <c r="K114" s="84"/>
      <c r="L114" s="84"/>
      <c r="M114" s="84"/>
      <c r="N114" s="84"/>
      <c r="O114" s="84"/>
      <c r="P114" s="84"/>
      <c r="Q114" s="84"/>
      <c r="R114" s="84"/>
      <c r="S114" s="84"/>
      <c r="T114" s="84"/>
      <c r="U114" s="84"/>
      <c r="V114" s="84"/>
      <c r="W114" s="84"/>
      <c r="X114" s="84"/>
      <c r="Y114" s="84"/>
      <c r="Z114" s="84"/>
    </row>
    <row r="115" ht="15.75" customHeight="1">
      <c r="A115" s="84"/>
      <c r="B115" s="84"/>
      <c r="C115" s="84"/>
      <c r="D115" s="84"/>
      <c r="E115" s="84"/>
      <c r="F115" s="84"/>
      <c r="G115" s="84"/>
      <c r="H115" s="84"/>
      <c r="I115" s="84"/>
      <c r="J115" s="84"/>
      <c r="K115" s="84"/>
      <c r="L115" s="84"/>
      <c r="M115" s="84"/>
      <c r="N115" s="84"/>
      <c r="O115" s="84"/>
      <c r="P115" s="84"/>
      <c r="Q115" s="84"/>
      <c r="R115" s="84"/>
      <c r="S115" s="84"/>
      <c r="T115" s="84"/>
      <c r="U115" s="84"/>
      <c r="V115" s="84"/>
      <c r="W115" s="84"/>
      <c r="X115" s="84"/>
      <c r="Y115" s="84"/>
      <c r="Z115" s="84"/>
    </row>
    <row r="116" ht="15.75" customHeight="1">
      <c r="A116" s="84"/>
      <c r="B116" s="84"/>
      <c r="C116" s="84"/>
      <c r="D116" s="84"/>
      <c r="E116" s="84"/>
      <c r="F116" s="84"/>
      <c r="G116" s="84"/>
      <c r="H116" s="84"/>
      <c r="I116" s="84"/>
      <c r="J116" s="84"/>
      <c r="K116" s="84"/>
      <c r="L116" s="84"/>
      <c r="M116" s="84"/>
      <c r="N116" s="84"/>
      <c r="O116" s="84"/>
      <c r="P116" s="84"/>
      <c r="Q116" s="84"/>
      <c r="R116" s="84"/>
      <c r="S116" s="84"/>
      <c r="T116" s="84"/>
      <c r="U116" s="84"/>
      <c r="V116" s="84"/>
      <c r="W116" s="84"/>
      <c r="X116" s="84"/>
      <c r="Y116" s="84"/>
      <c r="Z116" s="84"/>
    </row>
    <row r="117" ht="15.75" customHeight="1">
      <c r="A117" s="84"/>
      <c r="B117" s="84"/>
      <c r="C117" s="84"/>
      <c r="D117" s="84"/>
      <c r="E117" s="84"/>
      <c r="F117" s="84"/>
      <c r="G117" s="84"/>
      <c r="H117" s="84"/>
      <c r="I117" s="84"/>
      <c r="J117" s="84"/>
      <c r="K117" s="84"/>
      <c r="L117" s="84"/>
      <c r="M117" s="84"/>
      <c r="N117" s="84"/>
      <c r="O117" s="84"/>
      <c r="P117" s="84"/>
      <c r="Q117" s="84"/>
      <c r="R117" s="84"/>
      <c r="S117" s="84"/>
      <c r="T117" s="84"/>
      <c r="U117" s="84"/>
      <c r="V117" s="84"/>
      <c r="W117" s="84"/>
      <c r="X117" s="84"/>
      <c r="Y117" s="84"/>
      <c r="Z117" s="84"/>
    </row>
    <row r="118" ht="15.75" customHeight="1">
      <c r="A118" s="84"/>
      <c r="B118" s="84"/>
      <c r="C118" s="84"/>
      <c r="D118" s="84"/>
      <c r="E118" s="84"/>
      <c r="F118" s="84"/>
      <c r="G118" s="84"/>
      <c r="H118" s="84"/>
      <c r="I118" s="84"/>
      <c r="J118" s="84"/>
      <c r="K118" s="84"/>
      <c r="L118" s="84"/>
      <c r="M118" s="84"/>
      <c r="N118" s="84"/>
      <c r="O118" s="84"/>
      <c r="P118" s="84"/>
      <c r="Q118" s="84"/>
      <c r="R118" s="84"/>
      <c r="S118" s="84"/>
      <c r="T118" s="84"/>
      <c r="U118" s="84"/>
      <c r="V118" s="84"/>
      <c r="W118" s="84"/>
      <c r="X118" s="84"/>
      <c r="Y118" s="84"/>
      <c r="Z118" s="84"/>
    </row>
    <row r="119" ht="15.75" customHeight="1">
      <c r="A119" s="84"/>
      <c r="B119" s="84"/>
      <c r="C119" s="84"/>
      <c r="D119" s="84"/>
      <c r="E119" s="84"/>
      <c r="F119" s="84"/>
      <c r="G119" s="84"/>
      <c r="H119" s="84"/>
      <c r="I119" s="84"/>
      <c r="J119" s="84"/>
      <c r="K119" s="84"/>
      <c r="L119" s="84"/>
      <c r="M119" s="84"/>
      <c r="N119" s="84"/>
      <c r="O119" s="84"/>
      <c r="P119" s="84"/>
      <c r="Q119" s="84"/>
      <c r="R119" s="84"/>
      <c r="S119" s="84"/>
      <c r="T119" s="84"/>
      <c r="U119" s="84"/>
      <c r="V119" s="84"/>
      <c r="W119" s="84"/>
      <c r="X119" s="84"/>
      <c r="Y119" s="84"/>
      <c r="Z119" s="84"/>
    </row>
    <row r="120" ht="15.75" customHeight="1">
      <c r="A120" s="84"/>
      <c r="B120" s="84"/>
      <c r="C120" s="84"/>
      <c r="D120" s="84"/>
      <c r="E120" s="84"/>
      <c r="F120" s="84"/>
      <c r="G120" s="84"/>
      <c r="H120" s="84"/>
      <c r="I120" s="84"/>
      <c r="J120" s="84"/>
      <c r="K120" s="84"/>
      <c r="L120" s="84"/>
      <c r="M120" s="84"/>
      <c r="N120" s="84"/>
      <c r="O120" s="84"/>
      <c r="P120" s="84"/>
      <c r="Q120" s="84"/>
      <c r="R120" s="84"/>
      <c r="S120" s="84"/>
      <c r="T120" s="84"/>
      <c r="U120" s="84"/>
      <c r="V120" s="84"/>
      <c r="W120" s="84"/>
      <c r="X120" s="84"/>
      <c r="Y120" s="84"/>
      <c r="Z120" s="84"/>
    </row>
    <row r="121" ht="15.75" customHeight="1">
      <c r="A121" s="84"/>
      <c r="B121" s="84"/>
      <c r="C121" s="84"/>
      <c r="D121" s="84"/>
      <c r="E121" s="84"/>
      <c r="F121" s="84"/>
      <c r="G121" s="84"/>
      <c r="H121" s="84"/>
      <c r="I121" s="84"/>
      <c r="J121" s="84"/>
      <c r="K121" s="84"/>
      <c r="L121" s="84"/>
      <c r="M121" s="84"/>
      <c r="N121" s="84"/>
      <c r="O121" s="84"/>
      <c r="P121" s="84"/>
      <c r="Q121" s="84"/>
      <c r="R121" s="84"/>
      <c r="S121" s="84"/>
      <c r="T121" s="84"/>
      <c r="U121" s="84"/>
      <c r="V121" s="84"/>
      <c r="W121" s="84"/>
      <c r="X121" s="84"/>
      <c r="Y121" s="84"/>
      <c r="Z121" s="84"/>
    </row>
    <row r="122" ht="15.75" customHeight="1">
      <c r="A122" s="84"/>
      <c r="B122" s="84"/>
      <c r="C122" s="84"/>
      <c r="D122" s="84"/>
      <c r="E122" s="84"/>
      <c r="F122" s="84"/>
      <c r="G122" s="84"/>
      <c r="H122" s="84"/>
      <c r="I122" s="84"/>
      <c r="J122" s="84"/>
      <c r="K122" s="84"/>
      <c r="L122" s="84"/>
      <c r="M122" s="84"/>
      <c r="N122" s="84"/>
      <c r="O122" s="84"/>
      <c r="P122" s="84"/>
      <c r="Q122" s="84"/>
      <c r="R122" s="84"/>
      <c r="S122" s="84"/>
      <c r="T122" s="84"/>
      <c r="U122" s="84"/>
      <c r="V122" s="84"/>
      <c r="W122" s="84"/>
      <c r="X122" s="84"/>
      <c r="Y122" s="84"/>
      <c r="Z122" s="84"/>
    </row>
    <row r="123" ht="15.75" customHeight="1">
      <c r="A123" s="84"/>
      <c r="B123" s="84"/>
      <c r="C123" s="84"/>
      <c r="D123" s="84"/>
      <c r="E123" s="84"/>
      <c r="F123" s="84"/>
      <c r="G123" s="84"/>
      <c r="H123" s="84"/>
      <c r="I123" s="84"/>
      <c r="J123" s="84"/>
      <c r="K123" s="84"/>
      <c r="L123" s="84"/>
      <c r="M123" s="84"/>
      <c r="N123" s="84"/>
      <c r="O123" s="84"/>
      <c r="P123" s="84"/>
      <c r="Q123" s="84"/>
      <c r="R123" s="84"/>
      <c r="S123" s="84"/>
      <c r="T123" s="84"/>
      <c r="U123" s="84"/>
      <c r="V123" s="84"/>
      <c r="W123" s="84"/>
      <c r="X123" s="84"/>
      <c r="Y123" s="84"/>
      <c r="Z123" s="84"/>
    </row>
    <row r="124" ht="15.75" customHeight="1">
      <c r="A124" s="84"/>
      <c r="B124" s="84"/>
      <c r="C124" s="84"/>
      <c r="D124" s="84"/>
      <c r="E124" s="84"/>
      <c r="F124" s="84"/>
      <c r="G124" s="84"/>
      <c r="H124" s="84"/>
      <c r="I124" s="84"/>
      <c r="J124" s="84"/>
      <c r="K124" s="84"/>
      <c r="L124" s="84"/>
      <c r="M124" s="84"/>
      <c r="N124" s="84"/>
      <c r="O124" s="84"/>
      <c r="P124" s="84"/>
      <c r="Q124" s="84"/>
      <c r="R124" s="84"/>
      <c r="S124" s="84"/>
      <c r="T124" s="84"/>
      <c r="U124" s="84"/>
      <c r="V124" s="84"/>
      <c r="W124" s="84"/>
      <c r="X124" s="84"/>
      <c r="Y124" s="84"/>
      <c r="Z124" s="84"/>
    </row>
    <row r="125" ht="15.75" customHeight="1">
      <c r="A125" s="84"/>
      <c r="B125" s="84"/>
      <c r="C125" s="84"/>
      <c r="D125" s="84"/>
      <c r="E125" s="84"/>
      <c r="F125" s="84"/>
      <c r="G125" s="84"/>
      <c r="H125" s="84"/>
      <c r="I125" s="84"/>
      <c r="J125" s="84"/>
      <c r="K125" s="84"/>
      <c r="L125" s="84"/>
      <c r="M125" s="84"/>
      <c r="N125" s="84"/>
      <c r="O125" s="84"/>
      <c r="P125" s="84"/>
      <c r="Q125" s="84"/>
      <c r="R125" s="84"/>
      <c r="S125" s="84"/>
      <c r="T125" s="84"/>
      <c r="U125" s="84"/>
      <c r="V125" s="84"/>
      <c r="W125" s="84"/>
      <c r="X125" s="84"/>
      <c r="Y125" s="84"/>
      <c r="Z125" s="84"/>
    </row>
    <row r="126" ht="15.75" customHeight="1">
      <c r="A126" s="84"/>
      <c r="B126" s="84"/>
      <c r="C126" s="84"/>
      <c r="D126" s="84"/>
      <c r="E126" s="84"/>
      <c r="F126" s="84"/>
      <c r="G126" s="84"/>
      <c r="H126" s="84"/>
      <c r="I126" s="84"/>
      <c r="J126" s="84"/>
      <c r="K126" s="84"/>
      <c r="L126" s="84"/>
      <c r="M126" s="84"/>
      <c r="N126" s="84"/>
      <c r="O126" s="84"/>
      <c r="P126" s="84"/>
      <c r="Q126" s="84"/>
      <c r="R126" s="84"/>
      <c r="S126" s="84"/>
      <c r="T126" s="84"/>
      <c r="U126" s="84"/>
      <c r="V126" s="84"/>
      <c r="W126" s="84"/>
      <c r="X126" s="84"/>
      <c r="Y126" s="84"/>
      <c r="Z126" s="84"/>
    </row>
    <row r="127" ht="15.75" customHeight="1">
      <c r="A127" s="84"/>
      <c r="B127" s="84"/>
      <c r="C127" s="84"/>
      <c r="D127" s="84"/>
      <c r="E127" s="84"/>
      <c r="F127" s="84"/>
      <c r="G127" s="84"/>
      <c r="H127" s="84"/>
      <c r="I127" s="84"/>
      <c r="J127" s="84"/>
      <c r="K127" s="84"/>
      <c r="L127" s="84"/>
      <c r="M127" s="84"/>
      <c r="N127" s="84"/>
      <c r="O127" s="84"/>
      <c r="P127" s="84"/>
      <c r="Q127" s="84"/>
      <c r="R127" s="84"/>
      <c r="S127" s="84"/>
      <c r="T127" s="84"/>
      <c r="U127" s="84"/>
      <c r="V127" s="84"/>
      <c r="W127" s="84"/>
      <c r="X127" s="84"/>
      <c r="Y127" s="84"/>
      <c r="Z127" s="84"/>
    </row>
    <row r="128" ht="15.75" customHeight="1">
      <c r="A128" s="84"/>
      <c r="B128" s="84"/>
      <c r="C128" s="84"/>
      <c r="D128" s="84"/>
      <c r="E128" s="84"/>
      <c r="F128" s="84"/>
      <c r="G128" s="84"/>
      <c r="H128" s="84"/>
      <c r="I128" s="84"/>
      <c r="J128" s="84"/>
      <c r="K128" s="84"/>
      <c r="L128" s="84"/>
      <c r="M128" s="84"/>
      <c r="N128" s="84"/>
      <c r="O128" s="84"/>
      <c r="P128" s="84"/>
      <c r="Q128" s="84"/>
      <c r="R128" s="84"/>
      <c r="S128" s="84"/>
      <c r="T128" s="84"/>
      <c r="U128" s="84"/>
      <c r="V128" s="84"/>
      <c r="W128" s="84"/>
      <c r="X128" s="84"/>
      <c r="Y128" s="84"/>
      <c r="Z128" s="84"/>
    </row>
    <row r="129" ht="15.75" customHeight="1">
      <c r="A129" s="84"/>
      <c r="B129" s="84"/>
      <c r="C129" s="84"/>
      <c r="D129" s="84"/>
      <c r="E129" s="84"/>
      <c r="F129" s="84"/>
      <c r="G129" s="84"/>
      <c r="H129" s="84"/>
      <c r="I129" s="84"/>
      <c r="J129" s="84"/>
      <c r="K129" s="84"/>
      <c r="L129" s="84"/>
      <c r="M129" s="84"/>
      <c r="N129" s="84"/>
      <c r="O129" s="84"/>
      <c r="P129" s="84"/>
      <c r="Q129" s="84"/>
      <c r="R129" s="84"/>
      <c r="S129" s="84"/>
      <c r="T129" s="84"/>
      <c r="U129" s="84"/>
      <c r="V129" s="84"/>
      <c r="W129" s="84"/>
      <c r="X129" s="84"/>
      <c r="Y129" s="84"/>
      <c r="Z129" s="84"/>
    </row>
    <row r="130" ht="15.75" customHeight="1">
      <c r="A130" s="84"/>
      <c r="B130" s="84"/>
      <c r="C130" s="84"/>
      <c r="D130" s="84"/>
      <c r="E130" s="84"/>
      <c r="F130" s="84"/>
      <c r="G130" s="84"/>
      <c r="H130" s="84"/>
      <c r="I130" s="84"/>
      <c r="J130" s="84"/>
      <c r="K130" s="84"/>
      <c r="L130" s="84"/>
      <c r="M130" s="84"/>
      <c r="N130" s="84"/>
      <c r="O130" s="84"/>
      <c r="P130" s="84"/>
      <c r="Q130" s="84"/>
      <c r="R130" s="84"/>
      <c r="S130" s="84"/>
      <c r="T130" s="84"/>
      <c r="U130" s="84"/>
      <c r="V130" s="84"/>
      <c r="W130" s="84"/>
      <c r="X130" s="84"/>
      <c r="Y130" s="84"/>
      <c r="Z130" s="84"/>
    </row>
    <row r="131" ht="15.75" customHeight="1">
      <c r="A131" s="84"/>
      <c r="B131" s="84"/>
      <c r="C131" s="84"/>
      <c r="D131" s="84"/>
      <c r="E131" s="84"/>
      <c r="F131" s="84"/>
      <c r="G131" s="84"/>
      <c r="H131" s="84"/>
      <c r="I131" s="84"/>
      <c r="J131" s="84"/>
      <c r="K131" s="84"/>
      <c r="L131" s="84"/>
      <c r="M131" s="84"/>
      <c r="N131" s="84"/>
      <c r="O131" s="84"/>
      <c r="P131" s="84"/>
      <c r="Q131" s="84"/>
      <c r="R131" s="84"/>
      <c r="S131" s="84"/>
      <c r="T131" s="84"/>
      <c r="U131" s="84"/>
      <c r="V131" s="84"/>
      <c r="W131" s="84"/>
      <c r="X131" s="84"/>
      <c r="Y131" s="84"/>
      <c r="Z131" s="84"/>
    </row>
    <row r="132" ht="15.75" customHeight="1">
      <c r="A132" s="84"/>
      <c r="B132" s="84"/>
      <c r="C132" s="84"/>
      <c r="D132" s="84"/>
      <c r="E132" s="84"/>
      <c r="F132" s="84"/>
      <c r="G132" s="84"/>
      <c r="H132" s="84"/>
      <c r="I132" s="84"/>
      <c r="J132" s="84"/>
      <c r="K132" s="84"/>
      <c r="L132" s="84"/>
      <c r="M132" s="84"/>
      <c r="N132" s="84"/>
      <c r="O132" s="84"/>
      <c r="P132" s="84"/>
      <c r="Q132" s="84"/>
      <c r="R132" s="84"/>
      <c r="S132" s="84"/>
      <c r="T132" s="84"/>
      <c r="U132" s="84"/>
      <c r="V132" s="84"/>
      <c r="W132" s="84"/>
      <c r="X132" s="84"/>
      <c r="Y132" s="84"/>
      <c r="Z132" s="84"/>
    </row>
    <row r="133" ht="15.75" customHeight="1">
      <c r="A133" s="84"/>
      <c r="B133" s="84"/>
      <c r="C133" s="84"/>
      <c r="D133" s="84"/>
      <c r="E133" s="84"/>
      <c r="F133" s="84"/>
      <c r="G133" s="84"/>
      <c r="H133" s="84"/>
      <c r="I133" s="84"/>
      <c r="J133" s="84"/>
      <c r="K133" s="84"/>
      <c r="L133" s="84"/>
      <c r="M133" s="84"/>
      <c r="N133" s="84"/>
      <c r="O133" s="84"/>
      <c r="P133" s="84"/>
      <c r="Q133" s="84"/>
      <c r="R133" s="84"/>
      <c r="S133" s="84"/>
      <c r="T133" s="84"/>
      <c r="U133" s="84"/>
      <c r="V133" s="84"/>
      <c r="W133" s="84"/>
      <c r="X133" s="84"/>
      <c r="Y133" s="84"/>
      <c r="Z133" s="84"/>
    </row>
    <row r="134" ht="15.75" customHeight="1">
      <c r="A134" s="84"/>
      <c r="B134" s="84"/>
      <c r="C134" s="84"/>
      <c r="D134" s="84"/>
      <c r="E134" s="84"/>
      <c r="F134" s="84"/>
      <c r="G134" s="84"/>
      <c r="H134" s="84"/>
      <c r="I134" s="84"/>
      <c r="J134" s="84"/>
      <c r="K134" s="84"/>
      <c r="L134" s="84"/>
      <c r="M134" s="84"/>
      <c r="N134" s="84"/>
      <c r="O134" s="84"/>
      <c r="P134" s="84"/>
      <c r="Q134" s="84"/>
      <c r="R134" s="84"/>
      <c r="S134" s="84"/>
      <c r="T134" s="84"/>
      <c r="U134" s="84"/>
      <c r="V134" s="84"/>
      <c r="W134" s="84"/>
      <c r="X134" s="84"/>
      <c r="Y134" s="84"/>
      <c r="Z134" s="84"/>
    </row>
    <row r="135" ht="15.75" customHeight="1">
      <c r="A135" s="84"/>
      <c r="B135" s="84"/>
      <c r="C135" s="84"/>
      <c r="D135" s="84"/>
      <c r="E135" s="84"/>
      <c r="F135" s="84"/>
      <c r="G135" s="84"/>
      <c r="H135" s="84"/>
      <c r="I135" s="84"/>
      <c r="J135" s="84"/>
      <c r="K135" s="84"/>
      <c r="L135" s="84"/>
      <c r="M135" s="84"/>
      <c r="N135" s="84"/>
      <c r="O135" s="84"/>
      <c r="P135" s="84"/>
      <c r="Q135" s="84"/>
      <c r="R135" s="84"/>
      <c r="S135" s="84"/>
      <c r="T135" s="84"/>
      <c r="U135" s="84"/>
      <c r="V135" s="84"/>
      <c r="W135" s="84"/>
      <c r="X135" s="84"/>
      <c r="Y135" s="84"/>
      <c r="Z135" s="84"/>
    </row>
    <row r="136" ht="15.75" customHeight="1">
      <c r="A136" s="84"/>
      <c r="B136" s="84"/>
      <c r="C136" s="84"/>
      <c r="D136" s="84"/>
      <c r="E136" s="84"/>
      <c r="F136" s="84"/>
      <c r="G136" s="84"/>
      <c r="H136" s="84"/>
      <c r="I136" s="84"/>
      <c r="J136" s="84"/>
      <c r="K136" s="84"/>
      <c r="L136" s="84"/>
      <c r="M136" s="84"/>
      <c r="N136" s="84"/>
      <c r="O136" s="84"/>
      <c r="P136" s="84"/>
      <c r="Q136" s="84"/>
      <c r="R136" s="84"/>
      <c r="S136" s="84"/>
      <c r="T136" s="84"/>
      <c r="U136" s="84"/>
      <c r="V136" s="84"/>
      <c r="W136" s="84"/>
      <c r="X136" s="84"/>
      <c r="Y136" s="84"/>
      <c r="Z136" s="84"/>
    </row>
    <row r="137" ht="15.75" customHeight="1">
      <c r="A137" s="84"/>
      <c r="B137" s="84"/>
      <c r="C137" s="84"/>
      <c r="D137" s="84"/>
      <c r="E137" s="84"/>
      <c r="F137" s="84"/>
      <c r="G137" s="84"/>
      <c r="H137" s="84"/>
      <c r="I137" s="84"/>
      <c r="J137" s="84"/>
      <c r="K137" s="84"/>
      <c r="L137" s="84"/>
      <c r="M137" s="84"/>
      <c r="N137" s="84"/>
      <c r="O137" s="84"/>
      <c r="P137" s="84"/>
      <c r="Q137" s="84"/>
      <c r="R137" s="84"/>
      <c r="S137" s="84"/>
      <c r="T137" s="84"/>
      <c r="U137" s="84"/>
      <c r="V137" s="84"/>
      <c r="W137" s="84"/>
      <c r="X137" s="84"/>
      <c r="Y137" s="84"/>
      <c r="Z137" s="84"/>
    </row>
    <row r="138" ht="15.75" customHeight="1">
      <c r="A138" s="84"/>
      <c r="B138" s="84"/>
      <c r="C138" s="84"/>
      <c r="D138" s="84"/>
      <c r="E138" s="84"/>
      <c r="F138" s="84"/>
      <c r="G138" s="84"/>
      <c r="H138" s="84"/>
      <c r="I138" s="84"/>
      <c r="J138" s="84"/>
      <c r="K138" s="84"/>
      <c r="L138" s="84"/>
      <c r="M138" s="84"/>
      <c r="N138" s="84"/>
      <c r="O138" s="84"/>
      <c r="P138" s="84"/>
      <c r="Q138" s="84"/>
      <c r="R138" s="84"/>
      <c r="S138" s="84"/>
      <c r="T138" s="84"/>
      <c r="U138" s="84"/>
      <c r="V138" s="84"/>
      <c r="W138" s="84"/>
      <c r="X138" s="84"/>
      <c r="Y138" s="84"/>
      <c r="Z138" s="84"/>
    </row>
    <row r="139" ht="15.75" customHeight="1">
      <c r="A139" s="84"/>
      <c r="B139" s="84"/>
      <c r="C139" s="84"/>
      <c r="D139" s="84"/>
      <c r="E139" s="84"/>
      <c r="F139" s="84"/>
      <c r="G139" s="84"/>
      <c r="H139" s="84"/>
      <c r="I139" s="84"/>
      <c r="J139" s="84"/>
      <c r="K139" s="84"/>
      <c r="L139" s="84"/>
      <c r="M139" s="84"/>
      <c r="N139" s="84"/>
      <c r="O139" s="84"/>
      <c r="P139" s="84"/>
      <c r="Q139" s="84"/>
      <c r="R139" s="84"/>
      <c r="S139" s="84"/>
      <c r="T139" s="84"/>
      <c r="U139" s="84"/>
      <c r="V139" s="84"/>
      <c r="W139" s="84"/>
      <c r="X139" s="84"/>
      <c r="Y139" s="84"/>
      <c r="Z139" s="84"/>
    </row>
    <row r="140" ht="15.75" customHeight="1">
      <c r="A140" s="84"/>
      <c r="B140" s="84"/>
      <c r="C140" s="84"/>
      <c r="D140" s="84"/>
      <c r="E140" s="84"/>
      <c r="F140" s="84"/>
      <c r="G140" s="84"/>
      <c r="H140" s="84"/>
      <c r="I140" s="84"/>
      <c r="J140" s="84"/>
      <c r="K140" s="84"/>
      <c r="L140" s="84"/>
      <c r="M140" s="84"/>
      <c r="N140" s="84"/>
      <c r="O140" s="84"/>
      <c r="P140" s="84"/>
      <c r="Q140" s="84"/>
      <c r="R140" s="84"/>
      <c r="S140" s="84"/>
      <c r="T140" s="84"/>
      <c r="U140" s="84"/>
      <c r="V140" s="84"/>
      <c r="W140" s="84"/>
      <c r="X140" s="84"/>
      <c r="Y140" s="84"/>
      <c r="Z140" s="84"/>
    </row>
    <row r="141" ht="15.75" customHeight="1">
      <c r="A141" s="84"/>
      <c r="B141" s="84"/>
      <c r="C141" s="84"/>
      <c r="D141" s="84"/>
      <c r="E141" s="84"/>
      <c r="F141" s="84"/>
      <c r="G141" s="84"/>
      <c r="H141" s="84"/>
      <c r="I141" s="84"/>
      <c r="J141" s="84"/>
      <c r="K141" s="84"/>
      <c r="L141" s="84"/>
      <c r="M141" s="84"/>
      <c r="N141" s="84"/>
      <c r="O141" s="84"/>
      <c r="P141" s="84"/>
      <c r="Q141" s="84"/>
      <c r="R141" s="84"/>
      <c r="S141" s="84"/>
      <c r="T141" s="84"/>
      <c r="U141" s="84"/>
      <c r="V141" s="84"/>
      <c r="W141" s="84"/>
      <c r="X141" s="84"/>
      <c r="Y141" s="84"/>
      <c r="Z141" s="84"/>
    </row>
    <row r="142" ht="15.75" customHeight="1">
      <c r="A142" s="84"/>
      <c r="B142" s="84"/>
      <c r="C142" s="84"/>
      <c r="D142" s="84"/>
      <c r="E142" s="84"/>
      <c r="F142" s="84"/>
      <c r="G142" s="84"/>
      <c r="H142" s="84"/>
      <c r="I142" s="84"/>
      <c r="J142" s="84"/>
      <c r="K142" s="84"/>
      <c r="L142" s="84"/>
      <c r="M142" s="84"/>
      <c r="N142" s="84"/>
      <c r="O142" s="84"/>
      <c r="P142" s="84"/>
      <c r="Q142" s="84"/>
      <c r="R142" s="84"/>
      <c r="S142" s="84"/>
      <c r="T142" s="84"/>
      <c r="U142" s="84"/>
      <c r="V142" s="84"/>
      <c r="W142" s="84"/>
      <c r="X142" s="84"/>
      <c r="Y142" s="84"/>
      <c r="Z142" s="84"/>
    </row>
    <row r="143" ht="15.75" customHeight="1">
      <c r="A143" s="84"/>
      <c r="B143" s="84"/>
      <c r="C143" s="84"/>
      <c r="D143" s="84"/>
      <c r="E143" s="84"/>
      <c r="F143" s="84"/>
      <c r="G143" s="84"/>
      <c r="H143" s="84"/>
      <c r="I143" s="84"/>
      <c r="J143" s="84"/>
      <c r="K143" s="84"/>
      <c r="L143" s="84"/>
      <c r="M143" s="84"/>
      <c r="N143" s="84"/>
      <c r="O143" s="84"/>
      <c r="P143" s="84"/>
      <c r="Q143" s="84"/>
      <c r="R143" s="84"/>
      <c r="S143" s="84"/>
      <c r="T143" s="84"/>
      <c r="U143" s="84"/>
      <c r="V143" s="84"/>
      <c r="W143" s="84"/>
      <c r="X143" s="84"/>
      <c r="Y143" s="84"/>
      <c r="Z143" s="84"/>
    </row>
    <row r="144" ht="15.75" customHeight="1">
      <c r="A144" s="84"/>
      <c r="B144" s="84"/>
      <c r="C144" s="84"/>
      <c r="D144" s="84"/>
      <c r="E144" s="84"/>
      <c r="F144" s="84"/>
      <c r="G144" s="84"/>
      <c r="H144" s="84"/>
      <c r="I144" s="84"/>
      <c r="J144" s="84"/>
      <c r="K144" s="84"/>
      <c r="L144" s="84"/>
      <c r="M144" s="84"/>
      <c r="N144" s="84"/>
      <c r="O144" s="84"/>
      <c r="P144" s="84"/>
      <c r="Q144" s="84"/>
      <c r="R144" s="84"/>
      <c r="S144" s="84"/>
      <c r="T144" s="84"/>
      <c r="U144" s="84"/>
      <c r="V144" s="84"/>
      <c r="W144" s="84"/>
      <c r="X144" s="84"/>
      <c r="Y144" s="84"/>
      <c r="Z144" s="84"/>
    </row>
    <row r="145" ht="15.75" customHeight="1">
      <c r="A145" s="84"/>
      <c r="B145" s="84"/>
      <c r="C145" s="84"/>
      <c r="D145" s="84"/>
      <c r="E145" s="84"/>
      <c r="F145" s="84"/>
      <c r="G145" s="84"/>
      <c r="H145" s="84"/>
      <c r="I145" s="84"/>
      <c r="J145" s="84"/>
      <c r="K145" s="84"/>
      <c r="L145" s="84"/>
      <c r="M145" s="84"/>
      <c r="N145" s="84"/>
      <c r="O145" s="84"/>
      <c r="P145" s="84"/>
      <c r="Q145" s="84"/>
      <c r="R145" s="84"/>
      <c r="S145" s="84"/>
      <c r="T145" s="84"/>
      <c r="U145" s="84"/>
      <c r="V145" s="84"/>
      <c r="W145" s="84"/>
      <c r="X145" s="84"/>
      <c r="Y145" s="84"/>
      <c r="Z145" s="84"/>
    </row>
    <row r="146" ht="15.75" customHeight="1">
      <c r="A146" s="84"/>
      <c r="B146" s="84"/>
      <c r="C146" s="84"/>
      <c r="D146" s="84"/>
      <c r="E146" s="84"/>
      <c r="F146" s="84"/>
      <c r="G146" s="84"/>
      <c r="H146" s="84"/>
      <c r="I146" s="84"/>
      <c r="J146" s="84"/>
      <c r="K146" s="84"/>
      <c r="L146" s="84"/>
      <c r="M146" s="84"/>
      <c r="N146" s="84"/>
      <c r="O146" s="84"/>
      <c r="P146" s="84"/>
      <c r="Q146" s="84"/>
      <c r="R146" s="84"/>
      <c r="S146" s="84"/>
      <c r="T146" s="84"/>
      <c r="U146" s="84"/>
      <c r="V146" s="84"/>
      <c r="W146" s="84"/>
      <c r="X146" s="84"/>
      <c r="Y146" s="84"/>
      <c r="Z146" s="84"/>
    </row>
    <row r="147" ht="15.75" customHeight="1">
      <c r="A147" s="84"/>
      <c r="B147" s="84"/>
      <c r="C147" s="84"/>
      <c r="D147" s="84"/>
      <c r="E147" s="84"/>
      <c r="F147" s="84"/>
      <c r="G147" s="84"/>
      <c r="H147" s="84"/>
      <c r="I147" s="84"/>
      <c r="J147" s="84"/>
      <c r="K147" s="84"/>
      <c r="L147" s="84"/>
      <c r="M147" s="84"/>
      <c r="N147" s="84"/>
      <c r="O147" s="84"/>
      <c r="P147" s="84"/>
      <c r="Q147" s="84"/>
      <c r="R147" s="84"/>
      <c r="S147" s="84"/>
      <c r="T147" s="84"/>
      <c r="U147" s="84"/>
      <c r="V147" s="84"/>
      <c r="W147" s="84"/>
      <c r="X147" s="84"/>
      <c r="Y147" s="84"/>
      <c r="Z147" s="84"/>
    </row>
    <row r="148" ht="15.75" customHeight="1">
      <c r="A148" s="84"/>
      <c r="B148" s="84"/>
      <c r="C148" s="84"/>
      <c r="D148" s="84"/>
      <c r="E148" s="84"/>
      <c r="F148" s="84"/>
      <c r="G148" s="84"/>
      <c r="H148" s="84"/>
      <c r="I148" s="84"/>
      <c r="J148" s="84"/>
      <c r="K148" s="84"/>
      <c r="L148" s="84"/>
      <c r="M148" s="84"/>
      <c r="N148" s="84"/>
      <c r="O148" s="84"/>
      <c r="P148" s="84"/>
      <c r="Q148" s="84"/>
      <c r="R148" s="84"/>
      <c r="S148" s="84"/>
      <c r="T148" s="84"/>
      <c r="U148" s="84"/>
      <c r="V148" s="84"/>
      <c r="W148" s="84"/>
      <c r="X148" s="84"/>
      <c r="Y148" s="84"/>
      <c r="Z148" s="84"/>
    </row>
    <row r="149" ht="15.75" customHeight="1">
      <c r="A149" s="84"/>
      <c r="B149" s="84"/>
      <c r="C149" s="84"/>
      <c r="D149" s="84"/>
      <c r="E149" s="84"/>
      <c r="F149" s="84"/>
      <c r="G149" s="84"/>
      <c r="H149" s="84"/>
      <c r="I149" s="84"/>
      <c r="J149" s="84"/>
      <c r="K149" s="84"/>
      <c r="L149" s="84"/>
      <c r="M149" s="84"/>
      <c r="N149" s="84"/>
      <c r="O149" s="84"/>
      <c r="P149" s="84"/>
      <c r="Q149" s="84"/>
      <c r="R149" s="84"/>
      <c r="S149" s="84"/>
      <c r="T149" s="84"/>
      <c r="U149" s="84"/>
      <c r="V149" s="84"/>
      <c r="W149" s="84"/>
      <c r="X149" s="84"/>
      <c r="Y149" s="84"/>
      <c r="Z149" s="84"/>
    </row>
    <row r="150" ht="15.75" customHeight="1">
      <c r="A150" s="84"/>
      <c r="B150" s="84"/>
      <c r="C150" s="84"/>
      <c r="D150" s="84"/>
      <c r="E150" s="84"/>
      <c r="F150" s="84"/>
      <c r="G150" s="84"/>
      <c r="H150" s="84"/>
      <c r="I150" s="84"/>
      <c r="J150" s="84"/>
      <c r="K150" s="84"/>
      <c r="L150" s="84"/>
      <c r="M150" s="84"/>
      <c r="N150" s="84"/>
      <c r="O150" s="84"/>
      <c r="P150" s="84"/>
      <c r="Q150" s="84"/>
      <c r="R150" s="84"/>
      <c r="S150" s="84"/>
      <c r="T150" s="84"/>
      <c r="U150" s="84"/>
      <c r="V150" s="84"/>
      <c r="W150" s="84"/>
      <c r="X150" s="84"/>
      <c r="Y150" s="84"/>
      <c r="Z150" s="84"/>
    </row>
    <row r="151" ht="15.75" customHeight="1">
      <c r="A151" s="84"/>
      <c r="B151" s="84"/>
      <c r="C151" s="84"/>
      <c r="D151" s="84"/>
      <c r="E151" s="84"/>
      <c r="F151" s="84"/>
      <c r="G151" s="84"/>
      <c r="H151" s="84"/>
      <c r="I151" s="84"/>
      <c r="J151" s="84"/>
      <c r="K151" s="84"/>
      <c r="L151" s="84"/>
      <c r="M151" s="84"/>
      <c r="N151" s="84"/>
      <c r="O151" s="84"/>
      <c r="P151" s="84"/>
      <c r="Q151" s="84"/>
      <c r="R151" s="84"/>
      <c r="S151" s="84"/>
      <c r="T151" s="84"/>
      <c r="U151" s="84"/>
      <c r="V151" s="84"/>
      <c r="W151" s="84"/>
      <c r="X151" s="84"/>
      <c r="Y151" s="84"/>
      <c r="Z151" s="84"/>
    </row>
    <row r="152" ht="15.75" customHeight="1">
      <c r="A152" s="84"/>
      <c r="B152" s="84"/>
      <c r="C152" s="84"/>
      <c r="D152" s="84"/>
      <c r="E152" s="84"/>
      <c r="F152" s="84"/>
      <c r="G152" s="84"/>
      <c r="H152" s="84"/>
      <c r="I152" s="84"/>
      <c r="J152" s="84"/>
      <c r="K152" s="84"/>
      <c r="L152" s="84"/>
      <c r="M152" s="84"/>
      <c r="N152" s="84"/>
      <c r="O152" s="84"/>
      <c r="P152" s="84"/>
      <c r="Q152" s="84"/>
      <c r="R152" s="84"/>
      <c r="S152" s="84"/>
      <c r="T152" s="84"/>
      <c r="U152" s="84"/>
      <c r="V152" s="84"/>
      <c r="W152" s="84"/>
      <c r="X152" s="84"/>
      <c r="Y152" s="84"/>
      <c r="Z152" s="84"/>
    </row>
    <row r="153" ht="15.75" customHeight="1">
      <c r="A153" s="84"/>
      <c r="B153" s="84"/>
      <c r="C153" s="84"/>
      <c r="D153" s="84"/>
      <c r="E153" s="84"/>
      <c r="F153" s="84"/>
      <c r="G153" s="84"/>
      <c r="H153" s="84"/>
      <c r="I153" s="84"/>
      <c r="J153" s="84"/>
      <c r="K153" s="84"/>
      <c r="L153" s="84"/>
      <c r="M153" s="84"/>
      <c r="N153" s="84"/>
      <c r="O153" s="84"/>
      <c r="P153" s="84"/>
      <c r="Q153" s="84"/>
      <c r="R153" s="84"/>
      <c r="S153" s="84"/>
      <c r="T153" s="84"/>
      <c r="U153" s="84"/>
      <c r="V153" s="84"/>
      <c r="W153" s="84"/>
      <c r="X153" s="84"/>
      <c r="Y153" s="84"/>
      <c r="Z153" s="84"/>
    </row>
    <row r="154" ht="15.75" customHeight="1">
      <c r="A154" s="84"/>
      <c r="B154" s="84"/>
      <c r="C154" s="84"/>
      <c r="D154" s="84"/>
      <c r="E154" s="84"/>
      <c r="F154" s="84"/>
      <c r="G154" s="84"/>
      <c r="H154" s="84"/>
      <c r="I154" s="84"/>
      <c r="J154" s="84"/>
      <c r="K154" s="84"/>
      <c r="L154" s="84"/>
      <c r="M154" s="84"/>
      <c r="N154" s="84"/>
      <c r="O154" s="84"/>
      <c r="P154" s="84"/>
      <c r="Q154" s="84"/>
      <c r="R154" s="84"/>
      <c r="S154" s="84"/>
      <c r="T154" s="84"/>
      <c r="U154" s="84"/>
      <c r="V154" s="84"/>
      <c r="W154" s="84"/>
      <c r="X154" s="84"/>
      <c r="Y154" s="84"/>
      <c r="Z154" s="84"/>
    </row>
    <row r="155" ht="15.75" customHeight="1">
      <c r="A155" s="84"/>
      <c r="B155" s="84"/>
      <c r="C155" s="84"/>
      <c r="D155" s="84"/>
      <c r="E155" s="84"/>
      <c r="F155" s="84"/>
      <c r="G155" s="84"/>
      <c r="H155" s="84"/>
      <c r="I155" s="84"/>
      <c r="J155" s="84"/>
      <c r="K155" s="84"/>
      <c r="L155" s="84"/>
      <c r="M155" s="84"/>
      <c r="N155" s="84"/>
      <c r="O155" s="84"/>
      <c r="P155" s="84"/>
      <c r="Q155" s="84"/>
      <c r="R155" s="84"/>
      <c r="S155" s="84"/>
      <c r="T155" s="84"/>
      <c r="U155" s="84"/>
      <c r="V155" s="84"/>
      <c r="W155" s="84"/>
      <c r="X155" s="84"/>
      <c r="Y155" s="84"/>
      <c r="Z155" s="84"/>
    </row>
    <row r="156" ht="15.75" customHeight="1">
      <c r="A156" s="84"/>
      <c r="B156" s="84"/>
      <c r="C156" s="84"/>
      <c r="D156" s="84"/>
      <c r="E156" s="84"/>
      <c r="F156" s="84"/>
      <c r="G156" s="84"/>
      <c r="H156" s="84"/>
      <c r="I156" s="84"/>
      <c r="J156" s="84"/>
      <c r="K156" s="84"/>
      <c r="L156" s="84"/>
      <c r="M156" s="84"/>
      <c r="N156" s="84"/>
      <c r="O156" s="84"/>
      <c r="P156" s="84"/>
      <c r="Q156" s="84"/>
      <c r="R156" s="84"/>
      <c r="S156" s="84"/>
      <c r="T156" s="84"/>
      <c r="U156" s="84"/>
      <c r="V156" s="84"/>
      <c r="W156" s="84"/>
      <c r="X156" s="84"/>
      <c r="Y156" s="84"/>
      <c r="Z156" s="84"/>
    </row>
    <row r="157" ht="15.75" customHeight="1">
      <c r="A157" s="84"/>
      <c r="B157" s="84"/>
      <c r="C157" s="84"/>
      <c r="D157" s="84"/>
      <c r="E157" s="84"/>
      <c r="F157" s="84"/>
      <c r="G157" s="84"/>
      <c r="H157" s="84"/>
      <c r="I157" s="84"/>
      <c r="J157" s="84"/>
      <c r="K157" s="84"/>
      <c r="L157" s="84"/>
      <c r="M157" s="84"/>
      <c r="N157" s="84"/>
      <c r="O157" s="84"/>
      <c r="P157" s="84"/>
      <c r="Q157" s="84"/>
      <c r="R157" s="84"/>
      <c r="S157" s="84"/>
      <c r="T157" s="84"/>
      <c r="U157" s="84"/>
      <c r="V157" s="84"/>
      <c r="W157" s="84"/>
      <c r="X157" s="84"/>
      <c r="Y157" s="84"/>
      <c r="Z157" s="84"/>
    </row>
    <row r="158" ht="15.75" customHeight="1">
      <c r="A158" s="84"/>
      <c r="B158" s="84"/>
      <c r="C158" s="84"/>
      <c r="D158" s="84"/>
      <c r="E158" s="84"/>
      <c r="F158" s="84"/>
      <c r="G158" s="84"/>
      <c r="H158" s="84"/>
      <c r="I158" s="84"/>
      <c r="J158" s="84"/>
      <c r="K158" s="84"/>
      <c r="L158" s="84"/>
      <c r="M158" s="84"/>
      <c r="N158" s="84"/>
      <c r="O158" s="84"/>
      <c r="P158" s="84"/>
      <c r="Q158" s="84"/>
      <c r="R158" s="84"/>
      <c r="S158" s="84"/>
      <c r="T158" s="84"/>
      <c r="U158" s="84"/>
      <c r="V158" s="84"/>
      <c r="W158" s="84"/>
      <c r="X158" s="84"/>
      <c r="Y158" s="84"/>
      <c r="Z158" s="84"/>
    </row>
    <row r="159" ht="15.75" customHeight="1">
      <c r="A159" s="84"/>
      <c r="B159" s="84"/>
      <c r="C159" s="84"/>
      <c r="D159" s="84"/>
      <c r="E159" s="84"/>
      <c r="F159" s="84"/>
      <c r="G159" s="84"/>
      <c r="H159" s="84"/>
      <c r="I159" s="84"/>
      <c r="J159" s="84"/>
      <c r="K159" s="84"/>
      <c r="L159" s="84"/>
      <c r="M159" s="84"/>
      <c r="N159" s="84"/>
      <c r="O159" s="84"/>
      <c r="P159" s="84"/>
      <c r="Q159" s="84"/>
      <c r="R159" s="84"/>
      <c r="S159" s="84"/>
      <c r="T159" s="84"/>
      <c r="U159" s="84"/>
      <c r="V159" s="84"/>
      <c r="W159" s="84"/>
      <c r="X159" s="84"/>
      <c r="Y159" s="84"/>
      <c r="Z159" s="84"/>
    </row>
    <row r="160" ht="15.75" customHeight="1">
      <c r="A160" s="84"/>
      <c r="B160" s="84"/>
      <c r="C160" s="84"/>
      <c r="D160" s="84"/>
      <c r="E160" s="84"/>
      <c r="F160" s="84"/>
      <c r="G160" s="84"/>
      <c r="H160" s="84"/>
      <c r="I160" s="84"/>
      <c r="J160" s="84"/>
      <c r="K160" s="84"/>
      <c r="L160" s="84"/>
      <c r="M160" s="84"/>
      <c r="N160" s="84"/>
      <c r="O160" s="84"/>
      <c r="P160" s="84"/>
      <c r="Q160" s="84"/>
      <c r="R160" s="84"/>
      <c r="S160" s="84"/>
      <c r="T160" s="84"/>
      <c r="U160" s="84"/>
      <c r="V160" s="84"/>
      <c r="W160" s="84"/>
      <c r="X160" s="84"/>
      <c r="Y160" s="84"/>
      <c r="Z160" s="84"/>
    </row>
    <row r="161" ht="15.75" customHeight="1">
      <c r="A161" s="84"/>
      <c r="B161" s="84"/>
      <c r="C161" s="84"/>
      <c r="D161" s="84"/>
      <c r="E161" s="84"/>
      <c r="F161" s="84"/>
      <c r="G161" s="84"/>
      <c r="H161" s="84"/>
      <c r="I161" s="84"/>
      <c r="J161" s="84"/>
      <c r="K161" s="84"/>
      <c r="L161" s="84"/>
      <c r="M161" s="84"/>
      <c r="N161" s="84"/>
      <c r="O161" s="84"/>
      <c r="P161" s="84"/>
      <c r="Q161" s="84"/>
      <c r="R161" s="84"/>
      <c r="S161" s="84"/>
      <c r="T161" s="84"/>
      <c r="U161" s="84"/>
      <c r="V161" s="84"/>
      <c r="W161" s="84"/>
      <c r="X161" s="84"/>
      <c r="Y161" s="84"/>
      <c r="Z161" s="84"/>
    </row>
    <row r="162" ht="15.75" customHeight="1">
      <c r="A162" s="84"/>
      <c r="B162" s="84"/>
      <c r="C162" s="84"/>
      <c r="D162" s="84"/>
      <c r="E162" s="84"/>
      <c r="F162" s="84"/>
      <c r="G162" s="84"/>
      <c r="H162" s="84"/>
      <c r="I162" s="84"/>
      <c r="J162" s="84"/>
      <c r="K162" s="84"/>
      <c r="L162" s="84"/>
      <c r="M162" s="84"/>
      <c r="N162" s="84"/>
      <c r="O162" s="84"/>
      <c r="P162" s="84"/>
      <c r="Q162" s="84"/>
      <c r="R162" s="84"/>
      <c r="S162" s="84"/>
      <c r="T162" s="84"/>
      <c r="U162" s="84"/>
      <c r="V162" s="84"/>
      <c r="W162" s="84"/>
      <c r="X162" s="84"/>
      <c r="Y162" s="84"/>
      <c r="Z162" s="84"/>
    </row>
    <row r="163" ht="15.75" customHeight="1">
      <c r="A163" s="84"/>
      <c r="B163" s="84"/>
      <c r="C163" s="84"/>
      <c r="D163" s="84"/>
      <c r="E163" s="84"/>
      <c r="F163" s="84"/>
      <c r="G163" s="84"/>
      <c r="H163" s="84"/>
      <c r="I163" s="84"/>
      <c r="J163" s="84"/>
      <c r="K163" s="84"/>
      <c r="L163" s="84"/>
      <c r="M163" s="84"/>
      <c r="N163" s="84"/>
      <c r="O163" s="84"/>
      <c r="P163" s="84"/>
      <c r="Q163" s="84"/>
      <c r="R163" s="84"/>
      <c r="S163" s="84"/>
      <c r="T163" s="84"/>
      <c r="U163" s="84"/>
      <c r="V163" s="84"/>
      <c r="W163" s="84"/>
      <c r="X163" s="84"/>
      <c r="Y163" s="84"/>
      <c r="Z163" s="84"/>
    </row>
    <row r="164" ht="15.75" customHeight="1">
      <c r="A164" s="84"/>
      <c r="B164" s="84"/>
      <c r="C164" s="84"/>
      <c r="D164" s="84"/>
      <c r="E164" s="84"/>
      <c r="F164" s="84"/>
      <c r="G164" s="84"/>
      <c r="H164" s="84"/>
      <c r="I164" s="84"/>
      <c r="J164" s="84"/>
      <c r="K164" s="84"/>
      <c r="L164" s="84"/>
      <c r="M164" s="84"/>
      <c r="N164" s="84"/>
      <c r="O164" s="84"/>
      <c r="P164" s="84"/>
      <c r="Q164" s="84"/>
      <c r="R164" s="84"/>
      <c r="S164" s="84"/>
      <c r="T164" s="84"/>
      <c r="U164" s="84"/>
      <c r="V164" s="84"/>
      <c r="W164" s="84"/>
      <c r="X164" s="84"/>
      <c r="Y164" s="84"/>
      <c r="Z164" s="84"/>
    </row>
    <row r="165" ht="15.75" customHeight="1">
      <c r="A165" s="84"/>
      <c r="B165" s="84"/>
      <c r="C165" s="84"/>
      <c r="D165" s="84"/>
      <c r="E165" s="84"/>
      <c r="F165" s="84"/>
      <c r="G165" s="84"/>
      <c r="H165" s="84"/>
      <c r="I165" s="84"/>
      <c r="J165" s="84"/>
      <c r="K165" s="84"/>
      <c r="L165" s="84"/>
      <c r="M165" s="84"/>
      <c r="N165" s="84"/>
      <c r="O165" s="84"/>
      <c r="P165" s="84"/>
      <c r="Q165" s="84"/>
      <c r="R165" s="84"/>
      <c r="S165" s="84"/>
      <c r="T165" s="84"/>
      <c r="U165" s="84"/>
      <c r="V165" s="84"/>
      <c r="W165" s="84"/>
      <c r="X165" s="84"/>
      <c r="Y165" s="84"/>
      <c r="Z165" s="84"/>
    </row>
    <row r="166" ht="15.75" customHeight="1">
      <c r="A166" s="84"/>
      <c r="B166" s="84"/>
      <c r="C166" s="84"/>
      <c r="D166" s="84"/>
      <c r="E166" s="84"/>
      <c r="F166" s="84"/>
      <c r="G166" s="84"/>
      <c r="H166" s="84"/>
      <c r="I166" s="84"/>
      <c r="J166" s="84"/>
      <c r="K166" s="84"/>
      <c r="L166" s="84"/>
      <c r="M166" s="84"/>
      <c r="N166" s="84"/>
      <c r="O166" s="84"/>
      <c r="P166" s="84"/>
      <c r="Q166" s="84"/>
      <c r="R166" s="84"/>
      <c r="S166" s="84"/>
      <c r="T166" s="84"/>
      <c r="U166" s="84"/>
      <c r="V166" s="84"/>
      <c r="W166" s="84"/>
      <c r="X166" s="84"/>
      <c r="Y166" s="84"/>
      <c r="Z166" s="84"/>
    </row>
    <row r="167" ht="15.75" customHeight="1">
      <c r="A167" s="84"/>
      <c r="B167" s="84"/>
      <c r="C167" s="84"/>
      <c r="D167" s="84"/>
      <c r="E167" s="84"/>
      <c r="F167" s="84"/>
      <c r="G167" s="84"/>
      <c r="H167" s="84"/>
      <c r="I167" s="84"/>
      <c r="J167" s="84"/>
      <c r="K167" s="84"/>
      <c r="L167" s="84"/>
      <c r="M167" s="84"/>
      <c r="N167" s="84"/>
      <c r="O167" s="84"/>
      <c r="P167" s="84"/>
      <c r="Q167" s="84"/>
      <c r="R167" s="84"/>
      <c r="S167" s="84"/>
      <c r="T167" s="84"/>
      <c r="U167" s="84"/>
      <c r="V167" s="84"/>
      <c r="W167" s="84"/>
      <c r="X167" s="84"/>
      <c r="Y167" s="84"/>
      <c r="Z167" s="84"/>
    </row>
    <row r="168" ht="15.75" customHeight="1">
      <c r="A168" s="84"/>
      <c r="B168" s="84"/>
      <c r="C168" s="84"/>
      <c r="D168" s="84"/>
      <c r="E168" s="84"/>
      <c r="F168" s="84"/>
      <c r="G168" s="84"/>
      <c r="H168" s="84"/>
      <c r="I168" s="84"/>
      <c r="J168" s="84"/>
      <c r="K168" s="84"/>
      <c r="L168" s="84"/>
      <c r="M168" s="84"/>
      <c r="N168" s="84"/>
      <c r="O168" s="84"/>
      <c r="P168" s="84"/>
      <c r="Q168" s="84"/>
      <c r="R168" s="84"/>
      <c r="S168" s="84"/>
      <c r="T168" s="84"/>
      <c r="U168" s="84"/>
      <c r="V168" s="84"/>
      <c r="W168" s="84"/>
      <c r="X168" s="84"/>
      <c r="Y168" s="84"/>
      <c r="Z168" s="84"/>
    </row>
    <row r="169" ht="15.75" customHeight="1">
      <c r="A169" s="84"/>
      <c r="B169" s="84"/>
      <c r="C169" s="84"/>
      <c r="D169" s="84"/>
      <c r="E169" s="84"/>
      <c r="F169" s="84"/>
      <c r="G169" s="84"/>
      <c r="H169" s="84"/>
      <c r="I169" s="84"/>
      <c r="J169" s="84"/>
      <c r="K169" s="84"/>
      <c r="L169" s="84"/>
      <c r="M169" s="84"/>
      <c r="N169" s="84"/>
      <c r="O169" s="84"/>
      <c r="P169" s="84"/>
      <c r="Q169" s="84"/>
      <c r="R169" s="84"/>
      <c r="S169" s="84"/>
      <c r="T169" s="84"/>
      <c r="U169" s="84"/>
      <c r="V169" s="84"/>
      <c r="W169" s="84"/>
      <c r="X169" s="84"/>
      <c r="Y169" s="84"/>
      <c r="Z169" s="84"/>
    </row>
    <row r="170" ht="15.75" customHeight="1">
      <c r="A170" s="84"/>
      <c r="B170" s="84"/>
      <c r="C170" s="84"/>
      <c r="D170" s="84"/>
      <c r="E170" s="84"/>
      <c r="F170" s="84"/>
      <c r="G170" s="84"/>
      <c r="H170" s="84"/>
      <c r="I170" s="84"/>
      <c r="J170" s="84"/>
      <c r="K170" s="84"/>
      <c r="L170" s="84"/>
      <c r="M170" s="84"/>
      <c r="N170" s="84"/>
      <c r="O170" s="84"/>
      <c r="P170" s="84"/>
      <c r="Q170" s="84"/>
      <c r="R170" s="84"/>
      <c r="S170" s="84"/>
      <c r="T170" s="84"/>
      <c r="U170" s="84"/>
      <c r="V170" s="84"/>
      <c r="W170" s="84"/>
      <c r="X170" s="84"/>
      <c r="Y170" s="84"/>
      <c r="Z170" s="84"/>
    </row>
    <row r="171" ht="15.75" customHeight="1">
      <c r="A171" s="84"/>
      <c r="B171" s="84"/>
      <c r="C171" s="84"/>
      <c r="D171" s="84"/>
      <c r="E171" s="84"/>
      <c r="F171" s="84"/>
      <c r="G171" s="84"/>
      <c r="H171" s="84"/>
      <c r="I171" s="84"/>
      <c r="J171" s="84"/>
      <c r="K171" s="84"/>
      <c r="L171" s="84"/>
      <c r="M171" s="84"/>
      <c r="N171" s="84"/>
      <c r="O171" s="84"/>
      <c r="P171" s="84"/>
      <c r="Q171" s="84"/>
      <c r="R171" s="84"/>
      <c r="S171" s="84"/>
      <c r="T171" s="84"/>
      <c r="U171" s="84"/>
      <c r="V171" s="84"/>
      <c r="W171" s="84"/>
      <c r="X171" s="84"/>
      <c r="Y171" s="84"/>
      <c r="Z171" s="84"/>
    </row>
    <row r="172" ht="15.75" customHeight="1">
      <c r="A172" s="84"/>
      <c r="B172" s="84"/>
      <c r="C172" s="84"/>
      <c r="D172" s="84"/>
      <c r="E172" s="84"/>
      <c r="F172" s="84"/>
      <c r="G172" s="84"/>
      <c r="H172" s="84"/>
      <c r="I172" s="84"/>
      <c r="J172" s="84"/>
      <c r="K172" s="84"/>
      <c r="L172" s="84"/>
      <c r="M172" s="84"/>
      <c r="N172" s="84"/>
      <c r="O172" s="84"/>
      <c r="P172" s="84"/>
      <c r="Q172" s="84"/>
      <c r="R172" s="84"/>
      <c r="S172" s="84"/>
      <c r="T172" s="84"/>
      <c r="U172" s="84"/>
      <c r="V172" s="84"/>
      <c r="W172" s="84"/>
      <c r="X172" s="84"/>
      <c r="Y172" s="84"/>
      <c r="Z172" s="84"/>
    </row>
    <row r="173" ht="15.75" customHeight="1">
      <c r="A173" s="84"/>
      <c r="B173" s="84"/>
      <c r="C173" s="84"/>
      <c r="D173" s="84"/>
      <c r="E173" s="84"/>
      <c r="F173" s="84"/>
      <c r="G173" s="84"/>
      <c r="H173" s="84"/>
      <c r="I173" s="84"/>
      <c r="J173" s="84"/>
      <c r="K173" s="84"/>
      <c r="L173" s="84"/>
      <c r="M173" s="84"/>
      <c r="N173" s="84"/>
      <c r="O173" s="84"/>
      <c r="P173" s="84"/>
      <c r="Q173" s="84"/>
      <c r="R173" s="84"/>
      <c r="S173" s="84"/>
      <c r="T173" s="84"/>
      <c r="U173" s="84"/>
      <c r="V173" s="84"/>
      <c r="W173" s="84"/>
      <c r="X173" s="84"/>
      <c r="Y173" s="84"/>
      <c r="Z173" s="84"/>
    </row>
    <row r="174" ht="15.75" customHeight="1">
      <c r="A174" s="84"/>
      <c r="B174" s="84"/>
      <c r="C174" s="84"/>
      <c r="D174" s="84"/>
      <c r="E174" s="84"/>
      <c r="F174" s="84"/>
      <c r="G174" s="84"/>
      <c r="H174" s="84"/>
      <c r="I174" s="84"/>
      <c r="J174" s="84"/>
      <c r="K174" s="84"/>
      <c r="L174" s="84"/>
      <c r="M174" s="84"/>
      <c r="N174" s="84"/>
      <c r="O174" s="84"/>
      <c r="P174" s="84"/>
      <c r="Q174" s="84"/>
      <c r="R174" s="84"/>
      <c r="S174" s="84"/>
      <c r="T174" s="84"/>
      <c r="U174" s="84"/>
      <c r="V174" s="84"/>
      <c r="W174" s="84"/>
      <c r="X174" s="84"/>
      <c r="Y174" s="84"/>
      <c r="Z174" s="84"/>
    </row>
    <row r="175" ht="15.75" customHeight="1">
      <c r="A175" s="84"/>
      <c r="B175" s="84"/>
      <c r="C175" s="84"/>
      <c r="D175" s="84"/>
      <c r="E175" s="84"/>
      <c r="F175" s="84"/>
      <c r="G175" s="84"/>
      <c r="H175" s="84"/>
      <c r="I175" s="84"/>
      <c r="J175" s="84"/>
      <c r="K175" s="84"/>
      <c r="L175" s="84"/>
      <c r="M175" s="84"/>
      <c r="N175" s="84"/>
      <c r="O175" s="84"/>
      <c r="P175" s="84"/>
      <c r="Q175" s="84"/>
      <c r="R175" s="84"/>
      <c r="S175" s="84"/>
      <c r="T175" s="84"/>
      <c r="U175" s="84"/>
      <c r="V175" s="84"/>
      <c r="W175" s="84"/>
      <c r="X175" s="84"/>
      <c r="Y175" s="84"/>
      <c r="Z175" s="84"/>
    </row>
    <row r="176" ht="15.75" customHeight="1">
      <c r="A176" s="84"/>
      <c r="B176" s="84"/>
      <c r="C176" s="84"/>
      <c r="D176" s="84"/>
      <c r="E176" s="84"/>
      <c r="F176" s="84"/>
      <c r="G176" s="84"/>
      <c r="H176" s="84"/>
      <c r="I176" s="84"/>
      <c r="J176" s="84"/>
      <c r="K176" s="84"/>
      <c r="L176" s="84"/>
      <c r="M176" s="84"/>
      <c r="N176" s="84"/>
      <c r="O176" s="84"/>
      <c r="P176" s="84"/>
      <c r="Q176" s="84"/>
      <c r="R176" s="84"/>
      <c r="S176" s="84"/>
      <c r="T176" s="84"/>
      <c r="U176" s="84"/>
      <c r="V176" s="84"/>
      <c r="W176" s="84"/>
      <c r="X176" s="84"/>
      <c r="Y176" s="84"/>
      <c r="Z176" s="84"/>
    </row>
    <row r="177" ht="15.75" customHeight="1">
      <c r="A177" s="84"/>
      <c r="B177" s="84"/>
      <c r="C177" s="84"/>
      <c r="D177" s="84"/>
      <c r="E177" s="84"/>
      <c r="F177" s="84"/>
      <c r="G177" s="84"/>
      <c r="H177" s="84"/>
      <c r="I177" s="84"/>
      <c r="J177" s="84"/>
      <c r="K177" s="84"/>
      <c r="L177" s="84"/>
      <c r="M177" s="84"/>
      <c r="N177" s="84"/>
      <c r="O177" s="84"/>
      <c r="P177" s="84"/>
      <c r="Q177" s="84"/>
      <c r="R177" s="84"/>
      <c r="S177" s="84"/>
      <c r="T177" s="84"/>
      <c r="U177" s="84"/>
      <c r="V177" s="84"/>
      <c r="W177" s="84"/>
      <c r="X177" s="84"/>
      <c r="Y177" s="84"/>
      <c r="Z177" s="84"/>
    </row>
    <row r="178" ht="15.75" customHeight="1">
      <c r="A178" s="84"/>
      <c r="B178" s="84"/>
      <c r="C178" s="84"/>
      <c r="D178" s="84"/>
      <c r="E178" s="84"/>
      <c r="F178" s="84"/>
      <c r="G178" s="84"/>
      <c r="H178" s="84"/>
      <c r="I178" s="84"/>
      <c r="J178" s="84"/>
      <c r="K178" s="84"/>
      <c r="L178" s="84"/>
      <c r="M178" s="84"/>
      <c r="N178" s="84"/>
      <c r="O178" s="84"/>
      <c r="P178" s="84"/>
      <c r="Q178" s="84"/>
      <c r="R178" s="84"/>
      <c r="S178" s="84"/>
      <c r="T178" s="84"/>
      <c r="U178" s="84"/>
      <c r="V178" s="84"/>
      <c r="W178" s="84"/>
      <c r="X178" s="84"/>
      <c r="Y178" s="84"/>
      <c r="Z178" s="84"/>
    </row>
    <row r="179" ht="15.75" customHeight="1">
      <c r="A179" s="84"/>
      <c r="B179" s="84"/>
      <c r="C179" s="84"/>
      <c r="D179" s="84"/>
      <c r="E179" s="84"/>
      <c r="F179" s="84"/>
      <c r="G179" s="84"/>
      <c r="H179" s="84"/>
      <c r="I179" s="84"/>
      <c r="J179" s="84"/>
      <c r="K179" s="84"/>
      <c r="L179" s="84"/>
      <c r="M179" s="84"/>
      <c r="N179" s="84"/>
      <c r="O179" s="84"/>
      <c r="P179" s="84"/>
      <c r="Q179" s="84"/>
      <c r="R179" s="84"/>
      <c r="S179" s="84"/>
      <c r="T179" s="84"/>
      <c r="U179" s="84"/>
      <c r="V179" s="84"/>
      <c r="W179" s="84"/>
      <c r="X179" s="84"/>
      <c r="Y179" s="84"/>
      <c r="Z179" s="84"/>
    </row>
    <row r="180" ht="15.75" customHeight="1">
      <c r="A180" s="84"/>
      <c r="B180" s="84"/>
      <c r="C180" s="84"/>
      <c r="D180" s="84"/>
      <c r="E180" s="84"/>
      <c r="F180" s="84"/>
      <c r="G180" s="84"/>
      <c r="H180" s="84"/>
      <c r="I180" s="84"/>
      <c r="J180" s="84"/>
      <c r="K180" s="84"/>
      <c r="L180" s="84"/>
      <c r="M180" s="84"/>
      <c r="N180" s="84"/>
      <c r="O180" s="84"/>
      <c r="P180" s="84"/>
      <c r="Q180" s="84"/>
      <c r="R180" s="84"/>
      <c r="S180" s="84"/>
      <c r="T180" s="84"/>
      <c r="U180" s="84"/>
      <c r="V180" s="84"/>
      <c r="W180" s="84"/>
      <c r="X180" s="84"/>
      <c r="Y180" s="84"/>
      <c r="Z180" s="84"/>
    </row>
    <row r="181" ht="15.75" customHeight="1">
      <c r="A181" s="84"/>
      <c r="B181" s="84"/>
      <c r="C181" s="84"/>
      <c r="D181" s="84"/>
      <c r="E181" s="84"/>
      <c r="F181" s="84"/>
      <c r="G181" s="84"/>
      <c r="H181" s="84"/>
      <c r="I181" s="84"/>
      <c r="J181" s="84"/>
      <c r="K181" s="84"/>
      <c r="L181" s="84"/>
      <c r="M181" s="84"/>
      <c r="N181" s="84"/>
      <c r="O181" s="84"/>
      <c r="P181" s="84"/>
      <c r="Q181" s="84"/>
      <c r="R181" s="84"/>
      <c r="S181" s="84"/>
      <c r="T181" s="84"/>
      <c r="U181" s="84"/>
      <c r="V181" s="84"/>
      <c r="W181" s="84"/>
      <c r="X181" s="84"/>
      <c r="Y181" s="84"/>
      <c r="Z181" s="84"/>
    </row>
    <row r="182" ht="15.75" customHeight="1">
      <c r="A182" s="84"/>
      <c r="B182" s="84"/>
      <c r="C182" s="84"/>
      <c r="D182" s="84"/>
      <c r="E182" s="84"/>
      <c r="F182" s="84"/>
      <c r="G182" s="84"/>
      <c r="H182" s="84"/>
      <c r="I182" s="84"/>
      <c r="J182" s="84"/>
      <c r="K182" s="84"/>
      <c r="L182" s="84"/>
      <c r="M182" s="84"/>
      <c r="N182" s="84"/>
      <c r="O182" s="84"/>
      <c r="P182" s="84"/>
      <c r="Q182" s="84"/>
      <c r="R182" s="84"/>
      <c r="S182" s="84"/>
      <c r="T182" s="84"/>
      <c r="U182" s="84"/>
      <c r="V182" s="84"/>
      <c r="W182" s="84"/>
      <c r="X182" s="84"/>
      <c r="Y182" s="84"/>
      <c r="Z182" s="84"/>
    </row>
    <row r="183" ht="15.75" customHeight="1">
      <c r="A183" s="84"/>
      <c r="B183" s="84"/>
      <c r="C183" s="84"/>
      <c r="D183" s="84"/>
      <c r="E183" s="84"/>
      <c r="F183" s="84"/>
      <c r="G183" s="84"/>
      <c r="H183" s="84"/>
      <c r="I183" s="84"/>
      <c r="J183" s="84"/>
      <c r="K183" s="84"/>
      <c r="L183" s="84"/>
      <c r="M183" s="84"/>
      <c r="N183" s="84"/>
      <c r="O183" s="84"/>
      <c r="P183" s="84"/>
      <c r="Q183" s="84"/>
      <c r="R183" s="84"/>
      <c r="S183" s="84"/>
      <c r="T183" s="84"/>
      <c r="U183" s="84"/>
      <c r="V183" s="84"/>
      <c r="W183" s="84"/>
      <c r="X183" s="84"/>
      <c r="Y183" s="84"/>
      <c r="Z183" s="84"/>
    </row>
    <row r="184" ht="15.75" customHeight="1">
      <c r="A184" s="84"/>
      <c r="B184" s="84"/>
      <c r="C184" s="84"/>
      <c r="D184" s="84"/>
      <c r="E184" s="84"/>
      <c r="F184" s="84"/>
      <c r="G184" s="84"/>
      <c r="H184" s="84"/>
      <c r="I184" s="84"/>
      <c r="J184" s="84"/>
      <c r="K184" s="84"/>
      <c r="L184" s="84"/>
      <c r="M184" s="84"/>
      <c r="N184" s="84"/>
      <c r="O184" s="84"/>
      <c r="P184" s="84"/>
      <c r="Q184" s="84"/>
      <c r="R184" s="84"/>
      <c r="S184" s="84"/>
      <c r="T184" s="84"/>
      <c r="U184" s="84"/>
      <c r="V184" s="84"/>
      <c r="W184" s="84"/>
      <c r="X184" s="84"/>
      <c r="Y184" s="84"/>
      <c r="Z184" s="84"/>
    </row>
    <row r="185" ht="15.75" customHeight="1">
      <c r="A185" s="84"/>
      <c r="B185" s="84"/>
      <c r="C185" s="84"/>
      <c r="D185" s="84"/>
      <c r="E185" s="84"/>
      <c r="F185" s="84"/>
      <c r="G185" s="84"/>
      <c r="H185" s="84"/>
      <c r="I185" s="84"/>
      <c r="J185" s="84"/>
      <c r="K185" s="84"/>
      <c r="L185" s="84"/>
      <c r="M185" s="84"/>
      <c r="N185" s="84"/>
      <c r="O185" s="84"/>
      <c r="P185" s="84"/>
      <c r="Q185" s="84"/>
      <c r="R185" s="84"/>
      <c r="S185" s="84"/>
      <c r="T185" s="84"/>
      <c r="U185" s="84"/>
      <c r="V185" s="84"/>
      <c r="W185" s="84"/>
      <c r="X185" s="84"/>
      <c r="Y185" s="84"/>
      <c r="Z185" s="84"/>
    </row>
    <row r="186" ht="15.75" customHeight="1">
      <c r="A186" s="84"/>
      <c r="B186" s="84"/>
      <c r="C186" s="84"/>
      <c r="D186" s="84"/>
      <c r="E186" s="84"/>
      <c r="F186" s="84"/>
      <c r="G186" s="84"/>
      <c r="H186" s="84"/>
      <c r="I186" s="84"/>
      <c r="J186" s="84"/>
      <c r="K186" s="84"/>
      <c r="L186" s="84"/>
      <c r="M186" s="84"/>
      <c r="N186" s="84"/>
      <c r="O186" s="84"/>
      <c r="P186" s="84"/>
      <c r="Q186" s="84"/>
      <c r="R186" s="84"/>
      <c r="S186" s="84"/>
      <c r="T186" s="84"/>
      <c r="U186" s="84"/>
      <c r="V186" s="84"/>
      <c r="W186" s="84"/>
      <c r="X186" s="84"/>
      <c r="Y186" s="84"/>
      <c r="Z186" s="84"/>
    </row>
    <row r="187" ht="15.75" customHeight="1">
      <c r="A187" s="84"/>
      <c r="B187" s="84"/>
      <c r="C187" s="84"/>
      <c r="D187" s="84"/>
      <c r="E187" s="84"/>
      <c r="F187" s="84"/>
      <c r="G187" s="84"/>
      <c r="H187" s="84"/>
      <c r="I187" s="84"/>
      <c r="J187" s="84"/>
      <c r="K187" s="84"/>
      <c r="L187" s="84"/>
      <c r="M187" s="84"/>
      <c r="N187" s="84"/>
      <c r="O187" s="84"/>
      <c r="P187" s="84"/>
      <c r="Q187" s="84"/>
      <c r="R187" s="84"/>
      <c r="S187" s="84"/>
      <c r="T187" s="84"/>
      <c r="U187" s="84"/>
      <c r="V187" s="84"/>
      <c r="W187" s="84"/>
      <c r="X187" s="84"/>
      <c r="Y187" s="84"/>
      <c r="Z187" s="84"/>
    </row>
    <row r="188" ht="15.75" customHeight="1">
      <c r="A188" s="84"/>
      <c r="B188" s="84"/>
      <c r="C188" s="84"/>
      <c r="D188" s="84"/>
      <c r="E188" s="84"/>
      <c r="F188" s="84"/>
      <c r="G188" s="84"/>
      <c r="H188" s="84"/>
      <c r="I188" s="84"/>
      <c r="J188" s="84"/>
      <c r="K188" s="84"/>
      <c r="L188" s="84"/>
      <c r="M188" s="84"/>
      <c r="N188" s="84"/>
      <c r="O188" s="84"/>
      <c r="P188" s="84"/>
      <c r="Q188" s="84"/>
      <c r="R188" s="84"/>
      <c r="S188" s="84"/>
      <c r="T188" s="84"/>
      <c r="U188" s="84"/>
      <c r="V188" s="84"/>
      <c r="W188" s="84"/>
      <c r="X188" s="84"/>
      <c r="Y188" s="84"/>
      <c r="Z188" s="84"/>
    </row>
    <row r="189" ht="15.75" customHeight="1">
      <c r="A189" s="84"/>
      <c r="B189" s="84"/>
      <c r="C189" s="84"/>
      <c r="D189" s="84"/>
      <c r="E189" s="84"/>
      <c r="F189" s="84"/>
      <c r="G189" s="84"/>
      <c r="H189" s="84"/>
      <c r="I189" s="84"/>
      <c r="J189" s="84"/>
      <c r="K189" s="84"/>
      <c r="L189" s="84"/>
      <c r="M189" s="84"/>
      <c r="N189" s="84"/>
      <c r="O189" s="84"/>
      <c r="P189" s="84"/>
      <c r="Q189" s="84"/>
      <c r="R189" s="84"/>
      <c r="S189" s="84"/>
      <c r="T189" s="84"/>
      <c r="U189" s="84"/>
      <c r="V189" s="84"/>
      <c r="W189" s="84"/>
      <c r="X189" s="84"/>
      <c r="Y189" s="84"/>
      <c r="Z189" s="84"/>
    </row>
    <row r="190" ht="15.75" customHeight="1">
      <c r="A190" s="84"/>
      <c r="B190" s="84"/>
      <c r="C190" s="84"/>
      <c r="D190" s="84"/>
      <c r="E190" s="84"/>
      <c r="F190" s="84"/>
      <c r="G190" s="84"/>
      <c r="H190" s="84"/>
      <c r="I190" s="84"/>
      <c r="J190" s="84"/>
      <c r="K190" s="84"/>
      <c r="L190" s="84"/>
      <c r="M190" s="84"/>
      <c r="N190" s="84"/>
      <c r="O190" s="84"/>
      <c r="P190" s="84"/>
      <c r="Q190" s="84"/>
      <c r="R190" s="84"/>
      <c r="S190" s="84"/>
      <c r="T190" s="84"/>
      <c r="U190" s="84"/>
      <c r="V190" s="84"/>
      <c r="W190" s="84"/>
      <c r="X190" s="84"/>
      <c r="Y190" s="84"/>
      <c r="Z190" s="84"/>
    </row>
    <row r="191" ht="15.75" customHeight="1">
      <c r="A191" s="84"/>
      <c r="B191" s="84"/>
      <c r="C191" s="84"/>
      <c r="D191" s="84"/>
      <c r="E191" s="84"/>
      <c r="F191" s="84"/>
      <c r="G191" s="84"/>
      <c r="H191" s="84"/>
      <c r="I191" s="84"/>
      <c r="J191" s="84"/>
      <c r="K191" s="84"/>
      <c r="L191" s="84"/>
      <c r="M191" s="84"/>
      <c r="N191" s="84"/>
      <c r="O191" s="84"/>
      <c r="P191" s="84"/>
      <c r="Q191" s="84"/>
      <c r="R191" s="84"/>
      <c r="S191" s="84"/>
      <c r="T191" s="84"/>
      <c r="U191" s="84"/>
      <c r="V191" s="84"/>
      <c r="W191" s="84"/>
      <c r="X191" s="84"/>
      <c r="Y191" s="84"/>
      <c r="Z191" s="84"/>
    </row>
    <row r="192" ht="15.75" customHeight="1">
      <c r="A192" s="84"/>
      <c r="B192" s="84"/>
      <c r="C192" s="84"/>
      <c r="D192" s="84"/>
      <c r="E192" s="84"/>
      <c r="F192" s="84"/>
      <c r="G192" s="84"/>
      <c r="H192" s="84"/>
      <c r="I192" s="84"/>
      <c r="J192" s="84"/>
      <c r="K192" s="84"/>
      <c r="L192" s="84"/>
      <c r="M192" s="84"/>
      <c r="N192" s="84"/>
      <c r="O192" s="84"/>
      <c r="P192" s="84"/>
      <c r="Q192" s="84"/>
      <c r="R192" s="84"/>
      <c r="S192" s="84"/>
      <c r="T192" s="84"/>
      <c r="U192" s="84"/>
      <c r="V192" s="84"/>
      <c r="W192" s="84"/>
      <c r="X192" s="84"/>
      <c r="Y192" s="84"/>
      <c r="Z192" s="84"/>
    </row>
    <row r="193" ht="15.75" customHeight="1">
      <c r="A193" s="84"/>
      <c r="B193" s="84"/>
      <c r="C193" s="84"/>
      <c r="D193" s="84"/>
      <c r="E193" s="84"/>
      <c r="F193" s="84"/>
      <c r="G193" s="84"/>
      <c r="H193" s="84"/>
      <c r="I193" s="84"/>
      <c r="J193" s="84"/>
      <c r="K193" s="84"/>
      <c r="L193" s="84"/>
      <c r="M193" s="84"/>
      <c r="N193" s="84"/>
      <c r="O193" s="84"/>
      <c r="P193" s="84"/>
      <c r="Q193" s="84"/>
      <c r="R193" s="84"/>
      <c r="S193" s="84"/>
      <c r="T193" s="84"/>
      <c r="U193" s="84"/>
      <c r="V193" s="84"/>
      <c r="W193" s="84"/>
      <c r="X193" s="84"/>
      <c r="Y193" s="84"/>
      <c r="Z193" s="84"/>
    </row>
    <row r="194" ht="15.75" customHeight="1">
      <c r="A194" s="84"/>
      <c r="B194" s="84"/>
      <c r="C194" s="84"/>
      <c r="D194" s="84"/>
      <c r="E194" s="84"/>
      <c r="F194" s="84"/>
      <c r="G194" s="84"/>
      <c r="H194" s="84"/>
      <c r="I194" s="84"/>
      <c r="J194" s="84"/>
      <c r="K194" s="84"/>
      <c r="L194" s="84"/>
      <c r="M194" s="84"/>
      <c r="N194" s="84"/>
      <c r="O194" s="84"/>
      <c r="P194" s="84"/>
      <c r="Q194" s="84"/>
      <c r="R194" s="84"/>
      <c r="S194" s="84"/>
      <c r="T194" s="84"/>
      <c r="U194" s="84"/>
      <c r="V194" s="84"/>
      <c r="W194" s="84"/>
      <c r="X194" s="84"/>
      <c r="Y194" s="84"/>
      <c r="Z194" s="84"/>
    </row>
    <row r="195" ht="15.75" customHeight="1">
      <c r="A195" s="84"/>
      <c r="B195" s="84"/>
      <c r="C195" s="84"/>
      <c r="D195" s="84"/>
      <c r="E195" s="84"/>
      <c r="F195" s="84"/>
      <c r="G195" s="84"/>
      <c r="H195" s="84"/>
      <c r="I195" s="84"/>
      <c r="J195" s="84"/>
      <c r="K195" s="84"/>
      <c r="L195" s="84"/>
      <c r="M195" s="84"/>
      <c r="N195" s="84"/>
      <c r="O195" s="84"/>
      <c r="P195" s="84"/>
      <c r="Q195" s="84"/>
      <c r="R195" s="84"/>
      <c r="S195" s="84"/>
      <c r="T195" s="84"/>
      <c r="U195" s="84"/>
      <c r="V195" s="84"/>
      <c r="W195" s="84"/>
      <c r="X195" s="84"/>
      <c r="Y195" s="84"/>
      <c r="Z195" s="84"/>
    </row>
    <row r="196" ht="15.75" customHeight="1">
      <c r="A196" s="84"/>
      <c r="B196" s="84"/>
      <c r="C196" s="84"/>
      <c r="D196" s="84"/>
      <c r="E196" s="84"/>
      <c r="F196" s="84"/>
      <c r="G196" s="84"/>
      <c r="H196" s="84"/>
      <c r="I196" s="84"/>
      <c r="J196" s="84"/>
      <c r="K196" s="84"/>
      <c r="L196" s="84"/>
      <c r="M196" s="84"/>
      <c r="N196" s="84"/>
      <c r="O196" s="84"/>
      <c r="P196" s="84"/>
      <c r="Q196" s="84"/>
      <c r="R196" s="84"/>
      <c r="S196" s="84"/>
      <c r="T196" s="84"/>
      <c r="U196" s="84"/>
      <c r="V196" s="84"/>
      <c r="W196" s="84"/>
      <c r="X196" s="84"/>
      <c r="Y196" s="84"/>
      <c r="Z196" s="84"/>
    </row>
    <row r="197" ht="15.75" customHeight="1">
      <c r="A197" s="84"/>
      <c r="B197" s="84"/>
      <c r="C197" s="84"/>
      <c r="D197" s="84"/>
      <c r="E197" s="84"/>
      <c r="F197" s="84"/>
      <c r="G197" s="84"/>
      <c r="H197" s="84"/>
      <c r="I197" s="84"/>
      <c r="J197" s="84"/>
      <c r="K197" s="84"/>
      <c r="L197" s="84"/>
      <c r="M197" s="84"/>
      <c r="N197" s="84"/>
      <c r="O197" s="84"/>
      <c r="P197" s="84"/>
      <c r="Q197" s="84"/>
      <c r="R197" s="84"/>
      <c r="S197" s="84"/>
      <c r="T197" s="84"/>
      <c r="U197" s="84"/>
      <c r="V197" s="84"/>
      <c r="W197" s="84"/>
      <c r="X197" s="84"/>
      <c r="Y197" s="84"/>
      <c r="Z197" s="84"/>
    </row>
    <row r="198" ht="15.75" customHeight="1">
      <c r="A198" s="84"/>
      <c r="B198" s="84"/>
      <c r="C198" s="84"/>
      <c r="D198" s="84"/>
      <c r="E198" s="84"/>
      <c r="F198" s="84"/>
      <c r="G198" s="84"/>
      <c r="H198" s="84"/>
      <c r="I198" s="84"/>
      <c r="J198" s="84"/>
      <c r="K198" s="84"/>
      <c r="L198" s="84"/>
      <c r="M198" s="84"/>
      <c r="N198" s="84"/>
      <c r="O198" s="84"/>
      <c r="P198" s="84"/>
      <c r="Q198" s="84"/>
      <c r="R198" s="84"/>
      <c r="S198" s="84"/>
      <c r="T198" s="84"/>
      <c r="U198" s="84"/>
      <c r="V198" s="84"/>
      <c r="W198" s="84"/>
      <c r="X198" s="84"/>
      <c r="Y198" s="84"/>
      <c r="Z198" s="84"/>
    </row>
    <row r="199" ht="15.75" customHeight="1">
      <c r="A199" s="84"/>
      <c r="B199" s="84"/>
      <c r="C199" s="84"/>
      <c r="D199" s="84"/>
      <c r="E199" s="84"/>
      <c r="F199" s="84"/>
      <c r="G199" s="84"/>
      <c r="H199" s="84"/>
      <c r="I199" s="84"/>
      <c r="J199" s="84"/>
      <c r="K199" s="84"/>
      <c r="L199" s="84"/>
      <c r="M199" s="84"/>
      <c r="N199" s="84"/>
      <c r="O199" s="84"/>
      <c r="P199" s="84"/>
      <c r="Q199" s="84"/>
      <c r="R199" s="84"/>
      <c r="S199" s="84"/>
      <c r="T199" s="84"/>
      <c r="U199" s="84"/>
      <c r="V199" s="84"/>
      <c r="W199" s="84"/>
      <c r="X199" s="84"/>
      <c r="Y199" s="84"/>
      <c r="Z199" s="84"/>
    </row>
    <row r="200" ht="15.75" customHeight="1">
      <c r="A200" s="84"/>
      <c r="B200" s="84"/>
      <c r="C200" s="84"/>
      <c r="D200" s="84"/>
      <c r="E200" s="84"/>
      <c r="F200" s="84"/>
      <c r="G200" s="84"/>
      <c r="H200" s="84"/>
      <c r="I200" s="84"/>
      <c r="J200" s="84"/>
      <c r="K200" s="84"/>
      <c r="L200" s="84"/>
      <c r="M200" s="84"/>
      <c r="N200" s="84"/>
      <c r="O200" s="84"/>
      <c r="P200" s="84"/>
      <c r="Q200" s="84"/>
      <c r="R200" s="84"/>
      <c r="S200" s="84"/>
      <c r="T200" s="84"/>
      <c r="U200" s="84"/>
      <c r="V200" s="84"/>
      <c r="W200" s="84"/>
      <c r="X200" s="84"/>
      <c r="Y200" s="84"/>
      <c r="Z200" s="84"/>
    </row>
    <row r="201" ht="15.75" customHeight="1">
      <c r="A201" s="84"/>
      <c r="B201" s="84"/>
      <c r="C201" s="84"/>
      <c r="D201" s="84"/>
      <c r="E201" s="84"/>
      <c r="F201" s="84"/>
      <c r="G201" s="84"/>
      <c r="H201" s="84"/>
      <c r="I201" s="84"/>
      <c r="J201" s="84"/>
      <c r="K201" s="84"/>
      <c r="L201" s="84"/>
      <c r="M201" s="84"/>
      <c r="N201" s="84"/>
      <c r="O201" s="84"/>
      <c r="P201" s="84"/>
      <c r="Q201" s="84"/>
      <c r="R201" s="84"/>
      <c r="S201" s="84"/>
      <c r="T201" s="84"/>
      <c r="U201" s="84"/>
      <c r="V201" s="84"/>
      <c r="W201" s="84"/>
      <c r="X201" s="84"/>
      <c r="Y201" s="84"/>
      <c r="Z201" s="84"/>
    </row>
    <row r="202" ht="15.75" customHeight="1">
      <c r="A202" s="84"/>
      <c r="B202" s="84"/>
      <c r="C202" s="84"/>
      <c r="D202" s="84"/>
      <c r="E202" s="84"/>
      <c r="F202" s="84"/>
      <c r="G202" s="84"/>
      <c r="H202" s="84"/>
      <c r="I202" s="84"/>
      <c r="J202" s="84"/>
      <c r="K202" s="84"/>
      <c r="L202" s="84"/>
      <c r="M202" s="84"/>
      <c r="N202" s="84"/>
      <c r="O202" s="84"/>
      <c r="P202" s="84"/>
      <c r="Q202" s="84"/>
      <c r="R202" s="84"/>
      <c r="S202" s="84"/>
      <c r="T202" s="84"/>
      <c r="U202" s="84"/>
      <c r="V202" s="84"/>
      <c r="W202" s="84"/>
      <c r="X202" s="84"/>
      <c r="Y202" s="84"/>
      <c r="Z202" s="84"/>
    </row>
    <row r="203" ht="15.75" customHeight="1">
      <c r="A203" s="84"/>
      <c r="B203" s="84"/>
      <c r="C203" s="84"/>
      <c r="D203" s="84"/>
      <c r="E203" s="84"/>
      <c r="F203" s="84"/>
      <c r="G203" s="84"/>
      <c r="H203" s="84"/>
      <c r="I203" s="84"/>
      <c r="J203" s="84"/>
      <c r="K203" s="84"/>
      <c r="L203" s="84"/>
      <c r="M203" s="84"/>
      <c r="N203" s="84"/>
      <c r="O203" s="84"/>
      <c r="P203" s="84"/>
      <c r="Q203" s="84"/>
      <c r="R203" s="84"/>
      <c r="S203" s="84"/>
      <c r="T203" s="84"/>
      <c r="U203" s="84"/>
      <c r="V203" s="84"/>
      <c r="W203" s="84"/>
      <c r="X203" s="84"/>
      <c r="Y203" s="84"/>
      <c r="Z203" s="84"/>
    </row>
    <row r="204" ht="15.75" customHeight="1">
      <c r="A204" s="84"/>
      <c r="B204" s="84"/>
      <c r="C204" s="84"/>
      <c r="D204" s="84"/>
      <c r="E204" s="84"/>
      <c r="F204" s="84"/>
      <c r="G204" s="84"/>
      <c r="H204" s="84"/>
      <c r="I204" s="84"/>
      <c r="J204" s="84"/>
      <c r="K204" s="84"/>
      <c r="L204" s="84"/>
      <c r="M204" s="84"/>
      <c r="N204" s="84"/>
      <c r="O204" s="84"/>
      <c r="P204" s="84"/>
      <c r="Q204" s="84"/>
      <c r="R204" s="84"/>
      <c r="S204" s="84"/>
      <c r="T204" s="84"/>
      <c r="U204" s="84"/>
      <c r="V204" s="84"/>
      <c r="W204" s="84"/>
      <c r="X204" s="84"/>
      <c r="Y204" s="84"/>
      <c r="Z204" s="84"/>
    </row>
    <row r="205" ht="15.75" customHeight="1">
      <c r="A205" s="84"/>
      <c r="B205" s="84"/>
      <c r="C205" s="84"/>
      <c r="D205" s="84"/>
      <c r="E205" s="84"/>
      <c r="F205" s="84"/>
      <c r="G205" s="84"/>
      <c r="H205" s="84"/>
      <c r="I205" s="84"/>
      <c r="J205" s="84"/>
      <c r="K205" s="84"/>
      <c r="L205" s="84"/>
      <c r="M205" s="84"/>
      <c r="N205" s="84"/>
      <c r="O205" s="84"/>
      <c r="P205" s="84"/>
      <c r="Q205" s="84"/>
      <c r="R205" s="84"/>
      <c r="S205" s="84"/>
      <c r="T205" s="84"/>
      <c r="U205" s="84"/>
      <c r="V205" s="84"/>
      <c r="W205" s="84"/>
      <c r="X205" s="84"/>
      <c r="Y205" s="84"/>
      <c r="Z205" s="84"/>
    </row>
    <row r="206" ht="15.75" customHeight="1">
      <c r="A206" s="84"/>
      <c r="B206" s="84"/>
      <c r="C206" s="84"/>
      <c r="D206" s="84"/>
      <c r="E206" s="84"/>
      <c r="F206" s="84"/>
      <c r="G206" s="84"/>
      <c r="H206" s="84"/>
      <c r="I206" s="84"/>
      <c r="J206" s="84"/>
      <c r="K206" s="84"/>
      <c r="L206" s="84"/>
      <c r="M206" s="84"/>
      <c r="N206" s="84"/>
      <c r="O206" s="84"/>
      <c r="P206" s="84"/>
      <c r="Q206" s="84"/>
      <c r="R206" s="84"/>
      <c r="S206" s="84"/>
      <c r="T206" s="84"/>
      <c r="U206" s="84"/>
      <c r="V206" s="84"/>
      <c r="W206" s="84"/>
      <c r="X206" s="84"/>
      <c r="Y206" s="84"/>
      <c r="Z206" s="84"/>
    </row>
    <row r="207" ht="15.75" customHeight="1">
      <c r="A207" s="84"/>
      <c r="B207" s="84"/>
      <c r="C207" s="84"/>
      <c r="D207" s="84"/>
      <c r="E207" s="84"/>
      <c r="F207" s="84"/>
      <c r="G207" s="84"/>
      <c r="H207" s="84"/>
      <c r="I207" s="84"/>
      <c r="J207" s="84"/>
      <c r="K207" s="84"/>
      <c r="L207" s="84"/>
      <c r="M207" s="84"/>
      <c r="N207" s="84"/>
      <c r="O207" s="84"/>
      <c r="P207" s="84"/>
      <c r="Q207" s="84"/>
      <c r="R207" s="84"/>
      <c r="S207" s="84"/>
      <c r="T207" s="84"/>
      <c r="U207" s="84"/>
      <c r="V207" s="84"/>
      <c r="W207" s="84"/>
      <c r="X207" s="84"/>
      <c r="Y207" s="84"/>
      <c r="Z207" s="84"/>
    </row>
    <row r="208" ht="15.75" customHeight="1">
      <c r="A208" s="84"/>
      <c r="B208" s="84"/>
      <c r="C208" s="84"/>
      <c r="D208" s="84"/>
      <c r="E208" s="84"/>
      <c r="F208" s="84"/>
      <c r="G208" s="84"/>
      <c r="H208" s="84"/>
      <c r="I208" s="84"/>
      <c r="J208" s="84"/>
      <c r="K208" s="84"/>
      <c r="L208" s="84"/>
      <c r="M208" s="84"/>
      <c r="N208" s="84"/>
      <c r="O208" s="84"/>
      <c r="P208" s="84"/>
      <c r="Q208" s="84"/>
      <c r="R208" s="84"/>
      <c r="S208" s="84"/>
      <c r="T208" s="84"/>
      <c r="U208" s="84"/>
      <c r="V208" s="84"/>
      <c r="W208" s="84"/>
      <c r="X208" s="84"/>
      <c r="Y208" s="84"/>
      <c r="Z208" s="84"/>
    </row>
    <row r="209" ht="15.75" customHeight="1">
      <c r="A209" s="84"/>
      <c r="B209" s="84"/>
      <c r="C209" s="84"/>
      <c r="D209" s="84"/>
      <c r="E209" s="84"/>
      <c r="F209" s="84"/>
      <c r="G209" s="84"/>
      <c r="H209" s="84"/>
      <c r="I209" s="84"/>
      <c r="J209" s="84"/>
      <c r="K209" s="84"/>
      <c r="L209" s="84"/>
      <c r="M209" s="84"/>
      <c r="N209" s="84"/>
      <c r="O209" s="84"/>
      <c r="P209" s="84"/>
      <c r="Q209" s="84"/>
      <c r="R209" s="84"/>
      <c r="S209" s="84"/>
      <c r="T209" s="84"/>
      <c r="U209" s="84"/>
      <c r="V209" s="84"/>
      <c r="W209" s="84"/>
      <c r="X209" s="84"/>
      <c r="Y209" s="84"/>
      <c r="Z209" s="84"/>
    </row>
    <row r="210" ht="15.75" customHeight="1">
      <c r="A210" s="84"/>
      <c r="B210" s="84"/>
      <c r="C210" s="84"/>
      <c r="D210" s="84"/>
      <c r="E210" s="84"/>
      <c r="F210" s="84"/>
      <c r="G210" s="84"/>
      <c r="H210" s="84"/>
      <c r="I210" s="84"/>
      <c r="J210" s="84"/>
      <c r="K210" s="84"/>
      <c r="L210" s="84"/>
      <c r="M210" s="84"/>
      <c r="N210" s="84"/>
      <c r="O210" s="84"/>
      <c r="P210" s="84"/>
      <c r="Q210" s="84"/>
      <c r="R210" s="84"/>
      <c r="S210" s="84"/>
      <c r="T210" s="84"/>
      <c r="U210" s="84"/>
      <c r="V210" s="84"/>
      <c r="W210" s="84"/>
      <c r="X210" s="84"/>
      <c r="Y210" s="84"/>
      <c r="Z210" s="84"/>
    </row>
    <row r="211" ht="15.75" customHeight="1">
      <c r="A211" s="84"/>
      <c r="B211" s="84"/>
      <c r="C211" s="84"/>
      <c r="D211" s="84"/>
      <c r="E211" s="84"/>
      <c r="F211" s="84"/>
      <c r="G211" s="84"/>
      <c r="H211" s="84"/>
      <c r="I211" s="84"/>
      <c r="J211" s="84"/>
      <c r="K211" s="84"/>
      <c r="L211" s="84"/>
      <c r="M211" s="84"/>
      <c r="N211" s="84"/>
      <c r="O211" s="84"/>
      <c r="P211" s="84"/>
      <c r="Q211" s="84"/>
      <c r="R211" s="84"/>
      <c r="S211" s="84"/>
      <c r="T211" s="84"/>
      <c r="U211" s="84"/>
      <c r="V211" s="84"/>
      <c r="W211" s="84"/>
      <c r="X211" s="84"/>
      <c r="Y211" s="84"/>
      <c r="Z211" s="84"/>
    </row>
    <row r="212" ht="15.75" customHeight="1">
      <c r="A212" s="84"/>
      <c r="B212" s="84"/>
      <c r="C212" s="84"/>
      <c r="D212" s="84"/>
      <c r="E212" s="84"/>
      <c r="F212" s="84"/>
      <c r="G212" s="84"/>
      <c r="H212" s="84"/>
      <c r="I212" s="84"/>
      <c r="J212" s="84"/>
      <c r="K212" s="84"/>
      <c r="L212" s="84"/>
      <c r="M212" s="84"/>
      <c r="N212" s="84"/>
      <c r="O212" s="84"/>
      <c r="P212" s="84"/>
      <c r="Q212" s="84"/>
      <c r="R212" s="84"/>
      <c r="S212" s="84"/>
      <c r="T212" s="84"/>
      <c r="U212" s="84"/>
      <c r="V212" s="84"/>
      <c r="W212" s="84"/>
      <c r="X212" s="84"/>
      <c r="Y212" s="84"/>
      <c r="Z212" s="84"/>
    </row>
    <row r="213" ht="15.75" customHeight="1">
      <c r="A213" s="84"/>
      <c r="B213" s="84"/>
      <c r="C213" s="84"/>
      <c r="D213" s="84"/>
      <c r="E213" s="84"/>
      <c r="F213" s="84"/>
      <c r="G213" s="84"/>
      <c r="H213" s="84"/>
      <c r="I213" s="84"/>
      <c r="J213" s="84"/>
      <c r="K213" s="84"/>
      <c r="L213" s="84"/>
      <c r="M213" s="84"/>
      <c r="N213" s="84"/>
      <c r="O213" s="84"/>
      <c r="P213" s="84"/>
      <c r="Q213" s="84"/>
      <c r="R213" s="84"/>
      <c r="S213" s="84"/>
      <c r="T213" s="84"/>
      <c r="U213" s="84"/>
      <c r="V213" s="84"/>
      <c r="W213" s="84"/>
      <c r="X213" s="84"/>
      <c r="Y213" s="84"/>
      <c r="Z213" s="84"/>
    </row>
    <row r="214" ht="15.75" customHeight="1">
      <c r="A214" s="84"/>
      <c r="B214" s="84"/>
      <c r="C214" s="84"/>
      <c r="D214" s="84"/>
      <c r="E214" s="84"/>
      <c r="F214" s="84"/>
      <c r="G214" s="84"/>
      <c r="H214" s="84"/>
      <c r="I214" s="84"/>
      <c r="J214" s="84"/>
      <c r="K214" s="84"/>
      <c r="L214" s="84"/>
      <c r="M214" s="84"/>
      <c r="N214" s="84"/>
      <c r="O214" s="84"/>
      <c r="P214" s="84"/>
      <c r="Q214" s="84"/>
      <c r="R214" s="84"/>
      <c r="S214" s="84"/>
      <c r="T214" s="84"/>
      <c r="U214" s="84"/>
      <c r="V214" s="84"/>
      <c r="W214" s="84"/>
      <c r="X214" s="84"/>
      <c r="Y214" s="84"/>
      <c r="Z214" s="84"/>
    </row>
    <row r="215" ht="15.75" customHeight="1">
      <c r="A215" s="84"/>
      <c r="B215" s="84"/>
      <c r="C215" s="84"/>
      <c r="D215" s="84"/>
      <c r="E215" s="84"/>
      <c r="F215" s="84"/>
      <c r="G215" s="84"/>
      <c r="H215" s="84"/>
      <c r="I215" s="84"/>
      <c r="J215" s="84"/>
      <c r="K215" s="84"/>
      <c r="L215" s="84"/>
      <c r="M215" s="84"/>
      <c r="N215" s="84"/>
      <c r="O215" s="84"/>
      <c r="P215" s="84"/>
      <c r="Q215" s="84"/>
      <c r="R215" s="84"/>
      <c r="S215" s="84"/>
      <c r="T215" s="84"/>
      <c r="U215" s="84"/>
      <c r="V215" s="84"/>
      <c r="W215" s="84"/>
      <c r="X215" s="84"/>
      <c r="Y215" s="84"/>
      <c r="Z215" s="84"/>
    </row>
    <row r="216" ht="15.75" customHeight="1">
      <c r="A216" s="84"/>
      <c r="B216" s="84"/>
      <c r="C216" s="84"/>
      <c r="D216" s="84"/>
      <c r="E216" s="84"/>
      <c r="F216" s="84"/>
      <c r="G216" s="84"/>
      <c r="H216" s="84"/>
      <c r="I216" s="84"/>
      <c r="J216" s="84"/>
      <c r="K216" s="84"/>
      <c r="L216" s="84"/>
      <c r="M216" s="84"/>
      <c r="N216" s="84"/>
      <c r="O216" s="84"/>
      <c r="P216" s="84"/>
      <c r="Q216" s="84"/>
      <c r="R216" s="84"/>
      <c r="S216" s="84"/>
      <c r="T216" s="84"/>
      <c r="U216" s="84"/>
      <c r="V216" s="84"/>
      <c r="W216" s="84"/>
      <c r="X216" s="84"/>
      <c r="Y216" s="84"/>
      <c r="Z216" s="84"/>
    </row>
    <row r="217" ht="15.75" customHeight="1">
      <c r="A217" s="84"/>
      <c r="B217" s="84"/>
      <c r="C217" s="84"/>
      <c r="D217" s="84"/>
      <c r="E217" s="84"/>
      <c r="F217" s="84"/>
      <c r="G217" s="84"/>
      <c r="H217" s="84"/>
      <c r="I217" s="84"/>
      <c r="J217" s="84"/>
      <c r="K217" s="84"/>
      <c r="L217" s="84"/>
      <c r="M217" s="84"/>
      <c r="N217" s="84"/>
      <c r="O217" s="84"/>
      <c r="P217" s="84"/>
      <c r="Q217" s="84"/>
      <c r="R217" s="84"/>
      <c r="S217" s="84"/>
      <c r="T217" s="84"/>
      <c r="U217" s="84"/>
      <c r="V217" s="84"/>
      <c r="W217" s="84"/>
      <c r="X217" s="84"/>
      <c r="Y217" s="84"/>
      <c r="Z217" s="84"/>
    </row>
    <row r="218" ht="15.75" customHeight="1">
      <c r="A218" s="84"/>
      <c r="B218" s="84"/>
      <c r="C218" s="84"/>
      <c r="D218" s="84"/>
      <c r="E218" s="84"/>
      <c r="F218" s="84"/>
      <c r="G218" s="84"/>
      <c r="H218" s="84"/>
      <c r="I218" s="84"/>
      <c r="J218" s="84"/>
      <c r="K218" s="84"/>
      <c r="L218" s="84"/>
      <c r="M218" s="84"/>
      <c r="N218" s="84"/>
      <c r="O218" s="84"/>
      <c r="P218" s="84"/>
      <c r="Q218" s="84"/>
      <c r="R218" s="84"/>
      <c r="S218" s="84"/>
      <c r="T218" s="84"/>
      <c r="U218" s="84"/>
      <c r="V218" s="84"/>
      <c r="W218" s="84"/>
      <c r="X218" s="84"/>
      <c r="Y218" s="84"/>
      <c r="Z218" s="84"/>
    </row>
    <row r="219" ht="15.75" customHeight="1">
      <c r="A219" s="84"/>
      <c r="B219" s="84"/>
      <c r="C219" s="84"/>
      <c r="D219" s="84"/>
      <c r="E219" s="84"/>
      <c r="F219" s="84"/>
      <c r="G219" s="84"/>
      <c r="H219" s="84"/>
      <c r="I219" s="84"/>
      <c r="J219" s="84"/>
      <c r="K219" s="84"/>
      <c r="L219" s="84"/>
      <c r="M219" s="84"/>
      <c r="N219" s="84"/>
      <c r="O219" s="84"/>
      <c r="P219" s="84"/>
      <c r="Q219" s="84"/>
      <c r="R219" s="84"/>
      <c r="S219" s="84"/>
      <c r="T219" s="84"/>
      <c r="U219" s="84"/>
      <c r="V219" s="84"/>
      <c r="W219" s="84"/>
      <c r="X219" s="84"/>
      <c r="Y219" s="84"/>
      <c r="Z219" s="84"/>
    </row>
    <row r="220" ht="15.75" customHeight="1">
      <c r="A220" s="84"/>
      <c r="B220" s="84"/>
      <c r="C220" s="84"/>
      <c r="D220" s="84"/>
      <c r="E220" s="84"/>
      <c r="F220" s="84"/>
      <c r="G220" s="84"/>
      <c r="H220" s="84"/>
      <c r="I220" s="84"/>
      <c r="J220" s="84"/>
      <c r="K220" s="84"/>
      <c r="L220" s="84"/>
      <c r="M220" s="84"/>
      <c r="N220" s="84"/>
      <c r="O220" s="84"/>
      <c r="P220" s="84"/>
      <c r="Q220" s="84"/>
      <c r="R220" s="84"/>
      <c r="S220" s="84"/>
      <c r="T220" s="84"/>
      <c r="U220" s="84"/>
      <c r="V220" s="84"/>
      <c r="W220" s="84"/>
      <c r="X220" s="84"/>
      <c r="Y220" s="84"/>
      <c r="Z220" s="84"/>
    </row>
    <row r="221" ht="15.75" customHeight="1">
      <c r="A221" s="84"/>
      <c r="B221" s="84"/>
      <c r="C221" s="84"/>
      <c r="D221" s="84"/>
      <c r="E221" s="84"/>
      <c r="F221" s="84"/>
      <c r="G221" s="84"/>
      <c r="H221" s="84"/>
      <c r="I221" s="84"/>
      <c r="J221" s="84"/>
      <c r="K221" s="84"/>
      <c r="L221" s="84"/>
      <c r="M221" s="84"/>
      <c r="N221" s="84"/>
      <c r="O221" s="84"/>
      <c r="P221" s="84"/>
      <c r="Q221" s="84"/>
      <c r="R221" s="84"/>
      <c r="S221" s="84"/>
      <c r="T221" s="84"/>
      <c r="U221" s="84"/>
      <c r="V221" s="84"/>
      <c r="W221" s="84"/>
      <c r="X221" s="84"/>
      <c r="Y221" s="84"/>
      <c r="Z221" s="84"/>
    </row>
    <row r="222" ht="15.75" customHeight="1">
      <c r="A222" s="84"/>
      <c r="B222" s="84"/>
      <c r="C222" s="84"/>
      <c r="D222" s="84"/>
      <c r="E222" s="84"/>
      <c r="F222" s="84"/>
      <c r="G222" s="84"/>
      <c r="H222" s="84"/>
      <c r="I222" s="84"/>
      <c r="J222" s="84"/>
      <c r="K222" s="84"/>
      <c r="L222" s="84"/>
      <c r="M222" s="84"/>
      <c r="N222" s="84"/>
      <c r="O222" s="84"/>
      <c r="P222" s="84"/>
      <c r="Q222" s="84"/>
      <c r="R222" s="84"/>
      <c r="S222" s="84"/>
      <c r="T222" s="84"/>
      <c r="U222" s="84"/>
      <c r="V222" s="84"/>
      <c r="W222" s="84"/>
      <c r="X222" s="84"/>
      <c r="Y222" s="84"/>
      <c r="Z222" s="84"/>
    </row>
    <row r="223" ht="15.75" customHeight="1">
      <c r="A223" s="84"/>
      <c r="B223" s="84"/>
      <c r="C223" s="84"/>
      <c r="D223" s="84"/>
      <c r="E223" s="84"/>
      <c r="F223" s="84"/>
      <c r="G223" s="84"/>
      <c r="H223" s="84"/>
      <c r="I223" s="84"/>
      <c r="J223" s="84"/>
      <c r="K223" s="84"/>
      <c r="L223" s="84"/>
      <c r="M223" s="84"/>
      <c r="N223" s="84"/>
      <c r="O223" s="84"/>
      <c r="P223" s="84"/>
      <c r="Q223" s="84"/>
      <c r="R223" s="84"/>
      <c r="S223" s="84"/>
      <c r="T223" s="84"/>
      <c r="U223" s="84"/>
      <c r="V223" s="84"/>
      <c r="W223" s="84"/>
      <c r="X223" s="84"/>
      <c r="Y223" s="84"/>
      <c r="Z223" s="84"/>
    </row>
    <row r="224" ht="15.75" customHeight="1">
      <c r="A224" s="84"/>
      <c r="B224" s="84"/>
      <c r="C224" s="84"/>
      <c r="D224" s="84"/>
      <c r="E224" s="84"/>
      <c r="F224" s="84"/>
      <c r="G224" s="84"/>
      <c r="H224" s="84"/>
      <c r="I224" s="84"/>
      <c r="J224" s="84"/>
      <c r="K224" s="84"/>
      <c r="L224" s="84"/>
      <c r="M224" s="84"/>
      <c r="N224" s="84"/>
      <c r="O224" s="84"/>
      <c r="P224" s="84"/>
      <c r="Q224" s="84"/>
      <c r="R224" s="84"/>
      <c r="S224" s="84"/>
      <c r="T224" s="84"/>
      <c r="U224" s="84"/>
      <c r="V224" s="84"/>
      <c r="W224" s="84"/>
      <c r="X224" s="84"/>
      <c r="Y224" s="84"/>
      <c r="Z224" s="84"/>
    </row>
    <row r="225" ht="15.75" customHeight="1">
      <c r="A225" s="84"/>
      <c r="B225" s="84"/>
      <c r="C225" s="84"/>
      <c r="D225" s="84"/>
      <c r="E225" s="84"/>
      <c r="F225" s="84"/>
      <c r="G225" s="84"/>
      <c r="H225" s="84"/>
      <c r="I225" s="84"/>
      <c r="J225" s="84"/>
      <c r="K225" s="84"/>
      <c r="L225" s="84"/>
      <c r="M225" s="84"/>
      <c r="N225" s="84"/>
      <c r="O225" s="84"/>
      <c r="P225" s="84"/>
      <c r="Q225" s="84"/>
      <c r="R225" s="84"/>
      <c r="S225" s="84"/>
      <c r="T225" s="84"/>
      <c r="U225" s="84"/>
      <c r="V225" s="84"/>
      <c r="W225" s="84"/>
      <c r="X225" s="84"/>
      <c r="Y225" s="84"/>
      <c r="Z225" s="84"/>
    </row>
    <row r="226" ht="15.75" customHeight="1">
      <c r="A226" s="84"/>
      <c r="B226" s="84"/>
      <c r="C226" s="84"/>
      <c r="D226" s="84"/>
      <c r="E226" s="84"/>
      <c r="F226" s="84"/>
      <c r="G226" s="84"/>
      <c r="H226" s="84"/>
      <c r="I226" s="84"/>
      <c r="J226" s="84"/>
      <c r="K226" s="84"/>
      <c r="L226" s="84"/>
      <c r="M226" s="84"/>
      <c r="N226" s="84"/>
      <c r="O226" s="84"/>
      <c r="P226" s="84"/>
      <c r="Q226" s="84"/>
      <c r="R226" s="84"/>
      <c r="S226" s="84"/>
      <c r="T226" s="84"/>
      <c r="U226" s="84"/>
      <c r="V226" s="84"/>
      <c r="W226" s="84"/>
      <c r="X226" s="84"/>
      <c r="Y226" s="84"/>
      <c r="Z226" s="84"/>
    </row>
    <row r="227" ht="15.75" customHeight="1">
      <c r="A227" s="84"/>
      <c r="B227" s="84"/>
      <c r="C227" s="84"/>
      <c r="D227" s="84"/>
      <c r="E227" s="84"/>
      <c r="F227" s="84"/>
      <c r="G227" s="84"/>
      <c r="H227" s="84"/>
      <c r="I227" s="84"/>
      <c r="J227" s="84"/>
      <c r="K227" s="84"/>
      <c r="L227" s="84"/>
      <c r="M227" s="84"/>
      <c r="N227" s="84"/>
      <c r="O227" s="84"/>
      <c r="P227" s="84"/>
      <c r="Q227" s="84"/>
      <c r="R227" s="84"/>
      <c r="S227" s="84"/>
      <c r="T227" s="84"/>
      <c r="U227" s="84"/>
      <c r="V227" s="84"/>
      <c r="W227" s="84"/>
      <c r="X227" s="84"/>
      <c r="Y227" s="84"/>
      <c r="Z227" s="84"/>
    </row>
    <row r="228" ht="15.75" customHeight="1">
      <c r="A228" s="84"/>
      <c r="B228" s="84"/>
      <c r="C228" s="84"/>
      <c r="D228" s="84"/>
      <c r="E228" s="84"/>
      <c r="F228" s="84"/>
      <c r="G228" s="84"/>
      <c r="H228" s="84"/>
      <c r="I228" s="84"/>
      <c r="J228" s="84"/>
      <c r="K228" s="84"/>
      <c r="L228" s="84"/>
      <c r="M228" s="84"/>
      <c r="N228" s="84"/>
      <c r="O228" s="84"/>
      <c r="P228" s="84"/>
      <c r="Q228" s="84"/>
      <c r="R228" s="84"/>
      <c r="S228" s="84"/>
      <c r="T228" s="84"/>
      <c r="U228" s="84"/>
      <c r="V228" s="84"/>
      <c r="W228" s="84"/>
      <c r="X228" s="84"/>
      <c r="Y228" s="84"/>
      <c r="Z228" s="84"/>
    </row>
    <row r="229" ht="15.75" customHeight="1">
      <c r="A229" s="84"/>
      <c r="B229" s="84"/>
      <c r="C229" s="84"/>
      <c r="D229" s="84"/>
      <c r="E229" s="84"/>
      <c r="F229" s="84"/>
      <c r="G229" s="84"/>
      <c r="H229" s="84"/>
      <c r="I229" s="84"/>
      <c r="J229" s="84"/>
      <c r="K229" s="84"/>
      <c r="L229" s="84"/>
      <c r="M229" s="84"/>
      <c r="N229" s="84"/>
      <c r="O229" s="84"/>
      <c r="P229" s="84"/>
      <c r="Q229" s="84"/>
      <c r="R229" s="84"/>
      <c r="S229" s="84"/>
      <c r="T229" s="84"/>
      <c r="U229" s="84"/>
      <c r="V229" s="84"/>
      <c r="W229" s="84"/>
      <c r="X229" s="84"/>
      <c r="Y229" s="84"/>
      <c r="Z229" s="84"/>
    </row>
    <row r="230" ht="15.75" customHeight="1">
      <c r="A230" s="84"/>
      <c r="B230" s="84"/>
      <c r="C230" s="84"/>
      <c r="D230" s="84"/>
      <c r="E230" s="84"/>
      <c r="F230" s="84"/>
      <c r="G230" s="84"/>
      <c r="H230" s="84"/>
      <c r="I230" s="84"/>
      <c r="J230" s="84"/>
      <c r="K230" s="84"/>
      <c r="L230" s="84"/>
      <c r="M230" s="84"/>
      <c r="N230" s="84"/>
      <c r="O230" s="84"/>
      <c r="P230" s="84"/>
      <c r="Q230" s="84"/>
      <c r="R230" s="84"/>
      <c r="S230" s="84"/>
      <c r="T230" s="84"/>
      <c r="U230" s="84"/>
      <c r="V230" s="84"/>
      <c r="W230" s="84"/>
      <c r="X230" s="84"/>
      <c r="Y230" s="84"/>
      <c r="Z230" s="84"/>
    </row>
    <row r="231" ht="15.75" customHeight="1">
      <c r="A231" s="84"/>
      <c r="B231" s="84"/>
      <c r="C231" s="84"/>
      <c r="D231" s="84"/>
      <c r="E231" s="84"/>
      <c r="F231" s="84"/>
      <c r="G231" s="84"/>
      <c r="H231" s="84"/>
      <c r="I231" s="84"/>
      <c r="J231" s="84"/>
      <c r="K231" s="84"/>
      <c r="L231" s="84"/>
      <c r="M231" s="84"/>
      <c r="N231" s="84"/>
      <c r="O231" s="84"/>
      <c r="P231" s="84"/>
      <c r="Q231" s="84"/>
      <c r="R231" s="84"/>
      <c r="S231" s="84"/>
      <c r="T231" s="84"/>
      <c r="U231" s="84"/>
      <c r="V231" s="84"/>
      <c r="W231" s="84"/>
      <c r="X231" s="84"/>
      <c r="Y231" s="84"/>
      <c r="Z231" s="84"/>
    </row>
    <row r="232" ht="15.75" customHeight="1">
      <c r="A232" s="84"/>
      <c r="B232" s="84"/>
      <c r="C232" s="84"/>
      <c r="D232" s="84"/>
      <c r="E232" s="84"/>
      <c r="F232" s="84"/>
      <c r="G232" s="84"/>
      <c r="H232" s="84"/>
      <c r="I232" s="84"/>
      <c r="J232" s="84"/>
      <c r="K232" s="84"/>
      <c r="L232" s="84"/>
      <c r="M232" s="84"/>
      <c r="N232" s="84"/>
      <c r="O232" s="84"/>
      <c r="P232" s="84"/>
      <c r="Q232" s="84"/>
      <c r="R232" s="84"/>
      <c r="S232" s="84"/>
      <c r="T232" s="84"/>
      <c r="U232" s="84"/>
      <c r="V232" s="84"/>
      <c r="W232" s="84"/>
      <c r="X232" s="84"/>
      <c r="Y232" s="84"/>
      <c r="Z232" s="84"/>
    </row>
    <row r="233" ht="15.75" customHeight="1">
      <c r="A233" s="84"/>
      <c r="B233" s="84"/>
      <c r="C233" s="84"/>
      <c r="D233" s="84"/>
      <c r="E233" s="84"/>
      <c r="F233" s="84"/>
      <c r="G233" s="84"/>
      <c r="H233" s="84"/>
      <c r="I233" s="84"/>
      <c r="J233" s="84"/>
      <c r="K233" s="84"/>
      <c r="L233" s="84"/>
      <c r="M233" s="84"/>
      <c r="N233" s="84"/>
      <c r="O233" s="84"/>
      <c r="P233" s="84"/>
      <c r="Q233" s="84"/>
      <c r="R233" s="84"/>
      <c r="S233" s="84"/>
      <c r="T233" s="84"/>
      <c r="U233" s="84"/>
      <c r="V233" s="84"/>
      <c r="W233" s="84"/>
      <c r="X233" s="84"/>
      <c r="Y233" s="84"/>
      <c r="Z233" s="84"/>
    </row>
    <row r="234" ht="15.75" customHeight="1">
      <c r="A234" s="84"/>
      <c r="B234" s="84"/>
      <c r="C234" s="84"/>
      <c r="D234" s="84"/>
      <c r="E234" s="84"/>
      <c r="F234" s="84"/>
      <c r="G234" s="84"/>
      <c r="H234" s="84"/>
      <c r="I234" s="84"/>
      <c r="J234" s="84"/>
      <c r="K234" s="84"/>
      <c r="L234" s="84"/>
      <c r="M234" s="84"/>
      <c r="N234" s="84"/>
      <c r="O234" s="84"/>
      <c r="P234" s="84"/>
      <c r="Q234" s="84"/>
      <c r="R234" s="84"/>
      <c r="S234" s="84"/>
      <c r="T234" s="84"/>
      <c r="U234" s="84"/>
      <c r="V234" s="84"/>
      <c r="W234" s="84"/>
      <c r="X234" s="84"/>
      <c r="Y234" s="84"/>
      <c r="Z234" s="84"/>
    </row>
    <row r="235" ht="15.75" customHeight="1">
      <c r="A235" s="84"/>
      <c r="B235" s="84"/>
      <c r="C235" s="84"/>
      <c r="D235" s="84"/>
      <c r="E235" s="84"/>
      <c r="F235" s="84"/>
      <c r="G235" s="84"/>
      <c r="H235" s="84"/>
      <c r="I235" s="84"/>
      <c r="J235" s="84"/>
      <c r="K235" s="84"/>
      <c r="L235" s="84"/>
      <c r="M235" s="84"/>
      <c r="N235" s="84"/>
      <c r="O235" s="84"/>
      <c r="P235" s="84"/>
      <c r="Q235" s="84"/>
      <c r="R235" s="84"/>
      <c r="S235" s="84"/>
      <c r="T235" s="84"/>
      <c r="U235" s="84"/>
      <c r="V235" s="84"/>
      <c r="W235" s="84"/>
      <c r="X235" s="84"/>
      <c r="Y235" s="84"/>
      <c r="Z235" s="84"/>
    </row>
    <row r="236" ht="15.75" customHeight="1">
      <c r="A236" s="84"/>
      <c r="B236" s="84"/>
      <c r="C236" s="84"/>
      <c r="D236" s="84"/>
      <c r="E236" s="84"/>
      <c r="F236" s="84"/>
      <c r="G236" s="84"/>
      <c r="H236" s="84"/>
      <c r="I236" s="84"/>
      <c r="J236" s="84"/>
      <c r="K236" s="84"/>
      <c r="L236" s="84"/>
      <c r="M236" s="84"/>
      <c r="N236" s="84"/>
      <c r="O236" s="84"/>
      <c r="P236" s="84"/>
      <c r="Q236" s="84"/>
      <c r="R236" s="84"/>
      <c r="S236" s="84"/>
      <c r="T236" s="84"/>
      <c r="U236" s="84"/>
      <c r="V236" s="84"/>
      <c r="W236" s="84"/>
      <c r="X236" s="84"/>
      <c r="Y236" s="84"/>
      <c r="Z236" s="84"/>
    </row>
    <row r="237" ht="15.75" customHeight="1">
      <c r="A237" s="84"/>
      <c r="B237" s="84"/>
      <c r="C237" s="84"/>
      <c r="D237" s="84"/>
      <c r="E237" s="84"/>
      <c r="F237" s="84"/>
      <c r="G237" s="84"/>
      <c r="H237" s="84"/>
      <c r="I237" s="84"/>
      <c r="J237" s="84"/>
      <c r="K237" s="84"/>
      <c r="L237" s="84"/>
      <c r="M237" s="84"/>
      <c r="N237" s="84"/>
      <c r="O237" s="84"/>
      <c r="P237" s="84"/>
      <c r="Q237" s="84"/>
      <c r="R237" s="84"/>
      <c r="S237" s="84"/>
      <c r="T237" s="84"/>
      <c r="U237" s="84"/>
      <c r="V237" s="84"/>
      <c r="W237" s="84"/>
      <c r="X237" s="84"/>
      <c r="Y237" s="84"/>
      <c r="Z237" s="84"/>
    </row>
    <row r="238" ht="15.75" customHeight="1">
      <c r="A238" s="84"/>
      <c r="B238" s="84"/>
      <c r="C238" s="84"/>
      <c r="D238" s="84"/>
      <c r="E238" s="84"/>
      <c r="F238" s="84"/>
      <c r="G238" s="84"/>
      <c r="H238" s="84"/>
      <c r="I238" s="84"/>
      <c r="J238" s="84"/>
      <c r="K238" s="84"/>
      <c r="L238" s="84"/>
      <c r="M238" s="84"/>
      <c r="N238" s="84"/>
      <c r="O238" s="84"/>
      <c r="P238" s="84"/>
      <c r="Q238" s="84"/>
      <c r="R238" s="84"/>
      <c r="S238" s="84"/>
      <c r="T238" s="84"/>
      <c r="U238" s="84"/>
      <c r="V238" s="84"/>
      <c r="W238" s="84"/>
      <c r="X238" s="84"/>
      <c r="Y238" s="84"/>
      <c r="Z238" s="84"/>
    </row>
    <row r="239" ht="15.75" customHeight="1">
      <c r="A239" s="84"/>
      <c r="B239" s="84"/>
      <c r="C239" s="84"/>
      <c r="D239" s="84"/>
      <c r="E239" s="84"/>
      <c r="F239" s="84"/>
      <c r="G239" s="84"/>
      <c r="H239" s="84"/>
      <c r="I239" s="84"/>
      <c r="J239" s="84"/>
      <c r="K239" s="84"/>
      <c r="L239" s="84"/>
      <c r="M239" s="84"/>
      <c r="N239" s="84"/>
      <c r="O239" s="84"/>
      <c r="P239" s="84"/>
      <c r="Q239" s="84"/>
      <c r="R239" s="84"/>
      <c r="S239" s="84"/>
      <c r="T239" s="84"/>
      <c r="U239" s="84"/>
      <c r="V239" s="84"/>
      <c r="W239" s="84"/>
      <c r="X239" s="84"/>
      <c r="Y239" s="84"/>
      <c r="Z239" s="84"/>
    </row>
    <row r="240" ht="15.75" customHeight="1">
      <c r="A240" s="84"/>
      <c r="B240" s="84"/>
      <c r="C240" s="84"/>
      <c r="D240" s="84"/>
      <c r="E240" s="84"/>
      <c r="F240" s="84"/>
      <c r="G240" s="84"/>
      <c r="H240" s="84"/>
      <c r="I240" s="84"/>
      <c r="J240" s="84"/>
      <c r="K240" s="84"/>
      <c r="L240" s="84"/>
      <c r="M240" s="84"/>
      <c r="N240" s="84"/>
      <c r="O240" s="84"/>
      <c r="P240" s="84"/>
      <c r="Q240" s="84"/>
      <c r="R240" s="84"/>
      <c r="S240" s="84"/>
      <c r="T240" s="84"/>
      <c r="U240" s="84"/>
      <c r="V240" s="84"/>
      <c r="W240" s="84"/>
      <c r="X240" s="84"/>
      <c r="Y240" s="84"/>
      <c r="Z240" s="84"/>
    </row>
    <row r="241" ht="15.75" customHeight="1">
      <c r="A241" s="84"/>
      <c r="B241" s="84"/>
      <c r="C241" s="84"/>
      <c r="D241" s="84"/>
      <c r="E241" s="84"/>
      <c r="F241" s="84"/>
      <c r="G241" s="84"/>
      <c r="H241" s="84"/>
      <c r="I241" s="84"/>
      <c r="J241" s="84"/>
      <c r="K241" s="84"/>
      <c r="L241" s="84"/>
      <c r="M241" s="84"/>
      <c r="N241" s="84"/>
      <c r="O241" s="84"/>
      <c r="P241" s="84"/>
      <c r="Q241" s="84"/>
      <c r="R241" s="84"/>
      <c r="S241" s="84"/>
      <c r="T241" s="84"/>
      <c r="U241" s="84"/>
      <c r="V241" s="84"/>
      <c r="W241" s="84"/>
      <c r="X241" s="84"/>
      <c r="Y241" s="84"/>
      <c r="Z241" s="84"/>
    </row>
    <row r="242" ht="15.75" customHeight="1">
      <c r="A242" s="84"/>
      <c r="B242" s="84"/>
      <c r="C242" s="84"/>
      <c r="D242" s="84"/>
      <c r="E242" s="84"/>
      <c r="F242" s="84"/>
      <c r="G242" s="84"/>
      <c r="H242" s="84"/>
      <c r="I242" s="84"/>
      <c r="J242" s="84"/>
      <c r="K242" s="84"/>
      <c r="L242" s="84"/>
      <c r="M242" s="84"/>
      <c r="N242" s="84"/>
      <c r="O242" s="84"/>
      <c r="P242" s="84"/>
      <c r="Q242" s="84"/>
      <c r="R242" s="84"/>
      <c r="S242" s="84"/>
      <c r="T242" s="84"/>
      <c r="U242" s="84"/>
      <c r="V242" s="84"/>
      <c r="W242" s="84"/>
      <c r="X242" s="84"/>
      <c r="Y242" s="84"/>
      <c r="Z242" s="84"/>
    </row>
    <row r="243" ht="15.75" customHeight="1">
      <c r="A243" s="84"/>
      <c r="B243" s="84"/>
      <c r="C243" s="84"/>
      <c r="D243" s="84"/>
      <c r="E243" s="84"/>
      <c r="F243" s="84"/>
      <c r="G243" s="84"/>
      <c r="H243" s="84"/>
      <c r="I243" s="84"/>
      <c r="J243" s="84"/>
      <c r="K243" s="84"/>
      <c r="L243" s="84"/>
      <c r="M243" s="84"/>
      <c r="N243" s="84"/>
      <c r="O243" s="84"/>
      <c r="P243" s="84"/>
      <c r="Q243" s="84"/>
      <c r="R243" s="84"/>
      <c r="S243" s="84"/>
      <c r="T243" s="84"/>
      <c r="U243" s="84"/>
      <c r="V243" s="84"/>
      <c r="W243" s="84"/>
      <c r="X243" s="84"/>
      <c r="Y243" s="84"/>
      <c r="Z243" s="84"/>
    </row>
    <row r="244" ht="15.75" customHeight="1">
      <c r="A244" s="84"/>
      <c r="B244" s="84"/>
      <c r="C244" s="84"/>
      <c r="D244" s="84"/>
      <c r="E244" s="84"/>
      <c r="F244" s="84"/>
      <c r="G244" s="84"/>
      <c r="H244" s="84"/>
      <c r="I244" s="84"/>
      <c r="J244" s="84"/>
      <c r="K244" s="84"/>
      <c r="L244" s="84"/>
      <c r="M244" s="84"/>
      <c r="N244" s="84"/>
      <c r="O244" s="84"/>
      <c r="P244" s="84"/>
      <c r="Q244" s="84"/>
      <c r="R244" s="84"/>
      <c r="S244" s="84"/>
      <c r="T244" s="84"/>
      <c r="U244" s="84"/>
      <c r="V244" s="84"/>
      <c r="W244" s="84"/>
      <c r="X244" s="84"/>
      <c r="Y244" s="84"/>
      <c r="Z244" s="84"/>
    </row>
    <row r="245" ht="15.75" customHeight="1">
      <c r="A245" s="84"/>
      <c r="B245" s="84"/>
      <c r="C245" s="84"/>
      <c r="D245" s="84"/>
      <c r="E245" s="84"/>
      <c r="F245" s="84"/>
      <c r="G245" s="84"/>
      <c r="H245" s="84"/>
      <c r="I245" s="84"/>
      <c r="J245" s="84"/>
      <c r="K245" s="84"/>
      <c r="L245" s="84"/>
      <c r="M245" s="84"/>
      <c r="N245" s="84"/>
      <c r="O245" s="84"/>
      <c r="P245" s="84"/>
      <c r="Q245" s="84"/>
      <c r="R245" s="84"/>
      <c r="S245" s="84"/>
      <c r="T245" s="84"/>
      <c r="U245" s="84"/>
      <c r="V245" s="84"/>
      <c r="W245" s="84"/>
      <c r="X245" s="84"/>
      <c r="Y245" s="84"/>
      <c r="Z245" s="84"/>
    </row>
    <row r="246" ht="15.75" customHeight="1">
      <c r="A246" s="84"/>
      <c r="B246" s="84"/>
      <c r="C246" s="84"/>
      <c r="D246" s="84"/>
      <c r="E246" s="84"/>
      <c r="F246" s="84"/>
      <c r="G246" s="84"/>
      <c r="H246" s="84"/>
      <c r="I246" s="84"/>
      <c r="J246" s="84"/>
      <c r="K246" s="84"/>
      <c r="L246" s="84"/>
      <c r="M246" s="84"/>
      <c r="N246" s="84"/>
      <c r="O246" s="84"/>
      <c r="P246" s="84"/>
      <c r="Q246" s="84"/>
      <c r="R246" s="84"/>
      <c r="S246" s="84"/>
      <c r="T246" s="84"/>
      <c r="U246" s="84"/>
      <c r="V246" s="84"/>
      <c r="W246" s="84"/>
      <c r="X246" s="84"/>
      <c r="Y246" s="84"/>
      <c r="Z246" s="84"/>
    </row>
    <row r="247" ht="15.75" customHeight="1">
      <c r="A247" s="84"/>
      <c r="B247" s="84"/>
      <c r="C247" s="84"/>
      <c r="D247" s="84"/>
      <c r="E247" s="84"/>
      <c r="F247" s="84"/>
      <c r="G247" s="84"/>
      <c r="H247" s="84"/>
      <c r="I247" s="84"/>
      <c r="J247" s="84"/>
      <c r="K247" s="84"/>
      <c r="L247" s="84"/>
      <c r="M247" s="84"/>
      <c r="N247" s="84"/>
      <c r="O247" s="84"/>
      <c r="P247" s="84"/>
      <c r="Q247" s="84"/>
      <c r="R247" s="84"/>
      <c r="S247" s="84"/>
      <c r="T247" s="84"/>
      <c r="U247" s="84"/>
      <c r="V247" s="84"/>
      <c r="W247" s="84"/>
      <c r="X247" s="84"/>
      <c r="Y247" s="84"/>
      <c r="Z247" s="84"/>
    </row>
    <row r="248" ht="15.75" customHeight="1">
      <c r="A248" s="84"/>
      <c r="B248" s="84"/>
      <c r="C248" s="84"/>
      <c r="D248" s="84"/>
      <c r="E248" s="84"/>
      <c r="F248" s="84"/>
      <c r="G248" s="84"/>
      <c r="H248" s="84"/>
      <c r="I248" s="84"/>
      <c r="J248" s="84"/>
      <c r="K248" s="84"/>
      <c r="L248" s="84"/>
      <c r="M248" s="84"/>
      <c r="N248" s="84"/>
      <c r="O248" s="84"/>
      <c r="P248" s="84"/>
      <c r="Q248" s="84"/>
      <c r="R248" s="84"/>
      <c r="S248" s="84"/>
      <c r="T248" s="84"/>
      <c r="U248" s="84"/>
      <c r="V248" s="84"/>
      <c r="W248" s="84"/>
      <c r="X248" s="84"/>
      <c r="Y248" s="84"/>
      <c r="Z248" s="84"/>
    </row>
    <row r="249" ht="15.75" customHeight="1">
      <c r="A249" s="84"/>
      <c r="B249" s="84"/>
      <c r="C249" s="84"/>
      <c r="D249" s="84"/>
      <c r="E249" s="84"/>
      <c r="F249" s="84"/>
      <c r="G249" s="84"/>
      <c r="H249" s="84"/>
      <c r="I249" s="84"/>
      <c r="J249" s="84"/>
      <c r="K249" s="84"/>
      <c r="L249" s="84"/>
      <c r="M249" s="84"/>
      <c r="N249" s="84"/>
      <c r="O249" s="84"/>
      <c r="P249" s="84"/>
      <c r="Q249" s="84"/>
      <c r="R249" s="84"/>
      <c r="S249" s="84"/>
      <c r="T249" s="84"/>
      <c r="U249" s="84"/>
      <c r="V249" s="84"/>
      <c r="W249" s="84"/>
      <c r="X249" s="84"/>
      <c r="Y249" s="84"/>
      <c r="Z249" s="84"/>
    </row>
    <row r="250" ht="15.75" customHeight="1">
      <c r="A250" s="84"/>
      <c r="B250" s="84"/>
      <c r="C250" s="84"/>
      <c r="D250" s="84"/>
      <c r="E250" s="84"/>
      <c r="F250" s="84"/>
      <c r="G250" s="84"/>
      <c r="H250" s="84"/>
      <c r="I250" s="84"/>
      <c r="J250" s="84"/>
      <c r="K250" s="84"/>
      <c r="L250" s="84"/>
      <c r="M250" s="84"/>
      <c r="N250" s="84"/>
      <c r="O250" s="84"/>
      <c r="P250" s="84"/>
      <c r="Q250" s="84"/>
      <c r="R250" s="84"/>
      <c r="S250" s="84"/>
      <c r="T250" s="84"/>
      <c r="U250" s="84"/>
      <c r="V250" s="84"/>
      <c r="W250" s="84"/>
      <c r="X250" s="84"/>
      <c r="Y250" s="84"/>
      <c r="Z250" s="84"/>
    </row>
    <row r="251" ht="15.75" customHeight="1">
      <c r="A251" s="84"/>
      <c r="B251" s="84"/>
      <c r="C251" s="84"/>
      <c r="D251" s="84"/>
      <c r="E251" s="84"/>
      <c r="F251" s="84"/>
      <c r="G251" s="84"/>
      <c r="H251" s="84"/>
      <c r="I251" s="84"/>
      <c r="J251" s="84"/>
      <c r="K251" s="84"/>
      <c r="L251" s="84"/>
      <c r="M251" s="84"/>
      <c r="N251" s="84"/>
      <c r="O251" s="84"/>
      <c r="P251" s="84"/>
      <c r="Q251" s="84"/>
      <c r="R251" s="84"/>
      <c r="S251" s="84"/>
      <c r="T251" s="84"/>
      <c r="U251" s="84"/>
      <c r="V251" s="84"/>
      <c r="W251" s="84"/>
      <c r="X251" s="84"/>
      <c r="Y251" s="84"/>
      <c r="Z251" s="84"/>
    </row>
    <row r="252" ht="15.75" customHeight="1">
      <c r="A252" s="84"/>
      <c r="B252" s="84"/>
      <c r="C252" s="84"/>
      <c r="D252" s="84"/>
      <c r="E252" s="84"/>
      <c r="F252" s="84"/>
      <c r="G252" s="84"/>
      <c r="H252" s="84"/>
      <c r="I252" s="84"/>
      <c r="J252" s="84"/>
      <c r="K252" s="84"/>
      <c r="L252" s="84"/>
      <c r="M252" s="84"/>
      <c r="N252" s="84"/>
      <c r="O252" s="84"/>
      <c r="P252" s="84"/>
      <c r="Q252" s="84"/>
      <c r="R252" s="84"/>
      <c r="S252" s="84"/>
      <c r="T252" s="84"/>
      <c r="U252" s="84"/>
      <c r="V252" s="84"/>
      <c r="W252" s="84"/>
      <c r="X252" s="84"/>
      <c r="Y252" s="84"/>
      <c r="Z252" s="84"/>
    </row>
    <row r="253" ht="15.75" customHeight="1">
      <c r="A253" s="84"/>
      <c r="B253" s="84"/>
      <c r="C253" s="84"/>
      <c r="D253" s="84"/>
      <c r="E253" s="84"/>
      <c r="F253" s="84"/>
      <c r="G253" s="84"/>
      <c r="H253" s="84"/>
      <c r="I253" s="84"/>
      <c r="J253" s="84"/>
      <c r="K253" s="84"/>
      <c r="L253" s="84"/>
      <c r="M253" s="84"/>
      <c r="N253" s="84"/>
      <c r="O253" s="84"/>
      <c r="P253" s="84"/>
      <c r="Q253" s="84"/>
      <c r="R253" s="84"/>
      <c r="S253" s="84"/>
      <c r="T253" s="84"/>
      <c r="U253" s="84"/>
      <c r="V253" s="84"/>
      <c r="W253" s="84"/>
      <c r="X253" s="84"/>
      <c r="Y253" s="84"/>
      <c r="Z253" s="84"/>
    </row>
    <row r="254" ht="15.75" customHeight="1">
      <c r="A254" s="84"/>
      <c r="B254" s="84"/>
      <c r="C254" s="84"/>
      <c r="D254" s="84"/>
      <c r="E254" s="84"/>
      <c r="F254" s="84"/>
      <c r="G254" s="84"/>
      <c r="H254" s="84"/>
      <c r="I254" s="84"/>
      <c r="J254" s="84"/>
      <c r="K254" s="84"/>
      <c r="L254" s="84"/>
      <c r="M254" s="84"/>
      <c r="N254" s="84"/>
      <c r="O254" s="84"/>
      <c r="P254" s="84"/>
      <c r="Q254" s="84"/>
      <c r="R254" s="84"/>
      <c r="S254" s="84"/>
      <c r="T254" s="84"/>
      <c r="U254" s="84"/>
      <c r="V254" s="84"/>
      <c r="W254" s="84"/>
      <c r="X254" s="84"/>
      <c r="Y254" s="84"/>
      <c r="Z254" s="84"/>
    </row>
    <row r="255" ht="15.75" customHeight="1">
      <c r="A255" s="84"/>
      <c r="B255" s="84"/>
      <c r="C255" s="84"/>
      <c r="D255" s="84"/>
      <c r="E255" s="84"/>
      <c r="F255" s="84"/>
      <c r="G255" s="84"/>
      <c r="H255" s="84"/>
      <c r="I255" s="84"/>
      <c r="J255" s="84"/>
      <c r="K255" s="84"/>
      <c r="L255" s="84"/>
      <c r="M255" s="84"/>
      <c r="N255" s="84"/>
      <c r="O255" s="84"/>
      <c r="P255" s="84"/>
      <c r="Q255" s="84"/>
      <c r="R255" s="84"/>
      <c r="S255" s="84"/>
      <c r="T255" s="84"/>
      <c r="U255" s="84"/>
      <c r="V255" s="84"/>
      <c r="W255" s="84"/>
      <c r="X255" s="84"/>
      <c r="Y255" s="84"/>
      <c r="Z255" s="84"/>
    </row>
    <row r="256" ht="15.75" customHeight="1">
      <c r="A256" s="84"/>
      <c r="B256" s="84"/>
      <c r="C256" s="84"/>
      <c r="D256" s="84"/>
      <c r="E256" s="84"/>
      <c r="F256" s="84"/>
      <c r="G256" s="84"/>
      <c r="H256" s="84"/>
      <c r="I256" s="84"/>
      <c r="J256" s="84"/>
      <c r="K256" s="84"/>
      <c r="L256" s="84"/>
      <c r="M256" s="84"/>
      <c r="N256" s="84"/>
      <c r="O256" s="84"/>
      <c r="P256" s="84"/>
      <c r="Q256" s="84"/>
      <c r="R256" s="84"/>
      <c r="S256" s="84"/>
      <c r="T256" s="84"/>
      <c r="U256" s="84"/>
      <c r="V256" s="84"/>
      <c r="W256" s="84"/>
      <c r="X256" s="84"/>
      <c r="Y256" s="84"/>
      <c r="Z256" s="84"/>
    </row>
    <row r="257" ht="15.75" customHeight="1">
      <c r="A257" s="84"/>
      <c r="B257" s="84"/>
      <c r="C257" s="84"/>
      <c r="D257" s="84"/>
      <c r="E257" s="84"/>
      <c r="F257" s="84"/>
      <c r="G257" s="84"/>
      <c r="H257" s="84"/>
      <c r="I257" s="84"/>
      <c r="J257" s="84"/>
      <c r="K257" s="84"/>
      <c r="L257" s="84"/>
      <c r="M257" s="84"/>
      <c r="N257" s="84"/>
      <c r="O257" s="84"/>
      <c r="P257" s="84"/>
      <c r="Q257" s="84"/>
      <c r="R257" s="84"/>
      <c r="S257" s="84"/>
      <c r="T257" s="84"/>
      <c r="U257" s="84"/>
      <c r="V257" s="84"/>
      <c r="W257" s="84"/>
      <c r="X257" s="84"/>
      <c r="Y257" s="84"/>
      <c r="Z257" s="84"/>
    </row>
    <row r="258" ht="15.75" customHeight="1">
      <c r="A258" s="84"/>
      <c r="B258" s="84"/>
      <c r="C258" s="84"/>
      <c r="D258" s="84"/>
      <c r="E258" s="84"/>
      <c r="F258" s="84"/>
      <c r="G258" s="84"/>
      <c r="H258" s="84"/>
      <c r="I258" s="84"/>
      <c r="J258" s="84"/>
      <c r="K258" s="84"/>
      <c r="L258" s="84"/>
      <c r="M258" s="84"/>
      <c r="N258" s="84"/>
      <c r="O258" s="84"/>
      <c r="P258" s="84"/>
      <c r="Q258" s="84"/>
      <c r="R258" s="84"/>
      <c r="S258" s="84"/>
      <c r="T258" s="84"/>
      <c r="U258" s="84"/>
      <c r="V258" s="84"/>
      <c r="W258" s="84"/>
      <c r="X258" s="84"/>
      <c r="Y258" s="84"/>
      <c r="Z258" s="84"/>
    </row>
    <row r="259" ht="15.75" customHeight="1">
      <c r="A259" s="84"/>
      <c r="B259" s="84"/>
      <c r="C259" s="84"/>
      <c r="D259" s="84"/>
      <c r="E259" s="84"/>
      <c r="F259" s="84"/>
      <c r="G259" s="84"/>
      <c r="H259" s="84"/>
      <c r="I259" s="84"/>
      <c r="J259" s="84"/>
      <c r="K259" s="84"/>
      <c r="L259" s="84"/>
      <c r="M259" s="84"/>
      <c r="N259" s="84"/>
      <c r="O259" s="84"/>
      <c r="P259" s="84"/>
      <c r="Q259" s="84"/>
      <c r="R259" s="84"/>
      <c r="S259" s="84"/>
      <c r="T259" s="84"/>
      <c r="U259" s="84"/>
      <c r="V259" s="84"/>
      <c r="W259" s="84"/>
      <c r="X259" s="84"/>
      <c r="Y259" s="84"/>
      <c r="Z259" s="84"/>
    </row>
    <row r="260" ht="15.75" customHeight="1">
      <c r="A260" s="84"/>
      <c r="B260" s="84"/>
      <c r="C260" s="84"/>
      <c r="D260" s="84"/>
      <c r="E260" s="84"/>
      <c r="F260" s="84"/>
      <c r="G260" s="84"/>
      <c r="H260" s="84"/>
      <c r="I260" s="84"/>
      <c r="J260" s="84"/>
      <c r="K260" s="84"/>
      <c r="L260" s="84"/>
      <c r="M260" s="84"/>
      <c r="N260" s="84"/>
      <c r="O260" s="84"/>
      <c r="P260" s="84"/>
      <c r="Q260" s="84"/>
      <c r="R260" s="84"/>
      <c r="S260" s="84"/>
      <c r="T260" s="84"/>
      <c r="U260" s="84"/>
      <c r="V260" s="84"/>
      <c r="W260" s="84"/>
      <c r="X260" s="84"/>
      <c r="Y260" s="84"/>
      <c r="Z260" s="84"/>
    </row>
    <row r="261" ht="15.75" customHeight="1">
      <c r="A261" s="84"/>
      <c r="B261" s="84"/>
      <c r="C261" s="84"/>
      <c r="D261" s="84"/>
      <c r="E261" s="84"/>
      <c r="F261" s="84"/>
      <c r="G261" s="84"/>
      <c r="H261" s="84"/>
      <c r="I261" s="84"/>
      <c r="J261" s="84"/>
      <c r="K261" s="84"/>
      <c r="L261" s="84"/>
      <c r="M261" s="84"/>
      <c r="N261" s="84"/>
      <c r="O261" s="84"/>
      <c r="P261" s="84"/>
      <c r="Q261" s="84"/>
      <c r="R261" s="84"/>
      <c r="S261" s="84"/>
      <c r="T261" s="84"/>
      <c r="U261" s="84"/>
      <c r="V261" s="84"/>
      <c r="W261" s="84"/>
      <c r="X261" s="84"/>
      <c r="Y261" s="84"/>
      <c r="Z261" s="84"/>
    </row>
    <row r="262" ht="15.75" customHeight="1">
      <c r="A262" s="84"/>
      <c r="B262" s="84"/>
      <c r="C262" s="84"/>
      <c r="D262" s="84"/>
      <c r="E262" s="84"/>
      <c r="F262" s="84"/>
      <c r="G262" s="84"/>
      <c r="H262" s="84"/>
      <c r="I262" s="84"/>
      <c r="J262" s="84"/>
      <c r="K262" s="84"/>
      <c r="L262" s="84"/>
      <c r="M262" s="84"/>
      <c r="N262" s="84"/>
      <c r="O262" s="84"/>
      <c r="P262" s="84"/>
      <c r="Q262" s="84"/>
      <c r="R262" s="84"/>
      <c r="S262" s="84"/>
      <c r="T262" s="84"/>
      <c r="U262" s="84"/>
      <c r="V262" s="84"/>
      <c r="W262" s="84"/>
      <c r="X262" s="84"/>
      <c r="Y262" s="84"/>
      <c r="Z262" s="84"/>
    </row>
    <row r="263" ht="15.75" customHeight="1">
      <c r="A263" s="84"/>
      <c r="B263" s="84"/>
      <c r="C263" s="84"/>
      <c r="D263" s="84"/>
      <c r="E263" s="84"/>
      <c r="F263" s="84"/>
      <c r="G263" s="84"/>
      <c r="H263" s="84"/>
      <c r="I263" s="84"/>
      <c r="J263" s="84"/>
      <c r="K263" s="84"/>
      <c r="L263" s="84"/>
      <c r="M263" s="84"/>
      <c r="N263" s="84"/>
      <c r="O263" s="84"/>
      <c r="P263" s="84"/>
      <c r="Q263" s="84"/>
      <c r="R263" s="84"/>
      <c r="S263" s="84"/>
      <c r="T263" s="84"/>
      <c r="U263" s="84"/>
      <c r="V263" s="84"/>
      <c r="W263" s="84"/>
      <c r="X263" s="84"/>
      <c r="Y263" s="84"/>
      <c r="Z263" s="84"/>
    </row>
    <row r="264" ht="15.75" customHeight="1">
      <c r="A264" s="84"/>
      <c r="B264" s="84"/>
      <c r="C264" s="84"/>
      <c r="D264" s="84"/>
      <c r="E264" s="84"/>
      <c r="F264" s="84"/>
      <c r="G264" s="84"/>
      <c r="H264" s="84"/>
      <c r="I264" s="84"/>
      <c r="J264" s="84"/>
      <c r="K264" s="84"/>
      <c r="L264" s="84"/>
      <c r="M264" s="84"/>
      <c r="N264" s="84"/>
      <c r="O264" s="84"/>
      <c r="P264" s="84"/>
      <c r="Q264" s="84"/>
      <c r="R264" s="84"/>
      <c r="S264" s="84"/>
      <c r="T264" s="84"/>
      <c r="U264" s="84"/>
      <c r="V264" s="84"/>
      <c r="W264" s="84"/>
      <c r="X264" s="84"/>
      <c r="Y264" s="84"/>
      <c r="Z264" s="84"/>
    </row>
    <row r="265" ht="15.75" customHeight="1">
      <c r="A265" s="84"/>
      <c r="B265" s="84"/>
      <c r="C265" s="84"/>
      <c r="D265" s="84"/>
      <c r="E265" s="84"/>
      <c r="F265" s="84"/>
      <c r="G265" s="84"/>
      <c r="H265" s="84"/>
      <c r="I265" s="84"/>
      <c r="J265" s="84"/>
      <c r="K265" s="84"/>
      <c r="L265" s="84"/>
      <c r="M265" s="84"/>
      <c r="N265" s="84"/>
      <c r="O265" s="84"/>
      <c r="P265" s="84"/>
      <c r="Q265" s="84"/>
      <c r="R265" s="84"/>
      <c r="S265" s="84"/>
      <c r="T265" s="84"/>
      <c r="U265" s="84"/>
      <c r="V265" s="84"/>
      <c r="W265" s="84"/>
      <c r="X265" s="84"/>
      <c r="Y265" s="84"/>
      <c r="Z265" s="84"/>
    </row>
    <row r="266" ht="15.75" customHeight="1">
      <c r="A266" s="84"/>
      <c r="B266" s="84"/>
      <c r="C266" s="84"/>
      <c r="D266" s="84"/>
      <c r="E266" s="84"/>
      <c r="F266" s="84"/>
      <c r="G266" s="84"/>
      <c r="H266" s="84"/>
      <c r="I266" s="84"/>
      <c r="J266" s="84"/>
      <c r="K266" s="84"/>
      <c r="L266" s="84"/>
      <c r="M266" s="84"/>
      <c r="N266" s="84"/>
      <c r="O266" s="84"/>
      <c r="P266" s="84"/>
      <c r="Q266" s="84"/>
      <c r="R266" s="84"/>
      <c r="S266" s="84"/>
      <c r="T266" s="84"/>
      <c r="U266" s="84"/>
      <c r="V266" s="84"/>
      <c r="W266" s="84"/>
      <c r="X266" s="84"/>
      <c r="Y266" s="84"/>
      <c r="Z266" s="84"/>
    </row>
    <row r="267" ht="15.75" customHeight="1">
      <c r="A267" s="84"/>
      <c r="B267" s="84"/>
      <c r="C267" s="84"/>
      <c r="D267" s="84"/>
      <c r="E267" s="84"/>
      <c r="F267" s="84"/>
      <c r="G267" s="84"/>
      <c r="H267" s="84"/>
      <c r="I267" s="84"/>
      <c r="J267" s="84"/>
      <c r="K267" s="84"/>
      <c r="L267" s="84"/>
      <c r="M267" s="84"/>
      <c r="N267" s="84"/>
      <c r="O267" s="84"/>
      <c r="P267" s="84"/>
      <c r="Q267" s="84"/>
      <c r="R267" s="84"/>
      <c r="S267" s="84"/>
      <c r="T267" s="84"/>
      <c r="U267" s="84"/>
      <c r="V267" s="84"/>
      <c r="W267" s="84"/>
      <c r="X267" s="84"/>
      <c r="Y267" s="84"/>
      <c r="Z267" s="84"/>
    </row>
    <row r="268" ht="15.75" customHeight="1">
      <c r="A268" s="84"/>
      <c r="B268" s="84"/>
      <c r="C268" s="84"/>
      <c r="D268" s="84"/>
      <c r="E268" s="84"/>
      <c r="F268" s="84"/>
      <c r="G268" s="84"/>
      <c r="H268" s="84"/>
      <c r="I268" s="84"/>
      <c r="J268" s="84"/>
      <c r="K268" s="84"/>
      <c r="L268" s="84"/>
      <c r="M268" s="84"/>
      <c r="N268" s="84"/>
      <c r="O268" s="84"/>
      <c r="P268" s="84"/>
      <c r="Q268" s="84"/>
      <c r="R268" s="84"/>
      <c r="S268" s="84"/>
      <c r="T268" s="84"/>
      <c r="U268" s="84"/>
      <c r="V268" s="84"/>
      <c r="W268" s="84"/>
      <c r="X268" s="84"/>
      <c r="Y268" s="84"/>
      <c r="Z268" s="84"/>
    </row>
    <row r="269" ht="15.75" customHeight="1">
      <c r="A269" s="84"/>
      <c r="B269" s="84"/>
      <c r="C269" s="84"/>
      <c r="D269" s="84"/>
      <c r="E269" s="84"/>
      <c r="F269" s="84"/>
      <c r="G269" s="84"/>
      <c r="H269" s="84"/>
      <c r="I269" s="84"/>
      <c r="J269" s="84"/>
      <c r="K269" s="84"/>
      <c r="L269" s="84"/>
      <c r="M269" s="84"/>
      <c r="N269" s="84"/>
      <c r="O269" s="84"/>
      <c r="P269" s="84"/>
      <c r="Q269" s="84"/>
      <c r="R269" s="84"/>
      <c r="S269" s="84"/>
      <c r="T269" s="84"/>
      <c r="U269" s="84"/>
      <c r="V269" s="84"/>
      <c r="W269" s="84"/>
      <c r="X269" s="84"/>
      <c r="Y269" s="84"/>
      <c r="Z269" s="84"/>
    </row>
    <row r="270" ht="15.75" customHeight="1">
      <c r="A270" s="84"/>
      <c r="B270" s="84"/>
      <c r="C270" s="84"/>
      <c r="D270" s="84"/>
      <c r="E270" s="84"/>
      <c r="F270" s="84"/>
      <c r="G270" s="84"/>
      <c r="H270" s="84"/>
      <c r="I270" s="84"/>
      <c r="J270" s="84"/>
      <c r="K270" s="84"/>
      <c r="L270" s="84"/>
      <c r="M270" s="84"/>
      <c r="N270" s="84"/>
      <c r="O270" s="84"/>
      <c r="P270" s="84"/>
      <c r="Q270" s="84"/>
      <c r="R270" s="84"/>
      <c r="S270" s="84"/>
      <c r="T270" s="84"/>
      <c r="U270" s="84"/>
      <c r="V270" s="84"/>
      <c r="W270" s="84"/>
      <c r="X270" s="84"/>
      <c r="Y270" s="84"/>
      <c r="Z270" s="84"/>
    </row>
    <row r="271" ht="15.75" customHeight="1">
      <c r="A271" s="84"/>
      <c r="B271" s="84"/>
      <c r="C271" s="84"/>
      <c r="D271" s="84"/>
      <c r="E271" s="84"/>
      <c r="F271" s="84"/>
      <c r="G271" s="84"/>
      <c r="H271" s="84"/>
      <c r="I271" s="84"/>
      <c r="J271" s="84"/>
      <c r="K271" s="84"/>
      <c r="L271" s="84"/>
      <c r="M271" s="84"/>
      <c r="N271" s="84"/>
      <c r="O271" s="84"/>
      <c r="P271" s="84"/>
      <c r="Q271" s="84"/>
      <c r="R271" s="84"/>
      <c r="S271" s="84"/>
      <c r="T271" s="84"/>
      <c r="U271" s="84"/>
      <c r="V271" s="84"/>
      <c r="W271" s="84"/>
      <c r="X271" s="84"/>
      <c r="Y271" s="84"/>
      <c r="Z271" s="84"/>
    </row>
    <row r="272" ht="15.75" customHeight="1">
      <c r="A272" s="84"/>
      <c r="B272" s="84"/>
      <c r="C272" s="84"/>
      <c r="D272" s="84"/>
      <c r="E272" s="84"/>
      <c r="F272" s="84"/>
      <c r="G272" s="84"/>
      <c r="H272" s="84"/>
      <c r="I272" s="84"/>
      <c r="J272" s="84"/>
      <c r="K272" s="84"/>
      <c r="L272" s="84"/>
      <c r="M272" s="84"/>
      <c r="N272" s="84"/>
      <c r="O272" s="84"/>
      <c r="P272" s="84"/>
      <c r="Q272" s="84"/>
      <c r="R272" s="84"/>
      <c r="S272" s="84"/>
      <c r="T272" s="84"/>
      <c r="U272" s="84"/>
      <c r="V272" s="84"/>
      <c r="W272" s="84"/>
      <c r="X272" s="84"/>
      <c r="Y272" s="84"/>
      <c r="Z272" s="84"/>
    </row>
    <row r="273" ht="15.75" customHeight="1">
      <c r="A273" s="84"/>
      <c r="B273" s="84"/>
      <c r="C273" s="84"/>
      <c r="D273" s="84"/>
      <c r="E273" s="84"/>
      <c r="F273" s="84"/>
      <c r="G273" s="84"/>
      <c r="H273" s="84"/>
      <c r="I273" s="84"/>
      <c r="J273" s="84"/>
      <c r="K273" s="84"/>
      <c r="L273" s="84"/>
      <c r="M273" s="84"/>
      <c r="N273" s="84"/>
      <c r="O273" s="84"/>
      <c r="P273" s="84"/>
      <c r="Q273" s="84"/>
      <c r="R273" s="84"/>
      <c r="S273" s="84"/>
      <c r="T273" s="84"/>
      <c r="U273" s="84"/>
      <c r="V273" s="84"/>
      <c r="W273" s="84"/>
      <c r="X273" s="84"/>
      <c r="Y273" s="84"/>
      <c r="Z273" s="84"/>
    </row>
    <row r="274" ht="15.75" customHeight="1">
      <c r="A274" s="84"/>
      <c r="B274" s="84"/>
      <c r="C274" s="84"/>
      <c r="D274" s="84"/>
      <c r="E274" s="84"/>
      <c r="F274" s="84"/>
      <c r="G274" s="84"/>
      <c r="H274" s="84"/>
      <c r="I274" s="84"/>
      <c r="J274" s="84"/>
      <c r="K274" s="84"/>
      <c r="L274" s="84"/>
      <c r="M274" s="84"/>
      <c r="N274" s="84"/>
      <c r="O274" s="84"/>
      <c r="P274" s="84"/>
      <c r="Q274" s="84"/>
      <c r="R274" s="84"/>
      <c r="S274" s="84"/>
      <c r="T274" s="84"/>
      <c r="U274" s="84"/>
      <c r="V274" s="84"/>
      <c r="W274" s="84"/>
      <c r="X274" s="84"/>
      <c r="Y274" s="84"/>
      <c r="Z274" s="84"/>
    </row>
    <row r="275" ht="15.75" customHeight="1">
      <c r="A275" s="84"/>
      <c r="B275" s="84"/>
      <c r="C275" s="84"/>
      <c r="D275" s="84"/>
      <c r="E275" s="84"/>
      <c r="F275" s="84"/>
      <c r="G275" s="84"/>
      <c r="H275" s="84"/>
      <c r="I275" s="84"/>
      <c r="J275" s="84"/>
      <c r="K275" s="84"/>
      <c r="L275" s="84"/>
      <c r="M275" s="84"/>
      <c r="N275" s="84"/>
      <c r="O275" s="84"/>
      <c r="P275" s="84"/>
      <c r="Q275" s="84"/>
      <c r="R275" s="84"/>
      <c r="S275" s="84"/>
      <c r="T275" s="84"/>
      <c r="U275" s="84"/>
      <c r="V275" s="84"/>
      <c r="W275" s="84"/>
      <c r="X275" s="84"/>
      <c r="Y275" s="84"/>
      <c r="Z275" s="84"/>
    </row>
    <row r="276" ht="15.75" customHeight="1">
      <c r="A276" s="84"/>
      <c r="B276" s="84"/>
      <c r="C276" s="84"/>
      <c r="D276" s="84"/>
      <c r="E276" s="84"/>
      <c r="F276" s="84"/>
      <c r="G276" s="84"/>
      <c r="H276" s="84"/>
      <c r="I276" s="84"/>
      <c r="J276" s="84"/>
      <c r="K276" s="84"/>
      <c r="L276" s="84"/>
      <c r="M276" s="84"/>
      <c r="N276" s="84"/>
      <c r="O276" s="84"/>
      <c r="P276" s="84"/>
      <c r="Q276" s="84"/>
      <c r="R276" s="84"/>
      <c r="S276" s="84"/>
      <c r="T276" s="84"/>
      <c r="U276" s="84"/>
      <c r="V276" s="84"/>
      <c r="W276" s="84"/>
      <c r="X276" s="84"/>
      <c r="Y276" s="84"/>
      <c r="Z276" s="84"/>
    </row>
    <row r="277" ht="15.75" customHeight="1">
      <c r="A277" s="84"/>
      <c r="B277" s="84"/>
      <c r="C277" s="84"/>
      <c r="D277" s="84"/>
      <c r="E277" s="84"/>
      <c r="F277" s="84"/>
      <c r="G277" s="84"/>
      <c r="H277" s="84"/>
      <c r="I277" s="84"/>
      <c r="J277" s="84"/>
      <c r="K277" s="84"/>
      <c r="L277" s="84"/>
      <c r="M277" s="84"/>
      <c r="N277" s="84"/>
      <c r="O277" s="84"/>
      <c r="P277" s="84"/>
      <c r="Q277" s="84"/>
      <c r="R277" s="84"/>
      <c r="S277" s="84"/>
      <c r="T277" s="84"/>
      <c r="U277" s="84"/>
      <c r="V277" s="84"/>
      <c r="W277" s="84"/>
      <c r="X277" s="84"/>
      <c r="Y277" s="84"/>
      <c r="Z277" s="84"/>
    </row>
    <row r="278" ht="15.75" customHeight="1">
      <c r="A278" s="84"/>
      <c r="B278" s="84"/>
      <c r="C278" s="84"/>
      <c r="D278" s="84"/>
      <c r="E278" s="84"/>
      <c r="F278" s="84"/>
      <c r="G278" s="84"/>
      <c r="H278" s="84"/>
      <c r="I278" s="84"/>
      <c r="J278" s="84"/>
      <c r="K278" s="84"/>
      <c r="L278" s="84"/>
      <c r="M278" s="84"/>
      <c r="N278" s="84"/>
      <c r="O278" s="84"/>
      <c r="P278" s="84"/>
      <c r="Q278" s="84"/>
      <c r="R278" s="84"/>
      <c r="S278" s="84"/>
      <c r="T278" s="84"/>
      <c r="U278" s="84"/>
      <c r="V278" s="84"/>
      <c r="W278" s="84"/>
      <c r="X278" s="84"/>
      <c r="Y278" s="84"/>
      <c r="Z278" s="84"/>
    </row>
    <row r="279" ht="15.75" customHeight="1">
      <c r="A279" s="84"/>
      <c r="B279" s="84"/>
      <c r="C279" s="84"/>
      <c r="D279" s="84"/>
      <c r="E279" s="84"/>
      <c r="F279" s="84"/>
    </row>
    <row r="280" ht="15.75" customHeight="1">
      <c r="A280" s="84"/>
      <c r="B280" s="84"/>
      <c r="C280" s="84"/>
      <c r="D280" s="84"/>
      <c r="E280" s="84"/>
      <c r="F280" s="84"/>
    </row>
    <row r="281" ht="15.75" customHeight="1">
      <c r="A281" s="84"/>
      <c r="B281" s="84"/>
      <c r="C281" s="84"/>
      <c r="D281" s="84"/>
      <c r="E281" s="84"/>
      <c r="F281" s="84"/>
    </row>
    <row r="282" ht="15.75" customHeight="1">
      <c r="A282" s="84"/>
      <c r="B282" s="84"/>
      <c r="C282" s="84"/>
      <c r="D282" s="84"/>
      <c r="E282" s="84"/>
      <c r="F282" s="84"/>
    </row>
    <row r="283" ht="15.75" customHeight="1">
      <c r="A283" s="84"/>
      <c r="B283" s="84"/>
      <c r="C283" s="84"/>
      <c r="D283" s="84"/>
      <c r="E283" s="84"/>
      <c r="F283" s="84"/>
    </row>
    <row r="284" ht="15.75" customHeight="1">
      <c r="A284" s="84"/>
      <c r="B284" s="84"/>
      <c r="C284" s="84"/>
      <c r="D284" s="84"/>
      <c r="E284" s="84"/>
      <c r="F284" s="84"/>
    </row>
    <row r="285" ht="15.75" customHeight="1">
      <c r="A285" s="84"/>
      <c r="B285" s="84"/>
      <c r="C285" s="84"/>
      <c r="D285" s="84"/>
      <c r="E285" s="84"/>
      <c r="F285" s="84"/>
    </row>
    <row r="286" ht="15.75" customHeight="1">
      <c r="A286" s="84"/>
      <c r="B286" s="84"/>
      <c r="C286" s="84"/>
      <c r="D286" s="84"/>
      <c r="E286" s="84"/>
      <c r="F286" s="84"/>
    </row>
    <row r="287" ht="15.75" customHeight="1">
      <c r="A287" s="84"/>
      <c r="B287" s="84"/>
      <c r="C287" s="84"/>
      <c r="D287" s="84"/>
      <c r="E287" s="84"/>
      <c r="F287" s="84"/>
    </row>
    <row r="288" ht="15.75" customHeight="1">
      <c r="A288" s="84"/>
      <c r="B288" s="84"/>
      <c r="C288" s="84"/>
      <c r="D288" s="84"/>
      <c r="E288" s="84"/>
      <c r="F288" s="84"/>
    </row>
    <row r="289" ht="15.75" customHeight="1">
      <c r="A289" s="84"/>
      <c r="B289" s="84"/>
      <c r="C289" s="84"/>
      <c r="D289" s="84"/>
      <c r="E289" s="84"/>
      <c r="F289" s="84"/>
    </row>
    <row r="290" ht="15.75" customHeight="1">
      <c r="A290" s="84"/>
      <c r="B290" s="84"/>
      <c r="C290" s="84"/>
      <c r="D290" s="84"/>
      <c r="E290" s="84"/>
      <c r="F290" s="84"/>
    </row>
    <row r="291" ht="15.75" customHeight="1">
      <c r="A291" s="84"/>
      <c r="B291" s="84"/>
      <c r="C291" s="84"/>
      <c r="D291" s="84"/>
      <c r="E291" s="84"/>
      <c r="F291" s="84"/>
    </row>
    <row r="292" ht="15.75" customHeight="1">
      <c r="A292" s="84"/>
      <c r="B292" s="84"/>
      <c r="C292" s="84"/>
      <c r="D292" s="84"/>
      <c r="E292" s="84"/>
      <c r="F292" s="84"/>
    </row>
    <row r="293" ht="15.75" customHeight="1">
      <c r="A293" s="84"/>
      <c r="B293" s="84"/>
      <c r="C293" s="84"/>
      <c r="D293" s="84"/>
      <c r="E293" s="84"/>
      <c r="F293" s="84"/>
    </row>
    <row r="294" ht="15.75" customHeight="1">
      <c r="A294" s="84"/>
      <c r="B294" s="84"/>
      <c r="C294" s="84"/>
      <c r="D294" s="84"/>
      <c r="E294" s="84"/>
      <c r="F294" s="84"/>
    </row>
    <row r="295" ht="15.75" customHeight="1">
      <c r="A295" s="84"/>
      <c r="B295" s="84"/>
      <c r="C295" s="84"/>
      <c r="D295" s="84"/>
      <c r="E295" s="84"/>
      <c r="F295" s="84"/>
    </row>
    <row r="296" ht="15.75" customHeight="1">
      <c r="A296" s="84"/>
      <c r="B296" s="84"/>
      <c r="C296" s="84"/>
      <c r="D296" s="84"/>
      <c r="E296" s="84"/>
      <c r="F296" s="84"/>
    </row>
    <row r="297" ht="15.75" customHeight="1">
      <c r="A297" s="84"/>
      <c r="B297" s="84"/>
      <c r="C297" s="84"/>
      <c r="D297" s="84"/>
      <c r="E297" s="84"/>
      <c r="F297" s="84"/>
    </row>
    <row r="298" ht="15.75" customHeight="1">
      <c r="A298" s="84"/>
      <c r="B298" s="84"/>
      <c r="C298" s="84"/>
      <c r="D298" s="84"/>
      <c r="E298" s="84"/>
      <c r="F298" s="84"/>
    </row>
    <row r="299" ht="15.75" customHeight="1">
      <c r="A299" s="84"/>
      <c r="B299" s="84"/>
      <c r="C299" s="84"/>
      <c r="D299" s="84"/>
      <c r="E299" s="84"/>
      <c r="F299" s="84"/>
    </row>
    <row r="300" ht="15.75" customHeight="1">
      <c r="A300" s="84"/>
      <c r="B300" s="84"/>
      <c r="C300" s="84"/>
      <c r="D300" s="84"/>
      <c r="E300" s="84"/>
      <c r="F300" s="84"/>
    </row>
    <row r="301" ht="15.75" customHeight="1">
      <c r="A301" s="84"/>
      <c r="B301" s="84"/>
      <c r="C301" s="84"/>
      <c r="D301" s="84"/>
      <c r="E301" s="84"/>
      <c r="F301" s="84"/>
    </row>
    <row r="302" ht="15.75" customHeight="1">
      <c r="A302" s="84"/>
      <c r="B302" s="84"/>
      <c r="C302" s="84"/>
      <c r="D302" s="84"/>
      <c r="E302" s="84"/>
      <c r="F302" s="84"/>
    </row>
    <row r="303" ht="15.75" customHeight="1">
      <c r="A303" s="84"/>
      <c r="B303" s="84"/>
      <c r="C303" s="84"/>
      <c r="D303" s="84"/>
      <c r="E303" s="84"/>
      <c r="F303" s="84"/>
    </row>
    <row r="304" ht="15.75" customHeight="1">
      <c r="A304" s="84"/>
      <c r="B304" s="84"/>
      <c r="C304" s="84"/>
      <c r="D304" s="84"/>
      <c r="E304" s="84"/>
      <c r="F304" s="84"/>
    </row>
    <row r="305" ht="15.75" customHeight="1">
      <c r="A305" s="84"/>
      <c r="B305" s="84"/>
      <c r="C305" s="84"/>
      <c r="D305" s="84"/>
      <c r="E305" s="84"/>
      <c r="F305" s="84"/>
    </row>
    <row r="306" ht="15.75" customHeight="1">
      <c r="A306" s="84"/>
      <c r="B306" s="84"/>
      <c r="C306" s="84"/>
      <c r="D306" s="84"/>
      <c r="E306" s="84"/>
      <c r="F306" s="84"/>
    </row>
    <row r="307" ht="15.75" customHeight="1">
      <c r="A307" s="84"/>
      <c r="B307" s="84"/>
      <c r="C307" s="84"/>
      <c r="D307" s="84"/>
      <c r="E307" s="84"/>
      <c r="F307" s="84"/>
    </row>
    <row r="308" ht="15.75" customHeight="1">
      <c r="A308" s="84"/>
      <c r="B308" s="84"/>
      <c r="C308" s="84"/>
      <c r="D308" s="84"/>
      <c r="E308" s="84"/>
      <c r="F308" s="84"/>
    </row>
    <row r="309" ht="15.75" customHeight="1">
      <c r="A309" s="84"/>
      <c r="B309" s="84"/>
      <c r="C309" s="84"/>
      <c r="D309" s="84"/>
      <c r="E309" s="84"/>
      <c r="F309" s="84"/>
    </row>
    <row r="310" ht="15.75" customHeight="1">
      <c r="A310" s="84"/>
      <c r="B310" s="84"/>
      <c r="C310" s="84"/>
      <c r="D310" s="84"/>
      <c r="E310" s="84"/>
      <c r="F310" s="84"/>
    </row>
    <row r="311" ht="15.75" customHeight="1">
      <c r="A311" s="84"/>
      <c r="B311" s="84"/>
      <c r="C311" s="84"/>
      <c r="D311" s="84"/>
      <c r="E311" s="84"/>
      <c r="F311" s="84"/>
    </row>
    <row r="312" ht="15.75" customHeight="1">
      <c r="A312" s="84"/>
      <c r="B312" s="84"/>
      <c r="C312" s="84"/>
      <c r="D312" s="84"/>
      <c r="E312" s="84"/>
      <c r="F312" s="84"/>
    </row>
    <row r="313" ht="15.75" customHeight="1">
      <c r="A313" s="84"/>
      <c r="B313" s="84"/>
      <c r="C313" s="84"/>
      <c r="D313" s="84"/>
      <c r="E313" s="84"/>
      <c r="F313" s="84"/>
    </row>
    <row r="314" ht="15.75" customHeight="1">
      <c r="A314" s="84"/>
      <c r="B314" s="84"/>
      <c r="C314" s="84"/>
      <c r="D314" s="84"/>
      <c r="E314" s="84"/>
      <c r="F314" s="84"/>
    </row>
    <row r="315" ht="15.75" customHeight="1">
      <c r="A315" s="84"/>
      <c r="B315" s="84"/>
      <c r="C315" s="84"/>
      <c r="D315" s="84"/>
      <c r="E315" s="84"/>
      <c r="F315" s="84"/>
    </row>
    <row r="316" ht="15.75" customHeight="1">
      <c r="A316" s="84"/>
      <c r="B316" s="84"/>
      <c r="C316" s="84"/>
      <c r="D316" s="84"/>
      <c r="E316" s="84"/>
      <c r="F316" s="84"/>
    </row>
    <row r="317" ht="15.75" customHeight="1">
      <c r="A317" s="84"/>
      <c r="B317" s="84"/>
      <c r="C317" s="84"/>
      <c r="D317" s="84"/>
      <c r="E317" s="84"/>
      <c r="F317" s="84"/>
    </row>
    <row r="318" ht="15.75" customHeight="1">
      <c r="A318" s="84"/>
      <c r="B318" s="84"/>
      <c r="C318" s="84"/>
      <c r="D318" s="84"/>
      <c r="E318" s="84"/>
      <c r="F318" s="84"/>
    </row>
    <row r="319" ht="15.75" customHeight="1">
      <c r="A319" s="84"/>
      <c r="B319" s="84"/>
      <c r="C319" s="84"/>
      <c r="D319" s="84"/>
      <c r="E319" s="84"/>
      <c r="F319" s="84"/>
    </row>
    <row r="320" ht="15.75" customHeight="1">
      <c r="A320" s="84"/>
      <c r="B320" s="84"/>
      <c r="C320" s="84"/>
      <c r="D320" s="84"/>
      <c r="E320" s="84"/>
      <c r="F320" s="84"/>
    </row>
    <row r="321" ht="15.75" customHeight="1">
      <c r="A321" s="84"/>
      <c r="B321" s="84"/>
      <c r="C321" s="84"/>
      <c r="D321" s="84"/>
      <c r="E321" s="84"/>
      <c r="F321" s="84"/>
    </row>
    <row r="322" ht="15.75" customHeight="1">
      <c r="A322" s="84"/>
      <c r="B322" s="84"/>
      <c r="C322" s="84"/>
      <c r="D322" s="84"/>
      <c r="E322" s="84"/>
      <c r="F322" s="84"/>
    </row>
    <row r="323" ht="15.75" customHeight="1">
      <c r="A323" s="84"/>
      <c r="B323" s="84"/>
      <c r="C323" s="84"/>
      <c r="D323" s="84"/>
      <c r="E323" s="84"/>
      <c r="F323" s="84"/>
    </row>
    <row r="324" ht="15.75" customHeight="1">
      <c r="A324" s="84"/>
      <c r="B324" s="84"/>
      <c r="C324" s="84"/>
      <c r="D324" s="84"/>
      <c r="E324" s="84"/>
      <c r="F324" s="84"/>
    </row>
    <row r="325" ht="15.75" customHeight="1">
      <c r="A325" s="84"/>
      <c r="B325" s="84"/>
      <c r="C325" s="84"/>
      <c r="D325" s="84"/>
      <c r="E325" s="84"/>
      <c r="F325" s="84"/>
    </row>
    <row r="326" ht="15.75" customHeight="1">
      <c r="A326" s="84"/>
      <c r="B326" s="84"/>
      <c r="C326" s="84"/>
      <c r="D326" s="84"/>
      <c r="E326" s="84"/>
      <c r="F326" s="84"/>
    </row>
    <row r="327" ht="15.75" customHeight="1">
      <c r="A327" s="84"/>
      <c r="B327" s="84"/>
      <c r="C327" s="84"/>
      <c r="D327" s="84"/>
      <c r="E327" s="84"/>
      <c r="F327" s="84"/>
    </row>
    <row r="328" ht="15.75" customHeight="1">
      <c r="A328" s="84"/>
      <c r="B328" s="84"/>
      <c r="C328" s="84"/>
      <c r="D328" s="84"/>
      <c r="E328" s="84"/>
      <c r="F328" s="84"/>
    </row>
    <row r="329" ht="15.75" customHeight="1">
      <c r="A329" s="84"/>
      <c r="B329" s="84"/>
      <c r="C329" s="84"/>
      <c r="D329" s="84"/>
      <c r="E329" s="84"/>
      <c r="F329" s="84"/>
    </row>
    <row r="330" ht="15.75" customHeight="1">
      <c r="A330" s="84"/>
      <c r="B330" s="84"/>
      <c r="C330" s="84"/>
      <c r="D330" s="84"/>
      <c r="E330" s="84"/>
      <c r="F330" s="84"/>
    </row>
    <row r="331" ht="15.75" customHeight="1">
      <c r="A331" s="84"/>
      <c r="B331" s="84"/>
      <c r="C331" s="84"/>
      <c r="D331" s="84"/>
      <c r="E331" s="84"/>
      <c r="F331" s="84"/>
    </row>
    <row r="332" ht="15.75" customHeight="1">
      <c r="A332" s="84"/>
      <c r="B332" s="84"/>
      <c r="C332" s="84"/>
      <c r="D332" s="84"/>
      <c r="E332" s="84"/>
      <c r="F332" s="84"/>
    </row>
    <row r="333" ht="15.75" customHeight="1">
      <c r="A333" s="84"/>
      <c r="B333" s="84"/>
      <c r="C333" s="84"/>
      <c r="D333" s="84"/>
      <c r="E333" s="84"/>
      <c r="F333" s="84"/>
    </row>
    <row r="334" ht="15.75" customHeight="1">
      <c r="A334" s="84"/>
      <c r="B334" s="84"/>
      <c r="C334" s="84"/>
      <c r="D334" s="84"/>
      <c r="E334" s="84"/>
      <c r="F334" s="84"/>
    </row>
    <row r="335" ht="15.75" customHeight="1">
      <c r="A335" s="84"/>
      <c r="B335" s="84"/>
      <c r="C335" s="84"/>
      <c r="D335" s="84"/>
      <c r="E335" s="84"/>
      <c r="F335" s="84"/>
    </row>
    <row r="336" ht="15.75" customHeight="1">
      <c r="A336" s="84"/>
      <c r="B336" s="84"/>
      <c r="C336" s="84"/>
      <c r="D336" s="84"/>
      <c r="E336" s="84"/>
      <c r="F336" s="84"/>
    </row>
    <row r="337" ht="15.75" customHeight="1">
      <c r="A337" s="84"/>
      <c r="B337" s="84"/>
      <c r="C337" s="84"/>
      <c r="D337" s="84"/>
      <c r="E337" s="84"/>
      <c r="F337" s="84"/>
    </row>
    <row r="338" ht="15.75" customHeight="1">
      <c r="A338" s="84"/>
      <c r="B338" s="84"/>
      <c r="C338" s="84"/>
      <c r="D338" s="84"/>
      <c r="E338" s="84"/>
      <c r="F338" s="84"/>
    </row>
    <row r="339" ht="15.75" customHeight="1">
      <c r="A339" s="84"/>
      <c r="B339" s="84"/>
      <c r="C339" s="84"/>
      <c r="D339" s="84"/>
      <c r="E339" s="84"/>
      <c r="F339" s="84"/>
    </row>
    <row r="340" ht="15.75" customHeight="1">
      <c r="A340" s="84"/>
      <c r="B340" s="84"/>
      <c r="C340" s="84"/>
      <c r="D340" s="84"/>
      <c r="E340" s="84"/>
      <c r="F340" s="84"/>
    </row>
    <row r="341" ht="15.75" customHeight="1">
      <c r="A341" s="84"/>
      <c r="B341" s="84"/>
      <c r="C341" s="84"/>
      <c r="D341" s="84"/>
      <c r="E341" s="84"/>
      <c r="F341" s="84"/>
    </row>
    <row r="342" ht="15.75" customHeight="1">
      <c r="A342" s="84"/>
      <c r="B342" s="84"/>
      <c r="C342" s="84"/>
      <c r="D342" s="84"/>
      <c r="E342" s="84"/>
      <c r="F342" s="84"/>
    </row>
    <row r="343" ht="15.75" customHeight="1">
      <c r="A343" s="84"/>
      <c r="B343" s="84"/>
      <c r="C343" s="84"/>
      <c r="D343" s="84"/>
      <c r="E343" s="84"/>
      <c r="F343" s="84"/>
    </row>
    <row r="344" ht="15.75" customHeight="1">
      <c r="A344" s="84"/>
      <c r="B344" s="84"/>
      <c r="C344" s="84"/>
      <c r="D344" s="84"/>
      <c r="E344" s="84"/>
      <c r="F344" s="84"/>
    </row>
    <row r="345" ht="15.75" customHeight="1">
      <c r="A345" s="84"/>
      <c r="B345" s="84"/>
      <c r="C345" s="84"/>
      <c r="D345" s="84"/>
      <c r="E345" s="84"/>
      <c r="F345" s="84"/>
    </row>
    <row r="346" ht="15.75" customHeight="1">
      <c r="A346" s="84"/>
      <c r="B346" s="84"/>
      <c r="C346" s="84"/>
      <c r="D346" s="84"/>
      <c r="E346" s="84"/>
      <c r="F346" s="84"/>
    </row>
    <row r="347" ht="15.75" customHeight="1">
      <c r="A347" s="84"/>
      <c r="B347" s="84"/>
      <c r="C347" s="84"/>
      <c r="D347" s="84"/>
      <c r="E347" s="84"/>
      <c r="F347" s="84"/>
    </row>
    <row r="348" ht="15.75" customHeight="1">
      <c r="A348" s="84"/>
      <c r="B348" s="84"/>
      <c r="C348" s="84"/>
      <c r="D348" s="84"/>
      <c r="E348" s="84"/>
      <c r="F348" s="84"/>
    </row>
    <row r="349" ht="15.75" customHeight="1">
      <c r="A349" s="84"/>
      <c r="B349" s="84"/>
      <c r="C349" s="84"/>
      <c r="D349" s="84"/>
      <c r="E349" s="84"/>
      <c r="F349" s="84"/>
    </row>
    <row r="350" ht="15.75" customHeight="1">
      <c r="A350" s="84"/>
      <c r="B350" s="84"/>
      <c r="C350" s="84"/>
      <c r="D350" s="84"/>
      <c r="E350" s="84"/>
      <c r="F350" s="84"/>
    </row>
    <row r="351" ht="15.75" customHeight="1">
      <c r="A351" s="84"/>
      <c r="B351" s="84"/>
      <c r="C351" s="84"/>
      <c r="D351" s="84"/>
      <c r="E351" s="84"/>
      <c r="F351" s="84"/>
    </row>
    <row r="352" ht="15.75" customHeight="1">
      <c r="A352" s="84"/>
      <c r="B352" s="84"/>
      <c r="C352" s="84"/>
      <c r="D352" s="84"/>
      <c r="E352" s="84"/>
      <c r="F352" s="84"/>
    </row>
    <row r="353" ht="15.75" customHeight="1">
      <c r="A353" s="84"/>
      <c r="B353" s="84"/>
      <c r="C353" s="84"/>
      <c r="D353" s="84"/>
      <c r="E353" s="84"/>
      <c r="F353" s="84"/>
    </row>
    <row r="354" ht="15.75" customHeight="1">
      <c r="A354" s="84"/>
      <c r="B354" s="84"/>
      <c r="C354" s="84"/>
      <c r="D354" s="84"/>
      <c r="E354" s="84"/>
      <c r="F354" s="84"/>
    </row>
    <row r="355" ht="15.75" customHeight="1">
      <c r="A355" s="84"/>
      <c r="B355" s="84"/>
      <c r="C355" s="84"/>
      <c r="D355" s="84"/>
      <c r="E355" s="84"/>
      <c r="F355" s="84"/>
    </row>
    <row r="356" ht="15.75" customHeight="1">
      <c r="A356" s="84"/>
      <c r="B356" s="84"/>
      <c r="C356" s="84"/>
      <c r="D356" s="84"/>
      <c r="E356" s="84"/>
      <c r="F356" s="84"/>
    </row>
    <row r="357" ht="15.75" customHeight="1">
      <c r="A357" s="84"/>
      <c r="B357" s="84"/>
      <c r="C357" s="84"/>
      <c r="D357" s="84"/>
      <c r="E357" s="84"/>
      <c r="F357" s="84"/>
    </row>
    <row r="358" ht="15.75" customHeight="1">
      <c r="A358" s="84"/>
      <c r="B358" s="84"/>
      <c r="C358" s="84"/>
      <c r="D358" s="84"/>
      <c r="E358" s="84"/>
      <c r="F358" s="84"/>
    </row>
    <row r="359" ht="15.75" customHeight="1">
      <c r="A359" s="84"/>
      <c r="B359" s="84"/>
      <c r="C359" s="84"/>
      <c r="D359" s="84"/>
      <c r="E359" s="84"/>
      <c r="F359" s="84"/>
    </row>
    <row r="360" ht="15.75" customHeight="1">
      <c r="A360" s="84"/>
      <c r="B360" s="84"/>
      <c r="C360" s="84"/>
      <c r="D360" s="84"/>
      <c r="E360" s="84"/>
      <c r="F360" s="84"/>
    </row>
    <row r="361" ht="15.75" customHeight="1">
      <c r="A361" s="84"/>
      <c r="B361" s="84"/>
      <c r="C361" s="84"/>
      <c r="D361" s="84"/>
      <c r="E361" s="84"/>
      <c r="F361" s="84"/>
    </row>
    <row r="362" ht="15.75" customHeight="1">
      <c r="A362" s="84"/>
      <c r="B362" s="84"/>
      <c r="C362" s="84"/>
      <c r="D362" s="84"/>
      <c r="E362" s="84"/>
      <c r="F362" s="84"/>
    </row>
    <row r="363" ht="15.75" customHeight="1">
      <c r="A363" s="84"/>
      <c r="B363" s="84"/>
      <c r="C363" s="84"/>
      <c r="D363" s="84"/>
      <c r="E363" s="84"/>
      <c r="F363" s="84"/>
    </row>
    <row r="364" ht="15.75" customHeight="1">
      <c r="A364" s="84"/>
      <c r="B364" s="84"/>
      <c r="C364" s="84"/>
      <c r="D364" s="84"/>
      <c r="E364" s="84"/>
      <c r="F364" s="84"/>
    </row>
    <row r="365" ht="15.75" customHeight="1">
      <c r="A365" s="84"/>
      <c r="B365" s="84"/>
      <c r="C365" s="84"/>
      <c r="D365" s="84"/>
      <c r="E365" s="84"/>
      <c r="F365" s="84"/>
    </row>
    <row r="366" ht="15.75" customHeight="1">
      <c r="A366" s="84"/>
      <c r="B366" s="84"/>
      <c r="C366" s="84"/>
      <c r="D366" s="84"/>
      <c r="E366" s="84"/>
      <c r="F366" s="84"/>
    </row>
    <row r="367" ht="15.75" customHeight="1">
      <c r="A367" s="84"/>
      <c r="B367" s="84"/>
      <c r="C367" s="84"/>
      <c r="D367" s="84"/>
      <c r="E367" s="84"/>
      <c r="F367" s="84"/>
    </row>
    <row r="368" ht="15.75" customHeight="1">
      <c r="A368" s="84"/>
      <c r="B368" s="84"/>
      <c r="C368" s="84"/>
      <c r="D368" s="84"/>
      <c r="E368" s="84"/>
      <c r="F368" s="84"/>
    </row>
    <row r="369" ht="15.75" customHeight="1">
      <c r="A369" s="84"/>
      <c r="B369" s="84"/>
      <c r="C369" s="84"/>
      <c r="D369" s="84"/>
      <c r="E369" s="84"/>
      <c r="F369" s="84"/>
    </row>
    <row r="370" ht="15.75" customHeight="1">
      <c r="A370" s="84"/>
      <c r="B370" s="84"/>
      <c r="C370" s="84"/>
      <c r="D370" s="84"/>
      <c r="E370" s="84"/>
      <c r="F370" s="84"/>
    </row>
    <row r="371" ht="15.75" customHeight="1">
      <c r="A371" s="84"/>
      <c r="B371" s="84"/>
      <c r="C371" s="84"/>
      <c r="D371" s="84"/>
      <c r="E371" s="84"/>
      <c r="F371" s="84"/>
    </row>
    <row r="372" ht="15.75" customHeight="1">
      <c r="A372" s="84"/>
      <c r="B372" s="84"/>
      <c r="C372" s="84"/>
      <c r="D372" s="84"/>
      <c r="E372" s="84"/>
      <c r="F372" s="84"/>
    </row>
    <row r="373" ht="15.75" customHeight="1">
      <c r="A373" s="84"/>
      <c r="B373" s="84"/>
      <c r="C373" s="84"/>
      <c r="D373" s="84"/>
      <c r="E373" s="84"/>
      <c r="F373" s="84"/>
    </row>
    <row r="374" ht="15.75" customHeight="1">
      <c r="A374" s="84"/>
      <c r="B374" s="84"/>
      <c r="C374" s="84"/>
      <c r="D374" s="84"/>
      <c r="E374" s="84"/>
      <c r="F374" s="84"/>
    </row>
    <row r="375" ht="15.75" customHeight="1">
      <c r="A375" s="84"/>
      <c r="B375" s="84"/>
      <c r="C375" s="84"/>
      <c r="D375" s="84"/>
      <c r="E375" s="84"/>
      <c r="F375" s="84"/>
    </row>
    <row r="376" ht="15.75" customHeight="1">
      <c r="A376" s="84"/>
      <c r="B376" s="84"/>
      <c r="C376" s="84"/>
      <c r="D376" s="84"/>
      <c r="E376" s="84"/>
      <c r="F376" s="84"/>
    </row>
    <row r="377" ht="15.75" customHeight="1">
      <c r="A377" s="84"/>
      <c r="B377" s="84"/>
      <c r="C377" s="84"/>
      <c r="D377" s="84"/>
      <c r="E377" s="84"/>
      <c r="F377" s="84"/>
    </row>
    <row r="378" ht="15.75" customHeight="1">
      <c r="A378" s="84"/>
      <c r="B378" s="84"/>
      <c r="C378" s="84"/>
      <c r="D378" s="84"/>
      <c r="E378" s="84"/>
      <c r="F378" s="84"/>
    </row>
    <row r="379" ht="15.75" customHeight="1">
      <c r="A379" s="84"/>
      <c r="B379" s="84"/>
      <c r="C379" s="84"/>
      <c r="D379" s="84"/>
      <c r="E379" s="84"/>
      <c r="F379" s="84"/>
    </row>
    <row r="380" ht="15.75" customHeight="1">
      <c r="A380" s="84"/>
      <c r="B380" s="84"/>
      <c r="C380" s="84"/>
      <c r="D380" s="84"/>
      <c r="E380" s="84"/>
      <c r="F380" s="84"/>
    </row>
    <row r="381" ht="15.75" customHeight="1">
      <c r="A381" s="84"/>
      <c r="B381" s="84"/>
      <c r="C381" s="84"/>
      <c r="D381" s="84"/>
      <c r="E381" s="84"/>
      <c r="F381" s="84"/>
    </row>
    <row r="382" ht="15.75" customHeight="1">
      <c r="A382" s="84"/>
      <c r="B382" s="84"/>
      <c r="C382" s="84"/>
      <c r="D382" s="84"/>
      <c r="E382" s="84"/>
      <c r="F382" s="84"/>
    </row>
    <row r="383" ht="15.75" customHeight="1">
      <c r="A383" s="84"/>
      <c r="B383" s="84"/>
      <c r="C383" s="84"/>
      <c r="D383" s="84"/>
      <c r="E383" s="84"/>
      <c r="F383" s="84"/>
    </row>
    <row r="384" ht="15.75" customHeight="1">
      <c r="A384" s="84"/>
      <c r="B384" s="84"/>
      <c r="C384" s="84"/>
      <c r="D384" s="84"/>
      <c r="E384" s="84"/>
      <c r="F384" s="84"/>
    </row>
    <row r="385" ht="15.75" customHeight="1">
      <c r="A385" s="84"/>
      <c r="B385" s="84"/>
      <c r="C385" s="84"/>
      <c r="D385" s="84"/>
      <c r="E385" s="84"/>
      <c r="F385" s="84"/>
    </row>
    <row r="386" ht="15.75" customHeight="1">
      <c r="A386" s="84"/>
      <c r="B386" s="84"/>
      <c r="C386" s="84"/>
      <c r="D386" s="84"/>
      <c r="E386" s="84"/>
      <c r="F386" s="84"/>
    </row>
    <row r="387" ht="15.75" customHeight="1">
      <c r="A387" s="84"/>
      <c r="B387" s="84"/>
      <c r="C387" s="84"/>
      <c r="D387" s="84"/>
      <c r="E387" s="84"/>
      <c r="F387" s="84"/>
    </row>
    <row r="388" ht="15.75" customHeight="1">
      <c r="A388" s="84"/>
      <c r="B388" s="84"/>
      <c r="C388" s="84"/>
      <c r="D388" s="84"/>
      <c r="E388" s="84"/>
      <c r="F388" s="84"/>
    </row>
    <row r="389" ht="15.75" customHeight="1">
      <c r="A389" s="84"/>
      <c r="B389" s="84"/>
      <c r="C389" s="84"/>
      <c r="D389" s="84"/>
      <c r="E389" s="84"/>
      <c r="F389" s="84"/>
    </row>
    <row r="390" ht="15.75" customHeight="1">
      <c r="A390" s="84"/>
      <c r="B390" s="84"/>
      <c r="C390" s="84"/>
      <c r="D390" s="84"/>
      <c r="E390" s="84"/>
      <c r="F390" s="84"/>
    </row>
    <row r="391" ht="15.75" customHeight="1">
      <c r="A391" s="84"/>
      <c r="B391" s="84"/>
      <c r="C391" s="84"/>
      <c r="D391" s="84"/>
      <c r="E391" s="84"/>
      <c r="F391" s="84"/>
    </row>
    <row r="392" ht="15.75" customHeight="1">
      <c r="A392" s="84"/>
      <c r="B392" s="84"/>
      <c r="C392" s="84"/>
      <c r="D392" s="84"/>
      <c r="E392" s="84"/>
      <c r="F392" s="84"/>
    </row>
    <row r="393" ht="15.75" customHeight="1">
      <c r="A393" s="84"/>
      <c r="B393" s="84"/>
      <c r="C393" s="84"/>
      <c r="D393" s="84"/>
      <c r="E393" s="84"/>
      <c r="F393" s="84"/>
    </row>
    <row r="394" ht="15.75" customHeight="1">
      <c r="A394" s="84"/>
      <c r="B394" s="84"/>
      <c r="C394" s="84"/>
      <c r="D394" s="84"/>
      <c r="E394" s="84"/>
      <c r="F394" s="84"/>
    </row>
    <row r="395" ht="15.75" customHeight="1">
      <c r="A395" s="84"/>
      <c r="B395" s="84"/>
      <c r="C395" s="84"/>
      <c r="D395" s="84"/>
      <c r="E395" s="84"/>
      <c r="F395" s="84"/>
    </row>
    <row r="396" ht="15.75" customHeight="1">
      <c r="A396" s="84"/>
      <c r="B396" s="84"/>
      <c r="C396" s="84"/>
      <c r="D396" s="84"/>
      <c r="E396" s="84"/>
      <c r="F396" s="84"/>
    </row>
    <row r="397" ht="15.75" customHeight="1">
      <c r="A397" s="84"/>
      <c r="B397" s="84"/>
      <c r="C397" s="84"/>
      <c r="D397" s="84"/>
      <c r="E397" s="84"/>
      <c r="F397" s="84"/>
    </row>
    <row r="398" ht="15.75" customHeight="1">
      <c r="A398" s="84"/>
      <c r="B398" s="84"/>
      <c r="C398" s="84"/>
      <c r="D398" s="84"/>
      <c r="E398" s="84"/>
      <c r="F398" s="84"/>
    </row>
    <row r="399" ht="15.75" customHeight="1">
      <c r="A399" s="84"/>
      <c r="B399" s="84"/>
      <c r="C399" s="84"/>
      <c r="D399" s="84"/>
      <c r="E399" s="84"/>
      <c r="F399" s="84"/>
    </row>
    <row r="400" ht="15.75" customHeight="1">
      <c r="A400" s="84"/>
      <c r="B400" s="84"/>
      <c r="C400" s="84"/>
      <c r="D400" s="84"/>
      <c r="E400" s="84"/>
      <c r="F400" s="84"/>
    </row>
    <row r="401" ht="15.75" customHeight="1">
      <c r="A401" s="84"/>
      <c r="B401" s="84"/>
      <c r="C401" s="84"/>
      <c r="D401" s="84"/>
      <c r="E401" s="84"/>
      <c r="F401" s="84"/>
    </row>
    <row r="402" ht="15.75" customHeight="1">
      <c r="A402" s="84"/>
      <c r="B402" s="84"/>
      <c r="C402" s="84"/>
      <c r="D402" s="84"/>
      <c r="E402" s="84"/>
      <c r="F402" s="84"/>
    </row>
    <row r="403" ht="15.75" customHeight="1">
      <c r="A403" s="84"/>
      <c r="B403" s="84"/>
      <c r="C403" s="84"/>
      <c r="D403" s="84"/>
      <c r="E403" s="84"/>
      <c r="F403" s="84"/>
    </row>
    <row r="404" ht="15.75" customHeight="1">
      <c r="A404" s="84"/>
      <c r="B404" s="84"/>
      <c r="C404" s="84"/>
      <c r="D404" s="84"/>
      <c r="E404" s="84"/>
      <c r="F404" s="84"/>
    </row>
    <row r="405" ht="15.75" customHeight="1">
      <c r="A405" s="84"/>
      <c r="B405" s="84"/>
      <c r="C405" s="84"/>
      <c r="D405" s="84"/>
      <c r="E405" s="84"/>
      <c r="F405" s="84"/>
    </row>
    <row r="406" ht="15.75" customHeight="1">
      <c r="A406" s="84"/>
      <c r="B406" s="84"/>
      <c r="C406" s="84"/>
      <c r="D406" s="84"/>
      <c r="E406" s="84"/>
      <c r="F406" s="84"/>
    </row>
    <row r="407" ht="15.75" customHeight="1">
      <c r="A407" s="84"/>
      <c r="B407" s="84"/>
      <c r="C407" s="84"/>
      <c r="D407" s="84"/>
      <c r="E407" s="84"/>
      <c r="F407" s="84"/>
    </row>
    <row r="408" ht="15.75" customHeight="1">
      <c r="A408" s="84"/>
      <c r="B408" s="84"/>
      <c r="C408" s="84"/>
      <c r="D408" s="84"/>
      <c r="E408" s="84"/>
      <c r="F408" s="84"/>
    </row>
    <row r="409" ht="15.75" customHeight="1">
      <c r="A409" s="84"/>
      <c r="B409" s="84"/>
      <c r="C409" s="84"/>
      <c r="D409" s="84"/>
      <c r="E409" s="84"/>
      <c r="F409" s="84"/>
    </row>
    <row r="410" ht="15.75" customHeight="1">
      <c r="A410" s="84"/>
      <c r="B410" s="84"/>
      <c r="C410" s="84"/>
      <c r="D410" s="84"/>
      <c r="E410" s="84"/>
      <c r="F410" s="84"/>
    </row>
    <row r="411" ht="15.75" customHeight="1">
      <c r="A411" s="84"/>
      <c r="B411" s="84"/>
      <c r="C411" s="84"/>
      <c r="D411" s="84"/>
      <c r="E411" s="84"/>
      <c r="F411" s="84"/>
    </row>
    <row r="412" ht="15.75" customHeight="1">
      <c r="A412" s="84"/>
      <c r="B412" s="84"/>
      <c r="C412" s="84"/>
      <c r="D412" s="84"/>
      <c r="E412" s="84"/>
      <c r="F412" s="84"/>
    </row>
    <row r="413" ht="15.75" customHeight="1">
      <c r="A413" s="84"/>
      <c r="B413" s="84"/>
      <c r="C413" s="84"/>
      <c r="D413" s="84"/>
      <c r="E413" s="84"/>
      <c r="F413" s="84"/>
    </row>
    <row r="414" ht="15.75" customHeight="1">
      <c r="A414" s="84"/>
      <c r="B414" s="84"/>
      <c r="C414" s="84"/>
      <c r="D414" s="84"/>
      <c r="E414" s="84"/>
      <c r="F414" s="84"/>
    </row>
    <row r="415" ht="15.75" customHeight="1">
      <c r="A415" s="84"/>
      <c r="B415" s="84"/>
      <c r="C415" s="84"/>
      <c r="D415" s="84"/>
      <c r="E415" s="84"/>
      <c r="F415" s="84"/>
    </row>
    <row r="416" ht="15.75" customHeight="1">
      <c r="A416" s="84"/>
      <c r="B416" s="84"/>
      <c r="C416" s="84"/>
      <c r="D416" s="84"/>
      <c r="E416" s="84"/>
      <c r="F416" s="84"/>
    </row>
    <row r="417" ht="15.75" customHeight="1">
      <c r="A417" s="84"/>
      <c r="B417" s="84"/>
      <c r="C417" s="84"/>
      <c r="D417" s="84"/>
      <c r="E417" s="84"/>
      <c r="F417" s="84"/>
    </row>
    <row r="418" ht="15.75" customHeight="1">
      <c r="A418" s="84"/>
      <c r="B418" s="84"/>
      <c r="C418" s="84"/>
      <c r="D418" s="84"/>
      <c r="E418" s="84"/>
      <c r="F418" s="84"/>
    </row>
    <row r="419" ht="15.75" customHeight="1">
      <c r="A419" s="84"/>
      <c r="B419" s="84"/>
      <c r="C419" s="84"/>
      <c r="D419" s="84"/>
      <c r="E419" s="84"/>
      <c r="F419" s="84"/>
    </row>
    <row r="420" ht="15.75" customHeight="1">
      <c r="A420" s="84"/>
      <c r="B420" s="84"/>
      <c r="C420" s="84"/>
      <c r="D420" s="84"/>
      <c r="E420" s="84"/>
      <c r="F420" s="84"/>
    </row>
    <row r="421" ht="15.75" customHeight="1">
      <c r="A421" s="84"/>
      <c r="B421" s="84"/>
      <c r="C421" s="84"/>
      <c r="D421" s="84"/>
      <c r="E421" s="84"/>
      <c r="F421" s="84"/>
    </row>
    <row r="422" ht="15.75" customHeight="1">
      <c r="A422" s="84"/>
      <c r="B422" s="84"/>
      <c r="C422" s="84"/>
      <c r="D422" s="84"/>
      <c r="E422" s="84"/>
      <c r="F422" s="84"/>
    </row>
    <row r="423" ht="15.75" customHeight="1">
      <c r="A423" s="84"/>
      <c r="B423" s="84"/>
      <c r="C423" s="84"/>
      <c r="D423" s="84"/>
      <c r="E423" s="84"/>
      <c r="F423" s="84"/>
    </row>
    <row r="424" ht="15.75" customHeight="1">
      <c r="A424" s="84"/>
      <c r="B424" s="84"/>
      <c r="C424" s="84"/>
      <c r="D424" s="84"/>
      <c r="E424" s="84"/>
      <c r="F424" s="84"/>
    </row>
    <row r="425" ht="15.75" customHeight="1">
      <c r="A425" s="84"/>
      <c r="B425" s="84"/>
      <c r="C425" s="84"/>
      <c r="D425" s="84"/>
      <c r="E425" s="84"/>
      <c r="F425" s="84"/>
    </row>
    <row r="426" ht="15.75" customHeight="1">
      <c r="A426" s="84"/>
      <c r="B426" s="84"/>
      <c r="C426" s="84"/>
      <c r="D426" s="84"/>
      <c r="E426" s="84"/>
      <c r="F426" s="84"/>
    </row>
    <row r="427" ht="15.75" customHeight="1">
      <c r="A427" s="84"/>
      <c r="B427" s="84"/>
      <c r="C427" s="84"/>
      <c r="D427" s="84"/>
      <c r="E427" s="84"/>
      <c r="F427" s="84"/>
    </row>
    <row r="428" ht="15.75" customHeight="1">
      <c r="A428" s="84"/>
      <c r="B428" s="84"/>
      <c r="C428" s="84"/>
      <c r="D428" s="84"/>
      <c r="E428" s="84"/>
      <c r="F428" s="84"/>
    </row>
    <row r="429" ht="15.75" customHeight="1">
      <c r="A429" s="84"/>
      <c r="B429" s="84"/>
      <c r="C429" s="84"/>
      <c r="D429" s="84"/>
      <c r="E429" s="84"/>
      <c r="F429" s="84"/>
    </row>
    <row r="430" ht="15.75" customHeight="1">
      <c r="A430" s="84"/>
      <c r="B430" s="84"/>
      <c r="C430" s="84"/>
      <c r="D430" s="84"/>
      <c r="E430" s="84"/>
      <c r="F430" s="84"/>
    </row>
    <row r="431" ht="15.75" customHeight="1">
      <c r="A431" s="84"/>
      <c r="B431" s="84"/>
      <c r="C431" s="84"/>
      <c r="D431" s="84"/>
      <c r="E431" s="84"/>
      <c r="F431" s="84"/>
    </row>
    <row r="432" ht="15.75" customHeight="1">
      <c r="A432" s="84"/>
      <c r="B432" s="84"/>
      <c r="C432" s="84"/>
      <c r="D432" s="84"/>
      <c r="E432" s="84"/>
      <c r="F432" s="84"/>
    </row>
    <row r="433" ht="15.75" customHeight="1">
      <c r="A433" s="84"/>
      <c r="B433" s="84"/>
      <c r="C433" s="84"/>
      <c r="D433" s="84"/>
      <c r="E433" s="84"/>
      <c r="F433" s="84"/>
    </row>
    <row r="434" ht="15.75" customHeight="1">
      <c r="A434" s="84"/>
      <c r="B434" s="84"/>
      <c r="C434" s="84"/>
      <c r="D434" s="84"/>
      <c r="E434" s="84"/>
      <c r="F434" s="84"/>
    </row>
    <row r="435" ht="15.75" customHeight="1">
      <c r="A435" s="84"/>
      <c r="B435" s="84"/>
      <c r="C435" s="84"/>
      <c r="D435" s="84"/>
      <c r="E435" s="84"/>
      <c r="F435" s="84"/>
    </row>
    <row r="436" ht="15.75" customHeight="1">
      <c r="A436" s="84"/>
      <c r="B436" s="84"/>
      <c r="C436" s="84"/>
      <c r="D436" s="84"/>
      <c r="E436" s="84"/>
      <c r="F436" s="84"/>
    </row>
    <row r="437" ht="15.75" customHeight="1">
      <c r="A437" s="84"/>
      <c r="B437" s="84"/>
      <c r="C437" s="84"/>
      <c r="D437" s="84"/>
      <c r="E437" s="84"/>
      <c r="F437" s="84"/>
    </row>
    <row r="438" ht="15.75" customHeight="1">
      <c r="A438" s="84"/>
      <c r="B438" s="84"/>
      <c r="C438" s="84"/>
      <c r="D438" s="84"/>
      <c r="E438" s="84"/>
      <c r="F438" s="84"/>
    </row>
    <row r="439" ht="15.75" customHeight="1">
      <c r="A439" s="84"/>
      <c r="B439" s="84"/>
      <c r="C439" s="84"/>
      <c r="D439" s="84"/>
      <c r="E439" s="84"/>
      <c r="F439" s="84"/>
    </row>
    <row r="440" ht="15.75" customHeight="1">
      <c r="A440" s="84"/>
      <c r="B440" s="84"/>
      <c r="C440" s="84"/>
      <c r="D440" s="84"/>
      <c r="E440" s="84"/>
      <c r="F440" s="84"/>
    </row>
    <row r="441" ht="15.75" customHeight="1">
      <c r="A441" s="84"/>
      <c r="B441" s="84"/>
      <c r="C441" s="84"/>
      <c r="D441" s="84"/>
      <c r="E441" s="84"/>
      <c r="F441" s="84"/>
    </row>
    <row r="442" ht="15.75" customHeight="1">
      <c r="A442" s="84"/>
      <c r="B442" s="84"/>
      <c r="C442" s="84"/>
      <c r="D442" s="84"/>
      <c r="E442" s="84"/>
      <c r="F442" s="84"/>
    </row>
    <row r="443" ht="15.75" customHeight="1">
      <c r="A443" s="84"/>
      <c r="B443" s="84"/>
      <c r="C443" s="84"/>
      <c r="D443" s="84"/>
      <c r="E443" s="84"/>
      <c r="F443" s="84"/>
    </row>
    <row r="444" ht="15.75" customHeight="1">
      <c r="A444" s="84"/>
      <c r="B444" s="84"/>
      <c r="C444" s="84"/>
      <c r="D444" s="84"/>
      <c r="E444" s="84"/>
      <c r="F444" s="84"/>
    </row>
    <row r="445" ht="15.75" customHeight="1">
      <c r="A445" s="84"/>
      <c r="B445" s="84"/>
      <c r="C445" s="84"/>
      <c r="D445" s="84"/>
      <c r="E445" s="84"/>
      <c r="F445" s="84"/>
    </row>
    <row r="446" ht="15.75" customHeight="1">
      <c r="A446" s="84"/>
      <c r="B446" s="84"/>
      <c r="C446" s="84"/>
      <c r="D446" s="84"/>
      <c r="E446" s="84"/>
      <c r="F446" s="84"/>
    </row>
    <row r="447" ht="15.75" customHeight="1">
      <c r="A447" s="84"/>
      <c r="B447" s="84"/>
      <c r="C447" s="84"/>
      <c r="D447" s="84"/>
      <c r="E447" s="84"/>
      <c r="F447" s="84"/>
    </row>
    <row r="448" ht="15.75" customHeight="1">
      <c r="A448" s="84"/>
      <c r="B448" s="84"/>
      <c r="C448" s="84"/>
      <c r="D448" s="84"/>
      <c r="E448" s="84"/>
      <c r="F448" s="84"/>
    </row>
    <row r="449" ht="15.75" customHeight="1">
      <c r="A449" s="84"/>
      <c r="B449" s="84"/>
      <c r="C449" s="84"/>
      <c r="D449" s="84"/>
      <c r="E449" s="84"/>
      <c r="F449" s="84"/>
    </row>
    <row r="450" ht="15.75" customHeight="1">
      <c r="A450" s="84"/>
      <c r="B450" s="84"/>
      <c r="C450" s="84"/>
      <c r="D450" s="84"/>
      <c r="E450" s="84"/>
      <c r="F450" s="84"/>
    </row>
    <row r="451" ht="15.75" customHeight="1">
      <c r="A451" s="84"/>
      <c r="B451" s="84"/>
      <c r="C451" s="84"/>
      <c r="D451" s="84"/>
      <c r="E451" s="84"/>
      <c r="F451" s="84"/>
    </row>
    <row r="452" ht="15.75" customHeight="1">
      <c r="A452" s="84"/>
      <c r="B452" s="84"/>
      <c r="C452" s="84"/>
      <c r="D452" s="84"/>
      <c r="E452" s="84"/>
      <c r="F452" s="84"/>
    </row>
    <row r="453" ht="15.75" customHeight="1">
      <c r="A453" s="84"/>
      <c r="B453" s="84"/>
      <c r="C453" s="84"/>
      <c r="D453" s="84"/>
      <c r="E453" s="84"/>
      <c r="F453" s="84"/>
    </row>
    <row r="454" ht="15.75" customHeight="1">
      <c r="A454" s="84"/>
      <c r="B454" s="84"/>
      <c r="C454" s="84"/>
      <c r="D454" s="84"/>
      <c r="E454" s="84"/>
      <c r="F454" s="84"/>
    </row>
    <row r="455" ht="15.75" customHeight="1">
      <c r="A455" s="84"/>
      <c r="B455" s="84"/>
      <c r="C455" s="84"/>
      <c r="D455" s="84"/>
      <c r="E455" s="84"/>
      <c r="F455" s="84"/>
    </row>
    <row r="456" ht="15.75" customHeight="1">
      <c r="A456" s="84"/>
      <c r="B456" s="84"/>
      <c r="C456" s="84"/>
      <c r="D456" s="84"/>
      <c r="E456" s="84"/>
      <c r="F456" s="84"/>
    </row>
    <row r="457" ht="15.75" customHeight="1">
      <c r="A457" s="84"/>
      <c r="B457" s="84"/>
      <c r="C457" s="84"/>
      <c r="D457" s="84"/>
      <c r="E457" s="84"/>
      <c r="F457" s="84"/>
    </row>
    <row r="458" ht="15.75" customHeight="1">
      <c r="A458" s="84"/>
      <c r="B458" s="84"/>
      <c r="C458" s="84"/>
      <c r="D458" s="84"/>
      <c r="E458" s="84"/>
      <c r="F458" s="84"/>
    </row>
    <row r="459" ht="15.75" customHeight="1">
      <c r="A459" s="84"/>
      <c r="B459" s="84"/>
      <c r="C459" s="84"/>
      <c r="D459" s="84"/>
      <c r="E459" s="84"/>
      <c r="F459" s="84"/>
    </row>
    <row r="460" ht="15.75" customHeight="1">
      <c r="A460" s="84"/>
      <c r="B460" s="84"/>
      <c r="C460" s="84"/>
      <c r="D460" s="84"/>
      <c r="E460" s="84"/>
      <c r="F460" s="84"/>
    </row>
    <row r="461" ht="15.75" customHeight="1">
      <c r="A461" s="84"/>
      <c r="B461" s="84"/>
      <c r="C461" s="84"/>
      <c r="D461" s="84"/>
      <c r="E461" s="84"/>
      <c r="F461" s="84"/>
    </row>
    <row r="462" ht="15.75" customHeight="1">
      <c r="A462" s="84"/>
      <c r="B462" s="84"/>
      <c r="C462" s="84"/>
      <c r="D462" s="84"/>
      <c r="E462" s="84"/>
      <c r="F462" s="84"/>
    </row>
    <row r="463" ht="15.75" customHeight="1">
      <c r="A463" s="84"/>
      <c r="B463" s="84"/>
      <c r="C463" s="84"/>
      <c r="D463" s="84"/>
      <c r="E463" s="84"/>
      <c r="F463" s="84"/>
    </row>
    <row r="464" ht="15.75" customHeight="1">
      <c r="A464" s="84"/>
      <c r="B464" s="84"/>
      <c r="C464" s="84"/>
      <c r="D464" s="84"/>
      <c r="E464" s="84"/>
      <c r="F464" s="84"/>
    </row>
    <row r="465" ht="15.75" customHeight="1">
      <c r="A465" s="84"/>
      <c r="B465" s="84"/>
      <c r="C465" s="84"/>
      <c r="D465" s="84"/>
      <c r="E465" s="84"/>
      <c r="F465" s="84"/>
    </row>
    <row r="466" ht="15.75" customHeight="1">
      <c r="A466" s="84"/>
      <c r="B466" s="84"/>
      <c r="C466" s="84"/>
      <c r="D466" s="84"/>
      <c r="E466" s="84"/>
      <c r="F466" s="84"/>
    </row>
    <row r="467" ht="15.75" customHeight="1">
      <c r="A467" s="84"/>
      <c r="B467" s="84"/>
      <c r="C467" s="84"/>
      <c r="D467" s="84"/>
      <c r="E467" s="84"/>
      <c r="F467" s="84"/>
    </row>
    <row r="468" ht="15.75" customHeight="1">
      <c r="A468" s="84"/>
      <c r="B468" s="84"/>
      <c r="C468" s="84"/>
      <c r="D468" s="84"/>
      <c r="E468" s="84"/>
      <c r="F468" s="84"/>
    </row>
    <row r="469" ht="15.75" customHeight="1">
      <c r="A469" s="84"/>
      <c r="B469" s="84"/>
      <c r="C469" s="84"/>
      <c r="D469" s="84"/>
      <c r="E469" s="84"/>
      <c r="F469" s="84"/>
    </row>
    <row r="470" ht="15.75" customHeight="1">
      <c r="A470" s="84"/>
      <c r="B470" s="84"/>
      <c r="C470" s="84"/>
      <c r="D470" s="84"/>
      <c r="E470" s="84"/>
      <c r="F470" s="84"/>
    </row>
    <row r="471" ht="15.75" customHeight="1">
      <c r="A471" s="84"/>
      <c r="B471" s="84"/>
      <c r="C471" s="84"/>
      <c r="D471" s="84"/>
      <c r="E471" s="84"/>
      <c r="F471" s="84"/>
    </row>
    <row r="472" ht="15.75" customHeight="1">
      <c r="A472" s="84"/>
      <c r="B472" s="84"/>
      <c r="C472" s="84"/>
      <c r="D472" s="84"/>
      <c r="E472" s="84"/>
      <c r="F472" s="84"/>
    </row>
    <row r="473" ht="15.75" customHeight="1">
      <c r="A473" s="84"/>
      <c r="B473" s="84"/>
      <c r="C473" s="84"/>
      <c r="D473" s="84"/>
      <c r="E473" s="84"/>
      <c r="F473" s="84"/>
    </row>
    <row r="474" ht="15.75" customHeight="1">
      <c r="A474" s="84"/>
      <c r="B474" s="84"/>
      <c r="C474" s="84"/>
      <c r="D474" s="84"/>
      <c r="E474" s="84"/>
      <c r="F474" s="84"/>
    </row>
    <row r="475" ht="15.75" customHeight="1">
      <c r="A475" s="84"/>
      <c r="B475" s="84"/>
      <c r="C475" s="84"/>
      <c r="D475" s="84"/>
      <c r="E475" s="84"/>
      <c r="F475" s="84"/>
    </row>
    <row r="476" ht="15.75" customHeight="1">
      <c r="A476" s="84"/>
      <c r="B476" s="84"/>
      <c r="C476" s="84"/>
      <c r="D476" s="84"/>
      <c r="E476" s="84"/>
      <c r="F476" s="84"/>
    </row>
    <row r="477" ht="15.75" customHeight="1">
      <c r="A477" s="84"/>
      <c r="B477" s="84"/>
      <c r="C477" s="84"/>
      <c r="D477" s="84"/>
      <c r="E477" s="84"/>
      <c r="F477" s="84"/>
    </row>
    <row r="478" ht="15.75" customHeight="1">
      <c r="A478" s="84"/>
      <c r="B478" s="84"/>
      <c r="C478" s="84"/>
      <c r="D478" s="84"/>
      <c r="E478" s="84"/>
      <c r="F478" s="84"/>
    </row>
    <row r="479" ht="15.75" customHeight="1">
      <c r="A479" s="84"/>
      <c r="B479" s="84"/>
      <c r="C479" s="84"/>
      <c r="D479" s="84"/>
      <c r="E479" s="84"/>
      <c r="F479" s="84"/>
    </row>
    <row r="480" ht="15.75" customHeight="1">
      <c r="A480" s="84"/>
      <c r="B480" s="84"/>
      <c r="C480" s="84"/>
      <c r="D480" s="84"/>
      <c r="E480" s="84"/>
      <c r="F480" s="84"/>
    </row>
    <row r="481" ht="15.75" customHeight="1">
      <c r="A481" s="84"/>
      <c r="B481" s="84"/>
      <c r="C481" s="84"/>
      <c r="D481" s="84"/>
      <c r="E481" s="84"/>
      <c r="F481" s="84"/>
    </row>
    <row r="482" ht="15.75" customHeight="1">
      <c r="A482" s="84"/>
      <c r="B482" s="84"/>
      <c r="C482" s="84"/>
      <c r="D482" s="84"/>
      <c r="E482" s="84"/>
      <c r="F482" s="84"/>
    </row>
    <row r="483" ht="15.75" customHeight="1">
      <c r="A483" s="84"/>
      <c r="B483" s="84"/>
      <c r="C483" s="84"/>
      <c r="D483" s="84"/>
      <c r="E483" s="84"/>
      <c r="F483" s="84"/>
    </row>
    <row r="484" ht="15.75" customHeight="1">
      <c r="A484" s="84"/>
      <c r="B484" s="84"/>
      <c r="C484" s="84"/>
      <c r="D484" s="84"/>
      <c r="E484" s="84"/>
      <c r="F484" s="84"/>
    </row>
    <row r="485" ht="15.75" customHeight="1">
      <c r="A485" s="84"/>
      <c r="B485" s="84"/>
      <c r="C485" s="84"/>
      <c r="D485" s="84"/>
      <c r="E485" s="84"/>
      <c r="F485" s="84"/>
    </row>
    <row r="486" ht="15.75" customHeight="1">
      <c r="A486" s="84"/>
      <c r="B486" s="84"/>
      <c r="C486" s="84"/>
      <c r="D486" s="84"/>
      <c r="E486" s="84"/>
      <c r="F486" s="84"/>
    </row>
    <row r="487" ht="15.75" customHeight="1">
      <c r="A487" s="84"/>
      <c r="B487" s="84"/>
      <c r="C487" s="84"/>
      <c r="D487" s="84"/>
      <c r="E487" s="84"/>
      <c r="F487" s="84"/>
    </row>
    <row r="488" ht="15.75" customHeight="1">
      <c r="A488" s="84"/>
      <c r="B488" s="84"/>
      <c r="C488" s="84"/>
      <c r="D488" s="84"/>
      <c r="E488" s="84"/>
      <c r="F488" s="84"/>
    </row>
    <row r="489" ht="15.75" customHeight="1">
      <c r="A489" s="84"/>
      <c r="B489" s="84"/>
      <c r="C489" s="84"/>
      <c r="D489" s="84"/>
      <c r="E489" s="84"/>
      <c r="F489" s="84"/>
    </row>
    <row r="490" ht="15.75" customHeight="1">
      <c r="A490" s="84"/>
      <c r="B490" s="84"/>
      <c r="C490" s="84"/>
      <c r="D490" s="84"/>
      <c r="E490" s="84"/>
      <c r="F490" s="84"/>
    </row>
    <row r="491" ht="15.75" customHeight="1">
      <c r="A491" s="84"/>
      <c r="B491" s="84"/>
      <c r="C491" s="84"/>
      <c r="D491" s="84"/>
      <c r="E491" s="84"/>
      <c r="F491" s="84"/>
    </row>
    <row r="492" ht="15.75" customHeight="1">
      <c r="A492" s="84"/>
      <c r="B492" s="84"/>
      <c r="C492" s="84"/>
      <c r="D492" s="84"/>
      <c r="E492" s="84"/>
      <c r="F492" s="84"/>
    </row>
    <row r="493" ht="15.75" customHeight="1">
      <c r="A493" s="84"/>
      <c r="B493" s="84"/>
      <c r="C493" s="84"/>
      <c r="D493" s="84"/>
      <c r="E493" s="84"/>
      <c r="F493" s="84"/>
    </row>
    <row r="494" ht="15.75" customHeight="1">
      <c r="A494" s="84"/>
      <c r="B494" s="84"/>
      <c r="C494" s="84"/>
      <c r="D494" s="84"/>
      <c r="E494" s="84"/>
      <c r="F494" s="84"/>
    </row>
    <row r="495" ht="15.75" customHeight="1">
      <c r="A495" s="84"/>
      <c r="B495" s="84"/>
      <c r="C495" s="84"/>
      <c r="D495" s="84"/>
      <c r="E495" s="84"/>
      <c r="F495" s="84"/>
    </row>
    <row r="496" ht="15.75" customHeight="1">
      <c r="A496" s="84"/>
      <c r="B496" s="84"/>
      <c r="C496" s="84"/>
      <c r="D496" s="84"/>
      <c r="E496" s="84"/>
      <c r="F496" s="84"/>
    </row>
    <row r="497" ht="15.75" customHeight="1">
      <c r="A497" s="84"/>
      <c r="B497" s="84"/>
      <c r="C497" s="84"/>
      <c r="D497" s="84"/>
      <c r="E497" s="84"/>
      <c r="F497" s="84"/>
    </row>
    <row r="498" ht="15.75" customHeight="1">
      <c r="A498" s="84"/>
      <c r="B498" s="84"/>
      <c r="C498" s="84"/>
      <c r="D498" s="84"/>
      <c r="E498" s="84"/>
      <c r="F498" s="84"/>
    </row>
    <row r="499" ht="15.75" customHeight="1">
      <c r="A499" s="84"/>
      <c r="B499" s="84"/>
      <c r="C499" s="84"/>
      <c r="D499" s="84"/>
      <c r="E499" s="84"/>
      <c r="F499" s="84"/>
    </row>
    <row r="500" ht="15.75" customHeight="1">
      <c r="A500" s="84"/>
      <c r="B500" s="84"/>
      <c r="C500" s="84"/>
      <c r="D500" s="84"/>
      <c r="E500" s="84"/>
      <c r="F500" s="84"/>
    </row>
    <row r="501" ht="15.75" customHeight="1">
      <c r="A501" s="84"/>
      <c r="B501" s="84"/>
      <c r="C501" s="84"/>
      <c r="D501" s="84"/>
      <c r="E501" s="84"/>
      <c r="F501" s="84"/>
    </row>
    <row r="502" ht="15.75" customHeight="1">
      <c r="A502" s="84"/>
      <c r="B502" s="84"/>
      <c r="C502" s="84"/>
      <c r="D502" s="84"/>
      <c r="E502" s="84"/>
      <c r="F502" s="84"/>
    </row>
    <row r="503" ht="15.75" customHeight="1">
      <c r="A503" s="84"/>
      <c r="B503" s="84"/>
      <c r="C503" s="84"/>
      <c r="D503" s="84"/>
      <c r="E503" s="84"/>
      <c r="F503" s="84"/>
    </row>
    <row r="504" ht="15.75" customHeight="1">
      <c r="A504" s="84"/>
      <c r="B504" s="84"/>
      <c r="C504" s="84"/>
      <c r="D504" s="84"/>
      <c r="E504" s="84"/>
      <c r="F504" s="84"/>
    </row>
    <row r="505" ht="15.75" customHeight="1">
      <c r="A505" s="84"/>
      <c r="B505" s="84"/>
      <c r="C505" s="84"/>
      <c r="D505" s="84"/>
      <c r="E505" s="84"/>
      <c r="F505" s="84"/>
    </row>
    <row r="506" ht="15.75" customHeight="1">
      <c r="A506" s="84"/>
      <c r="B506" s="84"/>
      <c r="C506" s="84"/>
      <c r="D506" s="84"/>
      <c r="E506" s="84"/>
      <c r="F506" s="84"/>
    </row>
    <row r="507" ht="15.75" customHeight="1">
      <c r="A507" s="84"/>
      <c r="B507" s="84"/>
      <c r="C507" s="84"/>
      <c r="D507" s="84"/>
      <c r="E507" s="84"/>
      <c r="F507" s="84"/>
    </row>
    <row r="508" ht="15.75" customHeight="1">
      <c r="A508" s="84"/>
      <c r="B508" s="84"/>
      <c r="C508" s="84"/>
      <c r="D508" s="84"/>
      <c r="E508" s="84"/>
      <c r="F508" s="84"/>
    </row>
    <row r="509" ht="15.75" customHeight="1">
      <c r="A509" s="84"/>
      <c r="B509" s="84"/>
      <c r="C509" s="84"/>
      <c r="D509" s="84"/>
      <c r="E509" s="84"/>
      <c r="F509" s="84"/>
    </row>
    <row r="510" ht="15.75" customHeight="1">
      <c r="A510" s="84"/>
      <c r="B510" s="84"/>
      <c r="C510" s="84"/>
      <c r="D510" s="84"/>
      <c r="E510" s="84"/>
      <c r="F510" s="84"/>
    </row>
    <row r="511" ht="15.75" customHeight="1">
      <c r="A511" s="84"/>
      <c r="B511" s="84"/>
      <c r="C511" s="84"/>
      <c r="D511" s="84"/>
      <c r="E511" s="84"/>
      <c r="F511" s="84"/>
    </row>
    <row r="512" ht="15.75" customHeight="1">
      <c r="A512" s="84"/>
      <c r="B512" s="84"/>
      <c r="C512" s="84"/>
      <c r="D512" s="84"/>
      <c r="E512" s="84"/>
      <c r="F512" s="84"/>
    </row>
    <row r="513" ht="15.75" customHeight="1">
      <c r="A513" s="84"/>
      <c r="B513" s="84"/>
      <c r="C513" s="84"/>
      <c r="D513" s="84"/>
      <c r="E513" s="84"/>
      <c r="F513" s="84"/>
    </row>
    <row r="514" ht="15.75" customHeight="1">
      <c r="A514" s="84"/>
      <c r="B514" s="84"/>
      <c r="C514" s="84"/>
      <c r="D514" s="84"/>
      <c r="E514" s="84"/>
      <c r="F514" s="84"/>
    </row>
    <row r="515" ht="15.75" customHeight="1">
      <c r="A515" s="84"/>
      <c r="B515" s="84"/>
      <c r="C515" s="84"/>
      <c r="D515" s="84"/>
      <c r="E515" s="84"/>
      <c r="F515" s="84"/>
    </row>
    <row r="516" ht="15.75" customHeight="1">
      <c r="A516" s="84"/>
      <c r="B516" s="84"/>
      <c r="C516" s="84"/>
      <c r="D516" s="84"/>
      <c r="E516" s="84"/>
      <c r="F516" s="84"/>
    </row>
    <row r="517" ht="15.75" customHeight="1">
      <c r="A517" s="84"/>
      <c r="B517" s="84"/>
      <c r="C517" s="84"/>
      <c r="D517" s="84"/>
      <c r="E517" s="84"/>
      <c r="F517" s="84"/>
    </row>
    <row r="518" ht="15.75" customHeight="1">
      <c r="A518" s="84"/>
      <c r="B518" s="84"/>
      <c r="C518" s="84"/>
      <c r="D518" s="84"/>
      <c r="E518" s="84"/>
      <c r="F518" s="84"/>
    </row>
    <row r="519" ht="15.75" customHeight="1">
      <c r="A519" s="84"/>
      <c r="B519" s="84"/>
      <c r="C519" s="84"/>
      <c r="D519" s="84"/>
      <c r="E519" s="84"/>
      <c r="F519" s="84"/>
    </row>
    <row r="520" ht="15.75" customHeight="1">
      <c r="A520" s="84"/>
      <c r="B520" s="84"/>
      <c r="C520" s="84"/>
      <c r="D520" s="84"/>
      <c r="E520" s="84"/>
      <c r="F520" s="84"/>
    </row>
    <row r="521" ht="15.75" customHeight="1">
      <c r="A521" s="84"/>
      <c r="B521" s="84"/>
      <c r="C521" s="84"/>
      <c r="D521" s="84"/>
      <c r="E521" s="84"/>
      <c r="F521" s="84"/>
    </row>
    <row r="522" ht="15.75" customHeight="1">
      <c r="A522" s="84"/>
      <c r="B522" s="84"/>
      <c r="C522" s="84"/>
      <c r="D522" s="84"/>
      <c r="E522" s="84"/>
      <c r="F522" s="84"/>
    </row>
    <row r="523" ht="15.75" customHeight="1">
      <c r="A523" s="84"/>
      <c r="B523" s="84"/>
      <c r="C523" s="84"/>
      <c r="D523" s="84"/>
      <c r="E523" s="84"/>
      <c r="F523" s="84"/>
    </row>
    <row r="524" ht="15.75" customHeight="1">
      <c r="A524" s="84"/>
      <c r="B524" s="84"/>
      <c r="C524" s="84"/>
      <c r="D524" s="84"/>
      <c r="E524" s="84"/>
      <c r="F524" s="84"/>
    </row>
    <row r="525" ht="15.75" customHeight="1">
      <c r="A525" s="84"/>
      <c r="B525" s="84"/>
      <c r="C525" s="84"/>
      <c r="D525" s="84"/>
      <c r="E525" s="84"/>
      <c r="F525" s="84"/>
    </row>
    <row r="526" ht="15.75" customHeight="1">
      <c r="A526" s="84"/>
      <c r="B526" s="84"/>
      <c r="C526" s="84"/>
      <c r="D526" s="84"/>
      <c r="E526" s="84"/>
      <c r="F526" s="84"/>
    </row>
    <row r="527" ht="15.75" customHeight="1">
      <c r="A527" s="84"/>
      <c r="B527" s="84"/>
      <c r="C527" s="84"/>
      <c r="D527" s="84"/>
      <c r="E527" s="84"/>
      <c r="F527" s="84"/>
    </row>
    <row r="528" ht="15.75" customHeight="1">
      <c r="A528" s="84"/>
      <c r="B528" s="84"/>
      <c r="C528" s="84"/>
      <c r="D528" s="84"/>
      <c r="E528" s="84"/>
      <c r="F528" s="84"/>
    </row>
    <row r="529" ht="15.75" customHeight="1">
      <c r="A529" s="84"/>
      <c r="B529" s="84"/>
      <c r="C529" s="84"/>
      <c r="D529" s="84"/>
      <c r="E529" s="84"/>
      <c r="F529" s="84"/>
    </row>
    <row r="530" ht="15.75" customHeight="1">
      <c r="A530" s="84"/>
      <c r="B530" s="84"/>
      <c r="C530" s="84"/>
      <c r="D530" s="84"/>
      <c r="E530" s="84"/>
      <c r="F530" s="84"/>
    </row>
    <row r="531" ht="15.75" customHeight="1">
      <c r="A531" s="84"/>
      <c r="B531" s="84"/>
      <c r="C531" s="84"/>
      <c r="D531" s="84"/>
      <c r="E531" s="84"/>
      <c r="F531" s="84"/>
    </row>
    <row r="532" ht="15.75" customHeight="1">
      <c r="A532" s="84"/>
      <c r="B532" s="84"/>
      <c r="C532" s="84"/>
      <c r="D532" s="84"/>
      <c r="E532" s="84"/>
      <c r="F532" s="84"/>
    </row>
    <row r="533" ht="15.75" customHeight="1">
      <c r="A533" s="84"/>
      <c r="B533" s="84"/>
      <c r="C533" s="84"/>
      <c r="D533" s="84"/>
      <c r="E533" s="84"/>
      <c r="F533" s="84"/>
    </row>
    <row r="534" ht="15.75" customHeight="1">
      <c r="A534" s="84"/>
      <c r="B534" s="84"/>
      <c r="C534" s="84"/>
      <c r="D534" s="84"/>
      <c r="E534" s="84"/>
      <c r="F534" s="84"/>
    </row>
    <row r="535" ht="15.75" customHeight="1">
      <c r="A535" s="84"/>
      <c r="B535" s="84"/>
      <c r="C535" s="84"/>
      <c r="D535" s="84"/>
      <c r="E535" s="84"/>
      <c r="F535" s="84"/>
    </row>
    <row r="536" ht="15.75" customHeight="1">
      <c r="A536" s="84"/>
      <c r="B536" s="84"/>
      <c r="C536" s="84"/>
      <c r="D536" s="84"/>
      <c r="E536" s="84"/>
      <c r="F536" s="84"/>
    </row>
    <row r="537" ht="15.75" customHeight="1">
      <c r="A537" s="84"/>
      <c r="B537" s="84"/>
      <c r="C537" s="84"/>
      <c r="D537" s="84"/>
      <c r="E537" s="84"/>
      <c r="F537" s="84"/>
    </row>
    <row r="538" ht="15.75" customHeight="1">
      <c r="A538" s="84"/>
      <c r="B538" s="84"/>
      <c r="C538" s="84"/>
      <c r="D538" s="84"/>
      <c r="E538" s="84"/>
      <c r="F538" s="84"/>
    </row>
    <row r="539" ht="15.75" customHeight="1">
      <c r="A539" s="84"/>
      <c r="B539" s="84"/>
      <c r="C539" s="84"/>
      <c r="D539" s="84"/>
      <c r="E539" s="84"/>
      <c r="F539" s="84"/>
    </row>
    <row r="540" ht="15.75" customHeight="1">
      <c r="A540" s="84"/>
      <c r="B540" s="84"/>
      <c r="C540" s="84"/>
      <c r="D540" s="84"/>
      <c r="E540" s="84"/>
      <c r="F540" s="84"/>
    </row>
    <row r="541" ht="15.75" customHeight="1">
      <c r="A541" s="84"/>
      <c r="B541" s="84"/>
      <c r="C541" s="84"/>
      <c r="D541" s="84"/>
      <c r="E541" s="84"/>
      <c r="F541" s="84"/>
    </row>
    <row r="542" ht="15.75" customHeight="1">
      <c r="A542" s="84"/>
      <c r="B542" s="84"/>
      <c r="C542" s="84"/>
      <c r="D542" s="84"/>
      <c r="E542" s="84"/>
      <c r="F542" s="84"/>
    </row>
    <row r="543" ht="15.75" customHeight="1">
      <c r="A543" s="84"/>
      <c r="B543" s="84"/>
      <c r="C543" s="84"/>
      <c r="D543" s="84"/>
      <c r="E543" s="84"/>
      <c r="F543" s="84"/>
    </row>
    <row r="544" ht="15.75" customHeight="1">
      <c r="A544" s="84"/>
      <c r="B544" s="84"/>
      <c r="C544" s="84"/>
      <c r="D544" s="84"/>
      <c r="E544" s="84"/>
      <c r="F544" s="84"/>
    </row>
    <row r="545" ht="15.75" customHeight="1">
      <c r="A545" s="84"/>
      <c r="B545" s="84"/>
      <c r="C545" s="84"/>
      <c r="D545" s="84"/>
      <c r="E545" s="84"/>
      <c r="F545" s="84"/>
    </row>
    <row r="546" ht="15.75" customHeight="1">
      <c r="A546" s="84"/>
      <c r="B546" s="84"/>
      <c r="C546" s="84"/>
      <c r="D546" s="84"/>
      <c r="E546" s="84"/>
      <c r="F546" s="84"/>
    </row>
    <row r="547" ht="15.75" customHeight="1">
      <c r="A547" s="84"/>
      <c r="B547" s="84"/>
      <c r="C547" s="84"/>
      <c r="D547" s="84"/>
      <c r="E547" s="84"/>
      <c r="F547" s="84"/>
    </row>
    <row r="548" ht="15.75" customHeight="1">
      <c r="A548" s="84"/>
      <c r="B548" s="84"/>
      <c r="C548" s="84"/>
      <c r="D548" s="84"/>
      <c r="E548" s="84"/>
      <c r="F548" s="84"/>
    </row>
    <row r="549" ht="15.75" customHeight="1">
      <c r="A549" s="84"/>
      <c r="B549" s="84"/>
      <c r="C549" s="84"/>
      <c r="D549" s="84"/>
      <c r="E549" s="84"/>
      <c r="F549" s="84"/>
    </row>
    <row r="550" ht="15.75" customHeight="1">
      <c r="A550" s="84"/>
      <c r="B550" s="84"/>
      <c r="C550" s="84"/>
      <c r="D550" s="84"/>
      <c r="E550" s="84"/>
      <c r="F550" s="84"/>
    </row>
    <row r="551" ht="15.75" customHeight="1">
      <c r="A551" s="84"/>
      <c r="B551" s="84"/>
      <c r="C551" s="84"/>
      <c r="D551" s="84"/>
      <c r="E551" s="84"/>
      <c r="F551" s="84"/>
    </row>
    <row r="552" ht="15.75" customHeight="1">
      <c r="A552" s="84"/>
      <c r="B552" s="84"/>
      <c r="C552" s="84"/>
      <c r="D552" s="84"/>
      <c r="E552" s="84"/>
      <c r="F552" s="84"/>
    </row>
    <row r="553" ht="15.75" customHeight="1">
      <c r="A553" s="84"/>
      <c r="B553" s="84"/>
      <c r="C553" s="84"/>
      <c r="D553" s="84"/>
      <c r="E553" s="84"/>
      <c r="F553" s="84"/>
    </row>
    <row r="554" ht="15.75" customHeight="1">
      <c r="A554" s="84"/>
      <c r="B554" s="84"/>
      <c r="C554" s="84"/>
      <c r="D554" s="84"/>
      <c r="E554" s="84"/>
      <c r="F554" s="84"/>
    </row>
    <row r="555" ht="15.75" customHeight="1">
      <c r="A555" s="84"/>
      <c r="B555" s="84"/>
      <c r="C555" s="84"/>
      <c r="D555" s="84"/>
      <c r="E555" s="84"/>
      <c r="F555" s="84"/>
    </row>
    <row r="556" ht="15.75" customHeight="1">
      <c r="A556" s="84"/>
      <c r="B556" s="84"/>
      <c r="C556" s="84"/>
      <c r="D556" s="84"/>
      <c r="E556" s="84"/>
      <c r="F556" s="84"/>
    </row>
    <row r="557" ht="15.75" customHeight="1">
      <c r="A557" s="84"/>
      <c r="B557" s="84"/>
      <c r="C557" s="84"/>
      <c r="D557" s="84"/>
      <c r="E557" s="84"/>
      <c r="F557" s="84"/>
    </row>
    <row r="558" ht="15.75" customHeight="1">
      <c r="A558" s="84"/>
      <c r="B558" s="84"/>
      <c r="C558" s="84"/>
      <c r="D558" s="84"/>
      <c r="E558" s="84"/>
      <c r="F558" s="84"/>
    </row>
    <row r="559" ht="15.75" customHeight="1">
      <c r="A559" s="84"/>
      <c r="B559" s="84"/>
      <c r="C559" s="84"/>
      <c r="D559" s="84"/>
      <c r="E559" s="84"/>
      <c r="F559" s="84"/>
    </row>
    <row r="560" ht="15.75" customHeight="1">
      <c r="A560" s="84"/>
      <c r="B560" s="84"/>
      <c r="C560" s="84"/>
      <c r="D560" s="84"/>
      <c r="E560" s="84"/>
      <c r="F560" s="84"/>
    </row>
    <row r="561" ht="15.75" customHeight="1">
      <c r="A561" s="84"/>
      <c r="B561" s="84"/>
      <c r="C561" s="84"/>
      <c r="D561" s="84"/>
      <c r="E561" s="84"/>
      <c r="F561" s="84"/>
    </row>
    <row r="562" ht="15.75" customHeight="1">
      <c r="A562" s="84"/>
      <c r="B562" s="84"/>
      <c r="C562" s="84"/>
      <c r="D562" s="84"/>
      <c r="E562" s="84"/>
      <c r="F562" s="84"/>
    </row>
    <row r="563" ht="15.75" customHeight="1">
      <c r="A563" s="84"/>
      <c r="B563" s="84"/>
      <c r="C563" s="84"/>
      <c r="D563" s="84"/>
      <c r="E563" s="84"/>
      <c r="F563" s="84"/>
    </row>
    <row r="564" ht="15.75" customHeight="1">
      <c r="A564" s="84"/>
      <c r="B564" s="84"/>
      <c r="C564" s="84"/>
      <c r="D564" s="84"/>
      <c r="E564" s="84"/>
      <c r="F564" s="84"/>
    </row>
    <row r="565" ht="15.75" customHeight="1">
      <c r="A565" s="84"/>
      <c r="B565" s="84"/>
      <c r="C565" s="84"/>
      <c r="D565" s="84"/>
      <c r="E565" s="84"/>
      <c r="F565" s="84"/>
    </row>
    <row r="566" ht="15.75" customHeight="1">
      <c r="A566" s="84"/>
      <c r="B566" s="84"/>
      <c r="C566" s="84"/>
      <c r="D566" s="84"/>
      <c r="E566" s="84"/>
      <c r="F566" s="84"/>
    </row>
    <row r="567" ht="15.75" customHeight="1">
      <c r="A567" s="84"/>
      <c r="B567" s="84"/>
      <c r="C567" s="84"/>
      <c r="D567" s="84"/>
      <c r="E567" s="84"/>
      <c r="F567" s="84"/>
    </row>
    <row r="568" ht="15.75" customHeight="1">
      <c r="A568" s="84"/>
      <c r="B568" s="84"/>
      <c r="C568" s="84"/>
      <c r="D568" s="84"/>
      <c r="E568" s="84"/>
      <c r="F568" s="84"/>
    </row>
    <row r="569" ht="15.75" customHeight="1">
      <c r="A569" s="84"/>
      <c r="B569" s="84"/>
      <c r="C569" s="84"/>
      <c r="D569" s="84"/>
      <c r="E569" s="84"/>
      <c r="F569" s="84"/>
    </row>
    <row r="570" ht="15.75" customHeight="1">
      <c r="A570" s="84"/>
      <c r="B570" s="84"/>
      <c r="C570" s="84"/>
      <c r="D570" s="84"/>
      <c r="E570" s="84"/>
      <c r="F570" s="84"/>
    </row>
    <row r="571" ht="15.75" customHeight="1">
      <c r="A571" s="84"/>
      <c r="B571" s="84"/>
      <c r="C571" s="84"/>
      <c r="D571" s="84"/>
      <c r="E571" s="84"/>
      <c r="F571" s="84"/>
    </row>
    <row r="572" ht="15.75" customHeight="1">
      <c r="A572" s="84"/>
      <c r="B572" s="84"/>
      <c r="C572" s="84"/>
      <c r="D572" s="84"/>
      <c r="E572" s="84"/>
      <c r="F572" s="84"/>
    </row>
    <row r="573" ht="15.75" customHeight="1">
      <c r="A573" s="84"/>
      <c r="B573" s="84"/>
      <c r="C573" s="84"/>
      <c r="D573" s="84"/>
      <c r="E573" s="84"/>
      <c r="F573" s="84"/>
    </row>
    <row r="574" ht="15.75" customHeight="1">
      <c r="A574" s="84"/>
      <c r="B574" s="84"/>
      <c r="C574" s="84"/>
      <c r="D574" s="84"/>
      <c r="E574" s="84"/>
      <c r="F574" s="84"/>
    </row>
    <row r="575" ht="15.75" customHeight="1">
      <c r="A575" s="84"/>
      <c r="B575" s="84"/>
      <c r="C575" s="84"/>
      <c r="D575" s="84"/>
      <c r="E575" s="84"/>
      <c r="F575" s="84"/>
    </row>
    <row r="576" ht="15.75" customHeight="1">
      <c r="A576" s="84"/>
      <c r="B576" s="84"/>
      <c r="C576" s="84"/>
      <c r="D576" s="84"/>
      <c r="E576" s="84"/>
      <c r="F576" s="84"/>
    </row>
    <row r="577" ht="15.75" customHeight="1">
      <c r="A577" s="84"/>
      <c r="B577" s="84"/>
      <c r="C577" s="84"/>
      <c r="D577" s="84"/>
      <c r="E577" s="84"/>
      <c r="F577" s="84"/>
    </row>
    <row r="578" ht="15.75" customHeight="1">
      <c r="A578" s="84"/>
      <c r="B578" s="84"/>
      <c r="C578" s="84"/>
      <c r="D578" s="84"/>
      <c r="E578" s="84"/>
      <c r="F578" s="84"/>
    </row>
    <row r="579" ht="15.75" customHeight="1">
      <c r="A579" s="84"/>
      <c r="B579" s="84"/>
      <c r="C579" s="84"/>
      <c r="D579" s="84"/>
      <c r="E579" s="84"/>
      <c r="F579" s="84"/>
    </row>
    <row r="580" ht="15.75" customHeight="1">
      <c r="A580" s="84"/>
      <c r="B580" s="84"/>
      <c r="C580" s="84"/>
      <c r="D580" s="84"/>
      <c r="E580" s="84"/>
      <c r="F580" s="84"/>
    </row>
    <row r="581" ht="15.75" customHeight="1">
      <c r="A581" s="84"/>
      <c r="B581" s="84"/>
      <c r="C581" s="84"/>
      <c r="D581" s="84"/>
      <c r="E581" s="84"/>
      <c r="F581" s="84"/>
    </row>
    <row r="582" ht="15.75" customHeight="1">
      <c r="A582" s="84"/>
      <c r="B582" s="84"/>
      <c r="C582" s="84"/>
      <c r="D582" s="84"/>
      <c r="E582" s="84"/>
      <c r="F582" s="84"/>
    </row>
    <row r="583" ht="15.75" customHeight="1">
      <c r="A583" s="84"/>
      <c r="B583" s="84"/>
      <c r="C583" s="84"/>
      <c r="D583" s="84"/>
      <c r="E583" s="84"/>
      <c r="F583" s="84"/>
    </row>
    <row r="584" ht="15.75" customHeight="1">
      <c r="A584" s="84"/>
      <c r="B584" s="84"/>
      <c r="C584" s="84"/>
      <c r="D584" s="84"/>
      <c r="E584" s="84"/>
      <c r="F584" s="84"/>
    </row>
    <row r="585" ht="15.75" customHeight="1">
      <c r="A585" s="84"/>
      <c r="B585" s="84"/>
      <c r="C585" s="84"/>
      <c r="D585" s="84"/>
      <c r="E585" s="84"/>
      <c r="F585" s="84"/>
    </row>
    <row r="586" ht="15.75" customHeight="1">
      <c r="A586" s="84"/>
      <c r="B586" s="84"/>
      <c r="C586" s="84"/>
      <c r="D586" s="84"/>
      <c r="E586" s="84"/>
      <c r="F586" s="84"/>
    </row>
    <row r="587" ht="15.75" customHeight="1">
      <c r="A587" s="84"/>
      <c r="B587" s="84"/>
      <c r="C587" s="84"/>
      <c r="D587" s="84"/>
      <c r="E587" s="84"/>
      <c r="F587" s="84"/>
    </row>
    <row r="588" ht="15.75" customHeight="1">
      <c r="A588" s="84"/>
      <c r="B588" s="84"/>
      <c r="C588" s="84"/>
      <c r="D588" s="84"/>
      <c r="E588" s="84"/>
      <c r="F588" s="84"/>
    </row>
    <row r="589" ht="15.75" customHeight="1">
      <c r="A589" s="84"/>
      <c r="B589" s="84"/>
      <c r="C589" s="84"/>
      <c r="D589" s="84"/>
      <c r="E589" s="84"/>
      <c r="F589" s="84"/>
    </row>
    <row r="590" ht="15.75" customHeight="1">
      <c r="A590" s="84"/>
      <c r="B590" s="84"/>
      <c r="C590" s="84"/>
      <c r="D590" s="84"/>
      <c r="E590" s="84"/>
      <c r="F590" s="84"/>
    </row>
    <row r="591" ht="15.75" customHeight="1">
      <c r="A591" s="84"/>
      <c r="B591" s="84"/>
      <c r="C591" s="84"/>
      <c r="D591" s="84"/>
      <c r="E591" s="84"/>
      <c r="F591" s="84"/>
    </row>
    <row r="592" ht="15.75" customHeight="1">
      <c r="A592" s="84"/>
      <c r="B592" s="84"/>
      <c r="C592" s="84"/>
      <c r="D592" s="84"/>
      <c r="E592" s="84"/>
      <c r="F592" s="84"/>
    </row>
    <row r="593" ht="15.75" customHeight="1">
      <c r="A593" s="84"/>
      <c r="B593" s="84"/>
      <c r="C593" s="84"/>
      <c r="D593" s="84"/>
      <c r="E593" s="84"/>
      <c r="F593" s="84"/>
    </row>
    <row r="594" ht="15.75" customHeight="1">
      <c r="A594" s="84"/>
      <c r="B594" s="84"/>
      <c r="C594" s="84"/>
      <c r="D594" s="84"/>
      <c r="E594" s="84"/>
      <c r="F594" s="84"/>
    </row>
    <row r="595" ht="15.75" customHeight="1">
      <c r="A595" s="84"/>
      <c r="B595" s="84"/>
      <c r="C595" s="84"/>
      <c r="D595" s="84"/>
      <c r="E595" s="84"/>
      <c r="F595" s="84"/>
    </row>
    <row r="596" ht="15.75" customHeight="1">
      <c r="A596" s="84"/>
      <c r="B596" s="84"/>
      <c r="C596" s="84"/>
      <c r="D596" s="84"/>
      <c r="E596" s="84"/>
      <c r="F596" s="84"/>
    </row>
    <row r="597" ht="15.75" customHeight="1">
      <c r="A597" s="84"/>
      <c r="B597" s="84"/>
      <c r="C597" s="84"/>
      <c r="D597" s="84"/>
      <c r="E597" s="84"/>
      <c r="F597" s="84"/>
    </row>
    <row r="598" ht="15.75" customHeight="1">
      <c r="A598" s="84"/>
      <c r="B598" s="84"/>
      <c r="C598" s="84"/>
      <c r="D598" s="84"/>
      <c r="E598" s="84"/>
      <c r="F598" s="84"/>
    </row>
    <row r="599" ht="15.75" customHeight="1">
      <c r="A599" s="84"/>
      <c r="B599" s="84"/>
      <c r="C599" s="84"/>
      <c r="D599" s="84"/>
      <c r="E599" s="84"/>
      <c r="F599" s="84"/>
    </row>
    <row r="600" ht="15.75" customHeight="1">
      <c r="A600" s="84"/>
      <c r="B600" s="84"/>
      <c r="C600" s="84"/>
      <c r="D600" s="84"/>
      <c r="E600" s="84"/>
      <c r="F600" s="84"/>
    </row>
    <row r="601" ht="15.75" customHeight="1">
      <c r="A601" s="84"/>
      <c r="B601" s="84"/>
      <c r="C601" s="84"/>
      <c r="D601" s="84"/>
      <c r="E601" s="84"/>
      <c r="F601" s="84"/>
    </row>
    <row r="602" ht="15.75" customHeight="1">
      <c r="A602" s="84"/>
      <c r="B602" s="84"/>
      <c r="C602" s="84"/>
      <c r="D602" s="84"/>
      <c r="E602" s="84"/>
      <c r="F602" s="84"/>
    </row>
    <row r="603" ht="15.75" customHeight="1">
      <c r="A603" s="84"/>
      <c r="B603" s="84"/>
      <c r="C603" s="84"/>
      <c r="D603" s="84"/>
      <c r="E603" s="84"/>
      <c r="F603" s="84"/>
    </row>
    <row r="604" ht="15.75" customHeight="1">
      <c r="A604" s="84"/>
      <c r="B604" s="84"/>
      <c r="C604" s="84"/>
      <c r="D604" s="84"/>
      <c r="E604" s="84"/>
      <c r="F604" s="84"/>
    </row>
    <row r="605" ht="15.75" customHeight="1">
      <c r="A605" s="84"/>
      <c r="B605" s="84"/>
      <c r="C605" s="84"/>
      <c r="D605" s="84"/>
      <c r="E605" s="84"/>
      <c r="F605" s="84"/>
    </row>
    <row r="606" ht="15.75" customHeight="1">
      <c r="A606" s="84"/>
      <c r="B606" s="84"/>
      <c r="C606" s="84"/>
      <c r="D606" s="84"/>
      <c r="E606" s="84"/>
      <c r="F606" s="84"/>
    </row>
    <row r="607" ht="15.75" customHeight="1">
      <c r="A607" s="84"/>
      <c r="B607" s="84"/>
      <c r="C607" s="84"/>
      <c r="D607" s="84"/>
      <c r="E607" s="84"/>
      <c r="F607" s="84"/>
    </row>
    <row r="608" ht="15.75" customHeight="1">
      <c r="A608" s="84"/>
      <c r="B608" s="84"/>
      <c r="C608" s="84"/>
      <c r="D608" s="84"/>
      <c r="E608" s="84"/>
      <c r="F608" s="84"/>
    </row>
    <row r="609" ht="15.75" customHeight="1">
      <c r="A609" s="84"/>
      <c r="B609" s="84"/>
      <c r="C609" s="84"/>
      <c r="D609" s="84"/>
      <c r="E609" s="84"/>
      <c r="F609" s="84"/>
    </row>
    <row r="610" ht="15.75" customHeight="1">
      <c r="A610" s="84"/>
      <c r="B610" s="84"/>
      <c r="C610" s="84"/>
      <c r="D610" s="84"/>
      <c r="E610" s="84"/>
      <c r="F610" s="84"/>
    </row>
    <row r="611" ht="15.75" customHeight="1">
      <c r="A611" s="84"/>
      <c r="B611" s="84"/>
      <c r="C611" s="84"/>
      <c r="D611" s="84"/>
      <c r="E611" s="84"/>
      <c r="F611" s="84"/>
    </row>
    <row r="612" ht="15.75" customHeight="1">
      <c r="A612" s="84"/>
      <c r="B612" s="84"/>
      <c r="C612" s="84"/>
      <c r="D612" s="84"/>
      <c r="E612" s="84"/>
      <c r="F612" s="84"/>
    </row>
    <row r="613" ht="15.75" customHeight="1">
      <c r="A613" s="84"/>
      <c r="B613" s="84"/>
      <c r="C613" s="84"/>
      <c r="D613" s="84"/>
      <c r="E613" s="84"/>
      <c r="F613" s="84"/>
    </row>
    <row r="614" ht="15.75" customHeight="1">
      <c r="A614" s="84"/>
      <c r="B614" s="84"/>
      <c r="C614" s="84"/>
      <c r="D614" s="84"/>
      <c r="E614" s="84"/>
      <c r="F614" s="84"/>
    </row>
    <row r="615" ht="15.75" customHeight="1">
      <c r="A615" s="84"/>
      <c r="B615" s="84"/>
      <c r="C615" s="84"/>
      <c r="D615" s="84"/>
      <c r="E615" s="84"/>
      <c r="F615" s="84"/>
    </row>
    <row r="616" ht="15.75" customHeight="1">
      <c r="A616" s="84"/>
      <c r="B616" s="84"/>
      <c r="C616" s="84"/>
      <c r="D616" s="84"/>
      <c r="E616" s="84"/>
      <c r="F616" s="84"/>
    </row>
    <row r="617" ht="15.75" customHeight="1">
      <c r="A617" s="84"/>
      <c r="B617" s="84"/>
      <c r="C617" s="84"/>
      <c r="D617" s="84"/>
      <c r="E617" s="84"/>
      <c r="F617" s="84"/>
    </row>
    <row r="618" ht="15.75" customHeight="1">
      <c r="A618" s="84"/>
      <c r="B618" s="84"/>
      <c r="C618" s="84"/>
      <c r="D618" s="84"/>
      <c r="E618" s="84"/>
      <c r="F618" s="84"/>
    </row>
    <row r="619" ht="15.75" customHeight="1">
      <c r="A619" s="84"/>
      <c r="B619" s="84"/>
      <c r="C619" s="84"/>
      <c r="D619" s="84"/>
      <c r="E619" s="84"/>
      <c r="F619" s="84"/>
    </row>
    <row r="620" ht="15.75" customHeight="1">
      <c r="A620" s="84"/>
      <c r="B620" s="84"/>
      <c r="C620" s="84"/>
      <c r="D620" s="84"/>
      <c r="E620" s="84"/>
      <c r="F620" s="84"/>
    </row>
    <row r="621" ht="15.75" customHeight="1">
      <c r="A621" s="84"/>
      <c r="B621" s="84"/>
      <c r="C621" s="84"/>
      <c r="D621" s="84"/>
      <c r="E621" s="84"/>
      <c r="F621" s="84"/>
    </row>
    <row r="622" ht="15.75" customHeight="1">
      <c r="A622" s="84"/>
      <c r="B622" s="84"/>
      <c r="C622" s="84"/>
      <c r="D622" s="84"/>
      <c r="E622" s="84"/>
      <c r="F622" s="84"/>
    </row>
    <row r="623" ht="15.75" customHeight="1">
      <c r="A623" s="84"/>
      <c r="B623" s="84"/>
      <c r="C623" s="84"/>
      <c r="D623" s="84"/>
      <c r="E623" s="84"/>
      <c r="F623" s="84"/>
    </row>
    <row r="624" ht="15.75" customHeight="1">
      <c r="A624" s="84"/>
      <c r="B624" s="84"/>
      <c r="C624" s="84"/>
      <c r="D624" s="84"/>
      <c r="E624" s="84"/>
      <c r="F624" s="84"/>
    </row>
    <row r="625" ht="15.75" customHeight="1">
      <c r="A625" s="84"/>
      <c r="B625" s="84"/>
      <c r="C625" s="84"/>
      <c r="D625" s="84"/>
      <c r="E625" s="84"/>
      <c r="F625" s="84"/>
    </row>
    <row r="626" ht="15.75" customHeight="1">
      <c r="A626" s="84"/>
      <c r="B626" s="84"/>
      <c r="C626" s="84"/>
      <c r="D626" s="84"/>
      <c r="E626" s="84"/>
      <c r="F626" s="84"/>
    </row>
    <row r="627" ht="15.75" customHeight="1">
      <c r="A627" s="84"/>
      <c r="B627" s="84"/>
      <c r="C627" s="84"/>
      <c r="D627" s="84"/>
      <c r="E627" s="84"/>
      <c r="F627" s="84"/>
    </row>
    <row r="628" ht="15.75" customHeight="1">
      <c r="A628" s="84"/>
      <c r="B628" s="84"/>
      <c r="C628" s="84"/>
      <c r="D628" s="84"/>
      <c r="E628" s="84"/>
      <c r="F628" s="84"/>
    </row>
    <row r="629" ht="15.75" customHeight="1">
      <c r="A629" s="84"/>
      <c r="B629" s="84"/>
      <c r="C629" s="84"/>
      <c r="D629" s="84"/>
      <c r="E629" s="84"/>
      <c r="F629" s="84"/>
    </row>
    <row r="630" ht="15.75" customHeight="1">
      <c r="A630" s="84"/>
      <c r="B630" s="84"/>
      <c r="C630" s="84"/>
      <c r="D630" s="84"/>
      <c r="E630" s="84"/>
      <c r="F630" s="84"/>
    </row>
    <row r="631" ht="15.75" customHeight="1">
      <c r="A631" s="84"/>
      <c r="B631" s="84"/>
      <c r="C631" s="84"/>
      <c r="D631" s="84"/>
      <c r="E631" s="84"/>
      <c r="F631" s="84"/>
    </row>
    <row r="632" ht="15.75" customHeight="1">
      <c r="A632" s="84"/>
      <c r="B632" s="84"/>
      <c r="C632" s="84"/>
      <c r="D632" s="84"/>
      <c r="E632" s="84"/>
      <c r="F632" s="84"/>
    </row>
    <row r="633" ht="15.75" customHeight="1">
      <c r="A633" s="84"/>
      <c r="B633" s="84"/>
      <c r="C633" s="84"/>
      <c r="D633" s="84"/>
      <c r="E633" s="84"/>
      <c r="F633" s="84"/>
    </row>
    <row r="634" ht="15.75" customHeight="1">
      <c r="A634" s="84"/>
      <c r="B634" s="84"/>
      <c r="C634" s="84"/>
      <c r="D634" s="84"/>
      <c r="E634" s="84"/>
      <c r="F634" s="84"/>
    </row>
    <row r="635" ht="15.75" customHeight="1">
      <c r="A635" s="84"/>
      <c r="B635" s="84"/>
      <c r="C635" s="84"/>
      <c r="D635" s="84"/>
      <c r="E635" s="84"/>
      <c r="F635" s="84"/>
    </row>
    <row r="636" ht="15.75" customHeight="1">
      <c r="A636" s="84"/>
      <c r="B636" s="84"/>
      <c r="C636" s="84"/>
      <c r="D636" s="84"/>
      <c r="E636" s="84"/>
      <c r="F636" s="84"/>
    </row>
    <row r="637" ht="15.75" customHeight="1">
      <c r="A637" s="84"/>
      <c r="B637" s="84"/>
      <c r="C637" s="84"/>
      <c r="D637" s="84"/>
      <c r="E637" s="84"/>
      <c r="F637" s="84"/>
    </row>
    <row r="638" ht="15.75" customHeight="1">
      <c r="A638" s="84"/>
      <c r="B638" s="84"/>
      <c r="C638" s="84"/>
      <c r="D638" s="84"/>
      <c r="E638" s="84"/>
      <c r="F638" s="84"/>
    </row>
    <row r="639" ht="15.75" customHeight="1">
      <c r="A639" s="84"/>
      <c r="B639" s="84"/>
      <c r="C639" s="84"/>
      <c r="D639" s="84"/>
      <c r="E639" s="84"/>
      <c r="F639" s="84"/>
    </row>
    <row r="640" ht="15.75" customHeight="1">
      <c r="A640" s="84"/>
      <c r="B640" s="84"/>
      <c r="C640" s="84"/>
      <c r="D640" s="84"/>
      <c r="E640" s="84"/>
      <c r="F640" s="84"/>
    </row>
    <row r="641" ht="15.75" customHeight="1">
      <c r="A641" s="84"/>
      <c r="B641" s="84"/>
      <c r="C641" s="84"/>
      <c r="D641" s="84"/>
      <c r="E641" s="84"/>
      <c r="F641" s="84"/>
    </row>
    <row r="642" ht="15.75" customHeight="1">
      <c r="A642" s="84"/>
      <c r="B642" s="84"/>
      <c r="C642" s="84"/>
      <c r="D642" s="84"/>
      <c r="E642" s="84"/>
      <c r="F642" s="84"/>
    </row>
    <row r="643" ht="15.75" customHeight="1">
      <c r="A643" s="84"/>
      <c r="B643" s="84"/>
      <c r="C643" s="84"/>
      <c r="D643" s="84"/>
      <c r="E643" s="84"/>
      <c r="F643" s="84"/>
    </row>
    <row r="644" ht="15.75" customHeight="1">
      <c r="A644" s="84"/>
      <c r="B644" s="84"/>
      <c r="C644" s="84"/>
      <c r="D644" s="84"/>
      <c r="E644" s="84"/>
      <c r="F644" s="84"/>
    </row>
    <row r="645" ht="15.75" customHeight="1">
      <c r="A645" s="84"/>
      <c r="B645" s="84"/>
      <c r="C645" s="84"/>
      <c r="D645" s="84"/>
      <c r="E645" s="84"/>
      <c r="F645" s="84"/>
    </row>
    <row r="646" ht="15.75" customHeight="1">
      <c r="A646" s="84"/>
      <c r="B646" s="84"/>
      <c r="C646" s="84"/>
      <c r="D646" s="84"/>
      <c r="E646" s="84"/>
      <c r="F646" s="84"/>
    </row>
    <row r="647" ht="15.75" customHeight="1">
      <c r="A647" s="84"/>
      <c r="B647" s="84"/>
      <c r="C647" s="84"/>
      <c r="D647" s="84"/>
      <c r="E647" s="84"/>
      <c r="F647" s="84"/>
    </row>
    <row r="648" ht="15.75" customHeight="1">
      <c r="A648" s="84"/>
      <c r="B648" s="84"/>
      <c r="C648" s="84"/>
      <c r="D648" s="84"/>
      <c r="E648" s="84"/>
      <c r="F648" s="84"/>
    </row>
    <row r="649" ht="15.75" customHeight="1">
      <c r="A649" s="84"/>
      <c r="B649" s="84"/>
      <c r="C649" s="84"/>
      <c r="D649" s="84"/>
      <c r="E649" s="84"/>
      <c r="F649" s="84"/>
    </row>
    <row r="650" ht="15.75" customHeight="1">
      <c r="A650" s="84"/>
      <c r="B650" s="84"/>
      <c r="C650" s="84"/>
      <c r="D650" s="84"/>
      <c r="E650" s="84"/>
      <c r="F650" s="84"/>
    </row>
    <row r="651" ht="15.75" customHeight="1">
      <c r="A651" s="84"/>
      <c r="B651" s="84"/>
      <c r="C651" s="84"/>
      <c r="D651" s="84"/>
      <c r="E651" s="84"/>
      <c r="F651" s="84"/>
    </row>
    <row r="652" ht="15.75" customHeight="1">
      <c r="A652" s="84"/>
      <c r="B652" s="84"/>
      <c r="C652" s="84"/>
      <c r="D652" s="84"/>
      <c r="E652" s="84"/>
      <c r="F652" s="84"/>
    </row>
    <row r="653" ht="15.75" customHeight="1">
      <c r="A653" s="84"/>
      <c r="B653" s="84"/>
      <c r="C653" s="84"/>
      <c r="D653" s="84"/>
      <c r="E653" s="84"/>
      <c r="F653" s="84"/>
    </row>
    <row r="654" ht="15.75" customHeight="1">
      <c r="A654" s="84"/>
      <c r="B654" s="84"/>
      <c r="C654" s="84"/>
      <c r="D654" s="84"/>
      <c r="E654" s="84"/>
      <c r="F654" s="84"/>
    </row>
    <row r="655" ht="15.75" customHeight="1">
      <c r="A655" s="84"/>
      <c r="B655" s="84"/>
      <c r="C655" s="84"/>
      <c r="D655" s="84"/>
      <c r="E655" s="84"/>
      <c r="F655" s="84"/>
    </row>
    <row r="656" ht="15.75" customHeight="1">
      <c r="A656" s="84"/>
      <c r="B656" s="84"/>
      <c r="C656" s="84"/>
      <c r="D656" s="84"/>
      <c r="E656" s="84"/>
      <c r="F656" s="84"/>
    </row>
    <row r="657" ht="15.75" customHeight="1">
      <c r="A657" s="84"/>
      <c r="B657" s="84"/>
      <c r="C657" s="84"/>
      <c r="D657" s="84"/>
      <c r="E657" s="84"/>
      <c r="F657" s="84"/>
    </row>
    <row r="658" ht="15.75" customHeight="1">
      <c r="A658" s="84"/>
      <c r="B658" s="84"/>
      <c r="C658" s="84"/>
      <c r="D658" s="84"/>
      <c r="E658" s="84"/>
      <c r="F658" s="84"/>
    </row>
    <row r="659" ht="15.75" customHeight="1">
      <c r="A659" s="84"/>
      <c r="B659" s="84"/>
      <c r="C659" s="84"/>
      <c r="D659" s="84"/>
      <c r="E659" s="84"/>
      <c r="F659" s="84"/>
    </row>
    <row r="660" ht="15.75" customHeight="1">
      <c r="A660" s="84"/>
      <c r="B660" s="84"/>
      <c r="C660" s="84"/>
      <c r="D660" s="84"/>
      <c r="E660" s="84"/>
      <c r="F660" s="84"/>
    </row>
    <row r="661" ht="15.75" customHeight="1">
      <c r="A661" s="84"/>
      <c r="B661" s="84"/>
      <c r="C661" s="84"/>
      <c r="D661" s="84"/>
      <c r="E661" s="84"/>
      <c r="F661" s="84"/>
    </row>
    <row r="662" ht="15.75" customHeight="1">
      <c r="A662" s="84"/>
      <c r="B662" s="84"/>
      <c r="C662" s="84"/>
      <c r="D662" s="84"/>
      <c r="E662" s="84"/>
      <c r="F662" s="84"/>
    </row>
    <row r="663" ht="15.75" customHeight="1">
      <c r="A663" s="84"/>
      <c r="B663" s="84"/>
      <c r="C663" s="84"/>
      <c r="D663" s="84"/>
      <c r="E663" s="84"/>
      <c r="F663" s="84"/>
    </row>
    <row r="664" ht="15.75" customHeight="1">
      <c r="A664" s="84"/>
      <c r="B664" s="84"/>
      <c r="C664" s="84"/>
      <c r="D664" s="84"/>
      <c r="E664" s="84"/>
      <c r="F664" s="84"/>
    </row>
    <row r="665" ht="15.75" customHeight="1">
      <c r="A665" s="84"/>
      <c r="B665" s="84"/>
      <c r="C665" s="84"/>
      <c r="D665" s="84"/>
      <c r="E665" s="84"/>
      <c r="F665" s="84"/>
    </row>
    <row r="666" ht="15.75" customHeight="1">
      <c r="A666" s="84"/>
      <c r="B666" s="84"/>
      <c r="C666" s="84"/>
      <c r="D666" s="84"/>
      <c r="E666" s="84"/>
      <c r="F666" s="84"/>
    </row>
    <row r="667" ht="15.75" customHeight="1">
      <c r="A667" s="84"/>
      <c r="B667" s="84"/>
      <c r="C667" s="84"/>
      <c r="D667" s="84"/>
      <c r="E667" s="84"/>
      <c r="F667" s="84"/>
    </row>
    <row r="668" ht="15.75" customHeight="1">
      <c r="A668" s="84"/>
      <c r="B668" s="84"/>
      <c r="C668" s="84"/>
      <c r="D668" s="84"/>
      <c r="E668" s="84"/>
      <c r="F668" s="84"/>
    </row>
    <row r="669" ht="15.75" customHeight="1">
      <c r="A669" s="84"/>
      <c r="B669" s="84"/>
      <c r="C669" s="84"/>
      <c r="D669" s="84"/>
      <c r="E669" s="84"/>
      <c r="F669" s="84"/>
    </row>
    <row r="670" ht="15.75" customHeight="1">
      <c r="A670" s="84"/>
      <c r="B670" s="84"/>
      <c r="C670" s="84"/>
      <c r="D670" s="84"/>
      <c r="E670" s="84"/>
      <c r="F670" s="84"/>
    </row>
    <row r="671" ht="15.75" customHeight="1">
      <c r="A671" s="84"/>
      <c r="B671" s="84"/>
      <c r="C671" s="84"/>
      <c r="D671" s="84"/>
      <c r="E671" s="84"/>
      <c r="F671" s="84"/>
    </row>
    <row r="672" ht="15.75" customHeight="1">
      <c r="A672" s="84"/>
      <c r="B672" s="84"/>
      <c r="C672" s="84"/>
      <c r="D672" s="84"/>
      <c r="E672" s="84"/>
      <c r="F672" s="84"/>
    </row>
    <row r="673" ht="15.75" customHeight="1">
      <c r="A673" s="84"/>
      <c r="B673" s="84"/>
      <c r="C673" s="84"/>
      <c r="D673" s="84"/>
      <c r="E673" s="84"/>
      <c r="F673" s="84"/>
    </row>
    <row r="674" ht="15.75" customHeight="1">
      <c r="A674" s="84"/>
      <c r="B674" s="84"/>
      <c r="C674" s="84"/>
      <c r="D674" s="84"/>
      <c r="E674" s="84"/>
      <c r="F674" s="84"/>
    </row>
    <row r="675" ht="15.75" customHeight="1">
      <c r="A675" s="84"/>
      <c r="B675" s="84"/>
      <c r="C675" s="84"/>
      <c r="D675" s="84"/>
      <c r="E675" s="84"/>
      <c r="F675" s="84"/>
    </row>
    <row r="676" ht="15.75" customHeight="1">
      <c r="A676" s="84"/>
      <c r="B676" s="84"/>
      <c r="C676" s="84"/>
      <c r="D676" s="84"/>
      <c r="E676" s="84"/>
      <c r="F676" s="84"/>
    </row>
    <row r="677" ht="15.75" customHeight="1">
      <c r="A677" s="84"/>
      <c r="B677" s="84"/>
      <c r="C677" s="84"/>
      <c r="D677" s="84"/>
      <c r="E677" s="84"/>
      <c r="F677" s="84"/>
    </row>
    <row r="678" ht="15.75" customHeight="1">
      <c r="A678" s="84"/>
      <c r="B678" s="84"/>
      <c r="C678" s="84"/>
      <c r="D678" s="84"/>
      <c r="E678" s="84"/>
      <c r="F678" s="84"/>
    </row>
    <row r="679" ht="15.75" customHeight="1">
      <c r="A679" s="84"/>
      <c r="B679" s="84"/>
      <c r="C679" s="84"/>
      <c r="D679" s="84"/>
      <c r="E679" s="84"/>
      <c r="F679" s="84"/>
    </row>
    <row r="680" ht="15.75" customHeight="1">
      <c r="A680" s="84"/>
      <c r="B680" s="84"/>
      <c r="C680" s="84"/>
      <c r="D680" s="84"/>
      <c r="E680" s="84"/>
      <c r="F680" s="84"/>
    </row>
    <row r="681" ht="15.75" customHeight="1">
      <c r="A681" s="84"/>
      <c r="B681" s="84"/>
      <c r="C681" s="84"/>
      <c r="D681" s="84"/>
      <c r="E681" s="84"/>
      <c r="F681" s="84"/>
    </row>
    <row r="682" ht="15.75" customHeight="1">
      <c r="A682" s="84"/>
      <c r="B682" s="84"/>
      <c r="C682" s="84"/>
      <c r="D682" s="84"/>
      <c r="E682" s="84"/>
      <c r="F682" s="84"/>
    </row>
    <row r="683" ht="15.75" customHeight="1">
      <c r="A683" s="84"/>
      <c r="B683" s="84"/>
      <c r="C683" s="84"/>
      <c r="D683" s="84"/>
      <c r="E683" s="84"/>
      <c r="F683" s="84"/>
    </row>
    <row r="684" ht="15.75" customHeight="1">
      <c r="A684" s="84"/>
      <c r="B684" s="84"/>
      <c r="C684" s="84"/>
      <c r="D684" s="84"/>
      <c r="E684" s="84"/>
      <c r="F684" s="84"/>
    </row>
    <row r="685" ht="15.75" customHeight="1">
      <c r="A685" s="84"/>
      <c r="B685" s="84"/>
      <c r="C685" s="84"/>
      <c r="D685" s="84"/>
      <c r="E685" s="84"/>
      <c r="F685" s="84"/>
    </row>
    <row r="686" ht="15.75" customHeight="1">
      <c r="A686" s="84"/>
      <c r="B686" s="84"/>
      <c r="C686" s="84"/>
      <c r="D686" s="84"/>
      <c r="E686" s="84"/>
      <c r="F686" s="84"/>
    </row>
    <row r="687" ht="15.75" customHeight="1">
      <c r="A687" s="84"/>
      <c r="B687" s="84"/>
      <c r="C687" s="84"/>
      <c r="D687" s="84"/>
      <c r="E687" s="84"/>
      <c r="F687" s="84"/>
    </row>
    <row r="688" ht="15.75" customHeight="1">
      <c r="A688" s="84"/>
      <c r="B688" s="84"/>
      <c r="C688" s="84"/>
      <c r="D688" s="84"/>
      <c r="E688" s="84"/>
      <c r="F688" s="84"/>
    </row>
    <row r="689" ht="15.75" customHeight="1">
      <c r="A689" s="84"/>
      <c r="B689" s="84"/>
      <c r="C689" s="84"/>
      <c r="D689" s="84"/>
      <c r="E689" s="84"/>
      <c r="F689" s="84"/>
    </row>
    <row r="690" ht="15.75" customHeight="1">
      <c r="A690" s="84"/>
      <c r="B690" s="84"/>
      <c r="C690" s="84"/>
      <c r="D690" s="84"/>
      <c r="E690" s="84"/>
      <c r="F690" s="84"/>
    </row>
    <row r="691" ht="15.75" customHeight="1">
      <c r="A691" s="84"/>
      <c r="B691" s="84"/>
      <c r="C691" s="84"/>
      <c r="D691" s="84"/>
      <c r="E691" s="84"/>
      <c r="F691" s="84"/>
    </row>
    <row r="692" ht="15.75" customHeight="1">
      <c r="A692" s="84"/>
      <c r="B692" s="84"/>
      <c r="C692" s="84"/>
      <c r="D692" s="84"/>
      <c r="E692" s="84"/>
      <c r="F692" s="84"/>
    </row>
    <row r="693" ht="15.75" customHeight="1">
      <c r="A693" s="84"/>
      <c r="B693" s="84"/>
      <c r="C693" s="84"/>
      <c r="D693" s="84"/>
      <c r="E693" s="84"/>
      <c r="F693" s="84"/>
    </row>
    <row r="694" ht="15.75" customHeight="1">
      <c r="A694" s="84"/>
      <c r="B694" s="84"/>
      <c r="C694" s="84"/>
      <c r="D694" s="84"/>
      <c r="E694" s="84"/>
      <c r="F694" s="84"/>
    </row>
    <row r="695" ht="15.75" customHeight="1">
      <c r="A695" s="84"/>
      <c r="B695" s="84"/>
      <c r="C695" s="84"/>
      <c r="D695" s="84"/>
      <c r="E695" s="84"/>
      <c r="F695" s="84"/>
    </row>
    <row r="696" ht="15.75" customHeight="1">
      <c r="A696" s="84"/>
      <c r="B696" s="84"/>
      <c r="C696" s="84"/>
      <c r="D696" s="84"/>
      <c r="E696" s="84"/>
      <c r="F696" s="84"/>
    </row>
    <row r="697" ht="15.75" customHeight="1">
      <c r="A697" s="84"/>
      <c r="B697" s="84"/>
      <c r="C697" s="84"/>
      <c r="D697" s="84"/>
      <c r="E697" s="84"/>
      <c r="F697" s="84"/>
    </row>
    <row r="698" ht="15.75" customHeight="1">
      <c r="A698" s="84"/>
      <c r="B698" s="84"/>
      <c r="C698" s="84"/>
      <c r="D698" s="84"/>
      <c r="E698" s="84"/>
      <c r="F698" s="84"/>
    </row>
    <row r="699" ht="15.75" customHeight="1">
      <c r="A699" s="84"/>
      <c r="B699" s="84"/>
      <c r="C699" s="84"/>
      <c r="D699" s="84"/>
      <c r="E699" s="84"/>
      <c r="F699" s="84"/>
    </row>
    <row r="700" ht="15.75" customHeight="1">
      <c r="A700" s="84"/>
      <c r="B700" s="84"/>
      <c r="C700" s="84"/>
      <c r="D700" s="84"/>
      <c r="E700" s="84"/>
      <c r="F700" s="84"/>
    </row>
    <row r="701" ht="15.75" customHeight="1">
      <c r="A701" s="84"/>
      <c r="B701" s="84"/>
      <c r="C701" s="84"/>
      <c r="D701" s="84"/>
      <c r="E701" s="84"/>
      <c r="F701" s="84"/>
    </row>
    <row r="702" ht="15.75" customHeight="1">
      <c r="A702" s="84"/>
      <c r="B702" s="84"/>
      <c r="C702" s="84"/>
      <c r="D702" s="84"/>
      <c r="E702" s="84"/>
      <c r="F702" s="84"/>
    </row>
    <row r="703" ht="15.75" customHeight="1">
      <c r="A703" s="84"/>
      <c r="B703" s="84"/>
      <c r="C703" s="84"/>
      <c r="D703" s="84"/>
      <c r="E703" s="84"/>
      <c r="F703" s="84"/>
    </row>
    <row r="704" ht="15.75" customHeight="1">
      <c r="A704" s="84"/>
      <c r="B704" s="84"/>
      <c r="C704" s="84"/>
      <c r="D704" s="84"/>
      <c r="E704" s="84"/>
      <c r="F704" s="84"/>
    </row>
    <row r="705" ht="15.75" customHeight="1">
      <c r="A705" s="84"/>
      <c r="B705" s="84"/>
      <c r="C705" s="84"/>
      <c r="D705" s="84"/>
      <c r="E705" s="84"/>
      <c r="F705" s="84"/>
    </row>
    <row r="706" ht="15.75" customHeight="1">
      <c r="A706" s="84"/>
      <c r="B706" s="84"/>
      <c r="C706" s="84"/>
      <c r="D706" s="84"/>
      <c r="E706" s="84"/>
      <c r="F706" s="84"/>
    </row>
    <row r="707" ht="15.75" customHeight="1">
      <c r="A707" s="84"/>
      <c r="B707" s="84"/>
      <c r="C707" s="84"/>
      <c r="D707" s="84"/>
      <c r="E707" s="84"/>
      <c r="F707" s="84"/>
    </row>
    <row r="708" ht="15.75" customHeight="1">
      <c r="A708" s="84"/>
      <c r="B708" s="84"/>
      <c r="C708" s="84"/>
      <c r="D708" s="84"/>
      <c r="E708" s="84"/>
      <c r="F708" s="84"/>
    </row>
    <row r="709" ht="15.75" customHeight="1">
      <c r="A709" s="84"/>
      <c r="B709" s="84"/>
      <c r="C709" s="84"/>
      <c r="D709" s="84"/>
      <c r="E709" s="84"/>
      <c r="F709" s="84"/>
    </row>
    <row r="710" ht="15.75" customHeight="1">
      <c r="A710" s="84"/>
      <c r="B710" s="84"/>
      <c r="C710" s="84"/>
      <c r="D710" s="84"/>
      <c r="E710" s="84"/>
      <c r="F710" s="84"/>
    </row>
    <row r="711" ht="15.75" customHeight="1">
      <c r="A711" s="84"/>
      <c r="B711" s="84"/>
      <c r="C711" s="84"/>
      <c r="D711" s="84"/>
      <c r="E711" s="84"/>
      <c r="F711" s="84"/>
    </row>
    <row r="712" ht="15.75" customHeight="1">
      <c r="A712" s="84"/>
      <c r="B712" s="84"/>
      <c r="C712" s="84"/>
      <c r="D712" s="84"/>
      <c r="E712" s="84"/>
      <c r="F712" s="84"/>
    </row>
    <row r="713" ht="15.75" customHeight="1">
      <c r="A713" s="84"/>
      <c r="B713" s="84"/>
      <c r="C713" s="84"/>
      <c r="D713" s="84"/>
      <c r="E713" s="84"/>
      <c r="F713" s="84"/>
    </row>
    <row r="714" ht="15.75" customHeight="1">
      <c r="A714" s="84"/>
      <c r="B714" s="84"/>
      <c r="C714" s="84"/>
      <c r="D714" s="84"/>
      <c r="E714" s="84"/>
      <c r="F714" s="84"/>
    </row>
    <row r="715" ht="15.75" customHeight="1">
      <c r="A715" s="84"/>
      <c r="B715" s="84"/>
      <c r="C715" s="84"/>
      <c r="D715" s="84"/>
      <c r="E715" s="84"/>
      <c r="F715" s="84"/>
    </row>
    <row r="716" ht="15.75" customHeight="1">
      <c r="A716" s="84"/>
      <c r="B716" s="84"/>
      <c r="C716" s="84"/>
      <c r="D716" s="84"/>
      <c r="E716" s="84"/>
      <c r="F716" s="84"/>
    </row>
    <row r="717" ht="15.75" customHeight="1">
      <c r="A717" s="84"/>
      <c r="B717" s="84"/>
      <c r="C717" s="84"/>
      <c r="D717" s="84"/>
      <c r="E717" s="84"/>
      <c r="F717" s="84"/>
    </row>
    <row r="718" ht="15.75" customHeight="1">
      <c r="A718" s="84"/>
      <c r="B718" s="84"/>
      <c r="C718" s="84"/>
      <c r="D718" s="84"/>
      <c r="E718" s="84"/>
      <c r="F718" s="84"/>
    </row>
    <row r="719" ht="15.75" customHeight="1">
      <c r="A719" s="84"/>
      <c r="B719" s="84"/>
      <c r="C719" s="84"/>
      <c r="D719" s="84"/>
      <c r="E719" s="84"/>
      <c r="F719" s="84"/>
    </row>
    <row r="720" ht="15.75" customHeight="1">
      <c r="A720" s="84"/>
      <c r="B720" s="84"/>
      <c r="C720" s="84"/>
      <c r="D720" s="84"/>
      <c r="E720" s="84"/>
      <c r="F720" s="84"/>
    </row>
    <row r="721" ht="15.75" customHeight="1">
      <c r="A721" s="84"/>
      <c r="B721" s="84"/>
      <c r="C721" s="84"/>
      <c r="D721" s="84"/>
      <c r="E721" s="84"/>
      <c r="F721" s="84"/>
    </row>
    <row r="722" ht="15.75" customHeight="1">
      <c r="A722" s="84"/>
      <c r="B722" s="84"/>
      <c r="C722" s="84"/>
      <c r="D722" s="84"/>
      <c r="E722" s="84"/>
      <c r="F722" s="84"/>
    </row>
    <row r="723" ht="15.75" customHeight="1">
      <c r="A723" s="84"/>
      <c r="B723" s="84"/>
      <c r="C723" s="84"/>
      <c r="D723" s="84"/>
      <c r="E723" s="84"/>
      <c r="F723" s="84"/>
    </row>
    <row r="724" ht="15.75" customHeight="1">
      <c r="A724" s="84"/>
      <c r="B724" s="84"/>
      <c r="C724" s="84"/>
      <c r="D724" s="84"/>
      <c r="E724" s="84"/>
      <c r="F724" s="84"/>
    </row>
    <row r="725" ht="15.75" customHeight="1">
      <c r="A725" s="84"/>
      <c r="B725" s="84"/>
      <c r="C725" s="84"/>
      <c r="D725" s="84"/>
      <c r="E725" s="84"/>
      <c r="F725" s="84"/>
    </row>
    <row r="726" ht="15.75" customHeight="1">
      <c r="A726" s="84"/>
      <c r="B726" s="84"/>
      <c r="C726" s="84"/>
      <c r="D726" s="84"/>
      <c r="E726" s="84"/>
      <c r="F726" s="84"/>
    </row>
    <row r="727" ht="15.75" customHeight="1">
      <c r="A727" s="84"/>
      <c r="B727" s="84"/>
      <c r="C727" s="84"/>
      <c r="D727" s="84"/>
      <c r="E727" s="84"/>
      <c r="F727" s="84"/>
    </row>
    <row r="728" ht="15.75" customHeight="1">
      <c r="A728" s="84"/>
      <c r="B728" s="84"/>
      <c r="C728" s="84"/>
      <c r="D728" s="84"/>
      <c r="E728" s="84"/>
      <c r="F728" s="84"/>
    </row>
    <row r="729" ht="15.75" customHeight="1">
      <c r="A729" s="84"/>
      <c r="B729" s="84"/>
      <c r="C729" s="84"/>
      <c r="D729" s="84"/>
      <c r="E729" s="84"/>
      <c r="F729" s="84"/>
    </row>
    <row r="730" ht="15.75" customHeight="1">
      <c r="A730" s="84"/>
      <c r="B730" s="84"/>
      <c r="C730" s="84"/>
      <c r="D730" s="84"/>
      <c r="E730" s="84"/>
      <c r="F730" s="84"/>
    </row>
    <row r="731" ht="15.75" customHeight="1">
      <c r="A731" s="84"/>
      <c r="B731" s="84"/>
      <c r="C731" s="84"/>
      <c r="D731" s="84"/>
      <c r="E731" s="84"/>
      <c r="F731" s="84"/>
    </row>
    <row r="732" ht="15.75" customHeight="1">
      <c r="A732" s="84"/>
      <c r="B732" s="84"/>
      <c r="C732" s="84"/>
      <c r="D732" s="84"/>
      <c r="E732" s="84"/>
      <c r="F732" s="84"/>
    </row>
    <row r="733" ht="15.75" customHeight="1">
      <c r="A733" s="84"/>
      <c r="B733" s="84"/>
      <c r="C733" s="84"/>
      <c r="D733" s="84"/>
      <c r="E733" s="84"/>
      <c r="F733" s="84"/>
    </row>
    <row r="734" ht="15.75" customHeight="1">
      <c r="A734" s="84"/>
      <c r="B734" s="84"/>
      <c r="C734" s="84"/>
      <c r="D734" s="84"/>
      <c r="E734" s="84"/>
      <c r="F734" s="84"/>
    </row>
    <row r="735" ht="15.75" customHeight="1">
      <c r="A735" s="84"/>
      <c r="B735" s="84"/>
      <c r="C735" s="84"/>
      <c r="D735" s="84"/>
      <c r="E735" s="84"/>
      <c r="F735" s="84"/>
    </row>
    <row r="736" ht="15.75" customHeight="1">
      <c r="A736" s="84"/>
      <c r="B736" s="84"/>
      <c r="C736" s="84"/>
      <c r="D736" s="84"/>
      <c r="E736" s="84"/>
      <c r="F736" s="84"/>
    </row>
    <row r="737" ht="15.75" customHeight="1">
      <c r="A737" s="84"/>
      <c r="B737" s="84"/>
      <c r="C737" s="84"/>
      <c r="D737" s="84"/>
      <c r="E737" s="84"/>
      <c r="F737" s="84"/>
    </row>
    <row r="738" ht="15.75" customHeight="1">
      <c r="A738" s="84"/>
      <c r="B738" s="84"/>
      <c r="C738" s="84"/>
      <c r="D738" s="84"/>
      <c r="E738" s="84"/>
      <c r="F738" s="84"/>
    </row>
    <row r="739" ht="15.75" customHeight="1">
      <c r="A739" s="84"/>
      <c r="B739" s="84"/>
      <c r="C739" s="84"/>
      <c r="D739" s="84"/>
      <c r="E739" s="84"/>
      <c r="F739" s="84"/>
    </row>
    <row r="740" ht="15.75" customHeight="1">
      <c r="A740" s="84"/>
      <c r="B740" s="84"/>
      <c r="C740" s="84"/>
      <c r="D740" s="84"/>
      <c r="E740" s="84"/>
      <c r="F740" s="84"/>
    </row>
    <row r="741" ht="15.75" customHeight="1">
      <c r="A741" s="84"/>
      <c r="B741" s="84"/>
      <c r="C741" s="84"/>
      <c r="D741" s="84"/>
      <c r="E741" s="84"/>
      <c r="F741" s="84"/>
    </row>
    <row r="742" ht="15.75" customHeight="1">
      <c r="A742" s="84"/>
      <c r="B742" s="84"/>
      <c r="C742" s="84"/>
      <c r="D742" s="84"/>
      <c r="E742" s="84"/>
      <c r="F742" s="84"/>
    </row>
    <row r="743" ht="15.75" customHeight="1">
      <c r="A743" s="84"/>
      <c r="B743" s="84"/>
      <c r="C743" s="84"/>
      <c r="D743" s="84"/>
      <c r="E743" s="84"/>
      <c r="F743" s="84"/>
    </row>
    <row r="744" ht="15.75" customHeight="1">
      <c r="A744" s="84"/>
      <c r="B744" s="84"/>
      <c r="C744" s="84"/>
      <c r="D744" s="84"/>
      <c r="E744" s="84"/>
      <c r="F744" s="84"/>
    </row>
    <row r="745" ht="15.75" customHeight="1">
      <c r="A745" s="84"/>
      <c r="B745" s="84"/>
      <c r="C745" s="84"/>
      <c r="D745" s="84"/>
      <c r="E745" s="84"/>
      <c r="F745" s="84"/>
    </row>
    <row r="746" ht="15.75" customHeight="1">
      <c r="A746" s="84"/>
      <c r="B746" s="84"/>
      <c r="C746" s="84"/>
      <c r="D746" s="84"/>
      <c r="E746" s="84"/>
      <c r="F746" s="84"/>
    </row>
    <row r="747" ht="15.75" customHeight="1">
      <c r="A747" s="84"/>
      <c r="B747" s="84"/>
      <c r="C747" s="84"/>
      <c r="D747" s="84"/>
      <c r="E747" s="84"/>
      <c r="F747" s="84"/>
    </row>
    <row r="748" ht="15.75" customHeight="1">
      <c r="A748" s="84"/>
      <c r="B748" s="84"/>
      <c r="C748" s="84"/>
      <c r="D748" s="84"/>
      <c r="E748" s="84"/>
      <c r="F748" s="84"/>
    </row>
    <row r="749" ht="15.75" customHeight="1">
      <c r="A749" s="84"/>
      <c r="B749" s="84"/>
      <c r="C749" s="84"/>
      <c r="D749" s="84"/>
      <c r="E749" s="84"/>
      <c r="F749" s="84"/>
    </row>
    <row r="750" ht="15.75" customHeight="1">
      <c r="A750" s="84"/>
      <c r="B750" s="84"/>
      <c r="C750" s="84"/>
      <c r="D750" s="84"/>
      <c r="E750" s="84"/>
      <c r="F750" s="84"/>
    </row>
    <row r="751" ht="15.75" customHeight="1">
      <c r="A751" s="84"/>
      <c r="B751" s="84"/>
      <c r="C751" s="84"/>
      <c r="D751" s="84"/>
      <c r="E751" s="84"/>
      <c r="F751" s="84"/>
    </row>
    <row r="752" ht="15.75" customHeight="1">
      <c r="A752" s="84"/>
      <c r="B752" s="84"/>
      <c r="C752" s="84"/>
      <c r="D752" s="84"/>
      <c r="E752" s="84"/>
      <c r="F752" s="84"/>
    </row>
    <row r="753" ht="15.75" customHeight="1">
      <c r="A753" s="84"/>
      <c r="B753" s="84"/>
      <c r="C753" s="84"/>
      <c r="D753" s="84"/>
      <c r="E753" s="84"/>
      <c r="F753" s="84"/>
    </row>
    <row r="754" ht="15.75" customHeight="1">
      <c r="A754" s="84"/>
      <c r="B754" s="84"/>
      <c r="C754" s="84"/>
      <c r="D754" s="84"/>
      <c r="E754" s="84"/>
      <c r="F754" s="84"/>
    </row>
    <row r="755" ht="15.75" customHeight="1">
      <c r="A755" s="84"/>
      <c r="B755" s="84"/>
      <c r="C755" s="84"/>
      <c r="D755" s="84"/>
      <c r="E755" s="84"/>
      <c r="F755" s="84"/>
    </row>
    <row r="756" ht="15.75" customHeight="1">
      <c r="A756" s="84"/>
      <c r="B756" s="84"/>
      <c r="C756" s="84"/>
      <c r="D756" s="84"/>
      <c r="E756" s="84"/>
      <c r="F756" s="84"/>
    </row>
    <row r="757" ht="15.75" customHeight="1">
      <c r="A757" s="84"/>
      <c r="B757" s="84"/>
      <c r="C757" s="84"/>
      <c r="D757" s="84"/>
      <c r="E757" s="84"/>
      <c r="F757" s="84"/>
    </row>
    <row r="758" ht="15.75" customHeight="1">
      <c r="A758" s="84"/>
      <c r="B758" s="84"/>
      <c r="C758" s="84"/>
      <c r="D758" s="84"/>
      <c r="E758" s="84"/>
      <c r="F758" s="84"/>
    </row>
    <row r="759" ht="15.75" customHeight="1">
      <c r="A759" s="84"/>
      <c r="B759" s="84"/>
      <c r="C759" s="84"/>
      <c r="D759" s="84"/>
      <c r="E759" s="84"/>
      <c r="F759" s="84"/>
    </row>
    <row r="760" ht="15.75" customHeight="1">
      <c r="A760" s="84"/>
      <c r="B760" s="84"/>
      <c r="C760" s="84"/>
      <c r="D760" s="84"/>
      <c r="E760" s="84"/>
      <c r="F760" s="84"/>
    </row>
    <row r="761" ht="15.75" customHeight="1">
      <c r="A761" s="84"/>
      <c r="B761" s="84"/>
      <c r="C761" s="84"/>
      <c r="D761" s="84"/>
      <c r="E761" s="84"/>
      <c r="F761" s="84"/>
    </row>
    <row r="762" ht="15.75" customHeight="1">
      <c r="A762" s="84"/>
      <c r="B762" s="84"/>
      <c r="C762" s="84"/>
      <c r="D762" s="84"/>
      <c r="E762" s="84"/>
      <c r="F762" s="84"/>
    </row>
    <row r="763" ht="15.75" customHeight="1">
      <c r="A763" s="84"/>
      <c r="B763" s="84"/>
      <c r="C763" s="84"/>
      <c r="D763" s="84"/>
      <c r="E763" s="84"/>
      <c r="F763" s="84"/>
    </row>
    <row r="764" ht="15.75" customHeight="1">
      <c r="A764" s="84"/>
      <c r="B764" s="84"/>
      <c r="C764" s="84"/>
      <c r="D764" s="84"/>
      <c r="E764" s="84"/>
      <c r="F764" s="84"/>
    </row>
    <row r="765" ht="15.75" customHeight="1">
      <c r="A765" s="84"/>
      <c r="B765" s="84"/>
      <c r="C765" s="84"/>
      <c r="D765" s="84"/>
      <c r="E765" s="84"/>
      <c r="F765" s="84"/>
    </row>
    <row r="766" ht="15.75" customHeight="1">
      <c r="A766" s="84"/>
      <c r="B766" s="84"/>
      <c r="C766" s="84"/>
      <c r="D766" s="84"/>
      <c r="E766" s="84"/>
      <c r="F766" s="84"/>
    </row>
    <row r="767" ht="15.75" customHeight="1">
      <c r="A767" s="84"/>
      <c r="B767" s="84"/>
      <c r="C767" s="84"/>
      <c r="D767" s="84"/>
      <c r="E767" s="84"/>
      <c r="F767" s="84"/>
    </row>
    <row r="768" ht="15.75" customHeight="1">
      <c r="A768" s="84"/>
      <c r="B768" s="84"/>
      <c r="C768" s="84"/>
      <c r="D768" s="84"/>
      <c r="E768" s="84"/>
      <c r="F768" s="84"/>
    </row>
    <row r="769" ht="15.75" customHeight="1">
      <c r="A769" s="84"/>
      <c r="B769" s="84"/>
      <c r="C769" s="84"/>
      <c r="D769" s="84"/>
      <c r="E769" s="84"/>
      <c r="F769" s="84"/>
    </row>
    <row r="770" ht="15.75" customHeight="1">
      <c r="A770" s="84"/>
      <c r="B770" s="84"/>
      <c r="C770" s="84"/>
      <c r="D770" s="84"/>
      <c r="E770" s="84"/>
      <c r="F770" s="84"/>
    </row>
    <row r="771" ht="15.75" customHeight="1">
      <c r="A771" s="84"/>
      <c r="B771" s="84"/>
      <c r="C771" s="84"/>
      <c r="D771" s="84"/>
      <c r="E771" s="84"/>
      <c r="F771" s="84"/>
    </row>
    <row r="772" ht="15.75" customHeight="1">
      <c r="A772" s="84"/>
      <c r="B772" s="84"/>
      <c r="C772" s="84"/>
      <c r="D772" s="84"/>
      <c r="E772" s="84"/>
      <c r="F772" s="84"/>
    </row>
    <row r="773" ht="15.75" customHeight="1">
      <c r="A773" s="84"/>
      <c r="B773" s="84"/>
      <c r="C773" s="84"/>
      <c r="D773" s="84"/>
      <c r="E773" s="84"/>
      <c r="F773" s="84"/>
    </row>
    <row r="774" ht="15.75" customHeight="1">
      <c r="A774" s="84"/>
      <c r="B774" s="84"/>
      <c r="C774" s="84"/>
      <c r="D774" s="84"/>
      <c r="E774" s="84"/>
      <c r="F774" s="84"/>
    </row>
    <row r="775" ht="15.75" customHeight="1">
      <c r="A775" s="84"/>
      <c r="B775" s="84"/>
      <c r="C775" s="84"/>
      <c r="D775" s="84"/>
      <c r="E775" s="84"/>
      <c r="F775" s="84"/>
    </row>
    <row r="776" ht="15.75" customHeight="1">
      <c r="A776" s="84"/>
      <c r="B776" s="84"/>
      <c r="C776" s="84"/>
      <c r="D776" s="84"/>
      <c r="E776" s="84"/>
      <c r="F776" s="84"/>
    </row>
    <row r="777" ht="15.75" customHeight="1">
      <c r="A777" s="84"/>
      <c r="B777" s="84"/>
      <c r="C777" s="84"/>
      <c r="D777" s="84"/>
      <c r="E777" s="84"/>
      <c r="F777" s="84"/>
    </row>
    <row r="778" ht="15.75" customHeight="1">
      <c r="A778" s="84"/>
      <c r="B778" s="84"/>
      <c r="C778" s="84"/>
      <c r="D778" s="84"/>
      <c r="E778" s="84"/>
      <c r="F778" s="84"/>
    </row>
    <row r="779" ht="15.75" customHeight="1">
      <c r="A779" s="84"/>
      <c r="B779" s="84"/>
      <c r="C779" s="84"/>
      <c r="D779" s="84"/>
      <c r="E779" s="84"/>
      <c r="F779" s="84"/>
    </row>
    <row r="780" ht="15.75" customHeight="1">
      <c r="A780" s="84"/>
      <c r="B780" s="84"/>
      <c r="C780" s="84"/>
      <c r="D780" s="84"/>
      <c r="E780" s="84"/>
      <c r="F780" s="84"/>
    </row>
    <row r="781" ht="15.75" customHeight="1">
      <c r="A781" s="84"/>
      <c r="B781" s="84"/>
      <c r="C781" s="84"/>
      <c r="D781" s="84"/>
      <c r="E781" s="84"/>
      <c r="F781" s="84"/>
    </row>
    <row r="782" ht="15.75" customHeight="1">
      <c r="A782" s="84"/>
      <c r="B782" s="84"/>
      <c r="C782" s="84"/>
      <c r="D782" s="84"/>
      <c r="E782" s="84"/>
      <c r="F782" s="84"/>
    </row>
    <row r="783" ht="15.75" customHeight="1">
      <c r="A783" s="84"/>
      <c r="B783" s="84"/>
      <c r="C783" s="84"/>
      <c r="D783" s="84"/>
      <c r="E783" s="84"/>
      <c r="F783" s="84"/>
    </row>
    <row r="784" ht="15.75" customHeight="1">
      <c r="A784" s="84"/>
      <c r="B784" s="84"/>
      <c r="C784" s="84"/>
      <c r="D784" s="84"/>
      <c r="E784" s="84"/>
      <c r="F784" s="84"/>
    </row>
    <row r="785" ht="15.75" customHeight="1">
      <c r="A785" s="84"/>
      <c r="B785" s="84"/>
      <c r="C785" s="84"/>
      <c r="D785" s="84"/>
      <c r="E785" s="84"/>
      <c r="F785" s="84"/>
    </row>
    <row r="786" ht="15.75" customHeight="1">
      <c r="A786" s="84"/>
      <c r="B786" s="84"/>
      <c r="C786" s="84"/>
      <c r="D786" s="84"/>
      <c r="E786" s="84"/>
      <c r="F786" s="84"/>
    </row>
    <row r="787" ht="15.75" customHeight="1">
      <c r="A787" s="84"/>
      <c r="B787" s="84"/>
      <c r="C787" s="84"/>
      <c r="D787" s="84"/>
      <c r="E787" s="84"/>
      <c r="F787" s="84"/>
    </row>
    <row r="788" ht="15.75" customHeight="1">
      <c r="A788" s="84"/>
      <c r="B788" s="84"/>
      <c r="C788" s="84"/>
      <c r="D788" s="84"/>
      <c r="E788" s="84"/>
      <c r="F788" s="84"/>
    </row>
    <row r="789" ht="15.75" customHeight="1">
      <c r="A789" s="84"/>
      <c r="B789" s="84"/>
      <c r="C789" s="84"/>
      <c r="D789" s="84"/>
      <c r="E789" s="84"/>
      <c r="F789" s="84"/>
    </row>
    <row r="790" ht="15.75" customHeight="1">
      <c r="A790" s="84"/>
      <c r="B790" s="84"/>
      <c r="C790" s="84"/>
      <c r="D790" s="84"/>
      <c r="E790" s="84"/>
      <c r="F790" s="84"/>
    </row>
    <row r="791" ht="15.75" customHeight="1">
      <c r="A791" s="84"/>
      <c r="B791" s="84"/>
      <c r="C791" s="84"/>
      <c r="D791" s="84"/>
      <c r="E791" s="84"/>
      <c r="F791" s="84"/>
    </row>
    <row r="792" ht="15.75" customHeight="1">
      <c r="A792" s="84"/>
      <c r="B792" s="84"/>
      <c r="C792" s="84"/>
      <c r="D792" s="84"/>
      <c r="E792" s="84"/>
      <c r="F792" s="84"/>
    </row>
    <row r="793" ht="15.75" customHeight="1">
      <c r="A793" s="84"/>
      <c r="B793" s="84"/>
      <c r="C793" s="84"/>
      <c r="D793" s="84"/>
      <c r="E793" s="84"/>
      <c r="F793" s="84"/>
    </row>
    <row r="794" ht="15.75" customHeight="1">
      <c r="A794" s="84"/>
      <c r="B794" s="84"/>
      <c r="C794" s="84"/>
      <c r="D794" s="84"/>
      <c r="E794" s="84"/>
      <c r="F794" s="84"/>
    </row>
    <row r="795" ht="15.75" customHeight="1">
      <c r="A795" s="84"/>
      <c r="B795" s="84"/>
      <c r="C795" s="84"/>
      <c r="D795" s="84"/>
      <c r="E795" s="84"/>
      <c r="F795" s="84"/>
    </row>
    <row r="796" ht="15.75" customHeight="1">
      <c r="A796" s="84"/>
      <c r="B796" s="84"/>
      <c r="C796" s="84"/>
      <c r="D796" s="84"/>
      <c r="E796" s="84"/>
      <c r="F796" s="84"/>
    </row>
    <row r="797" ht="15.75" customHeight="1">
      <c r="A797" s="84"/>
      <c r="B797" s="84"/>
      <c r="C797" s="84"/>
      <c r="D797" s="84"/>
      <c r="E797" s="84"/>
      <c r="F797" s="84"/>
    </row>
    <row r="798" ht="15.75" customHeight="1">
      <c r="A798" s="84"/>
      <c r="B798" s="84"/>
      <c r="C798" s="84"/>
      <c r="D798" s="84"/>
      <c r="E798" s="84"/>
      <c r="F798" s="84"/>
    </row>
    <row r="799" ht="15.75" customHeight="1">
      <c r="A799" s="84"/>
      <c r="B799" s="84"/>
      <c r="C799" s="84"/>
      <c r="D799" s="84"/>
      <c r="E799" s="84"/>
      <c r="F799" s="84"/>
    </row>
    <row r="800" ht="15.75" customHeight="1">
      <c r="A800" s="84"/>
      <c r="B800" s="84"/>
      <c r="C800" s="84"/>
      <c r="D800" s="84"/>
      <c r="E800" s="84"/>
      <c r="F800" s="84"/>
    </row>
    <row r="801" ht="15.75" customHeight="1">
      <c r="A801" s="84"/>
      <c r="B801" s="84"/>
      <c r="C801" s="84"/>
      <c r="D801" s="84"/>
      <c r="E801" s="84"/>
      <c r="F801" s="84"/>
    </row>
    <row r="802" ht="15.75" customHeight="1">
      <c r="A802" s="84"/>
      <c r="B802" s="84"/>
      <c r="C802" s="84"/>
      <c r="D802" s="84"/>
      <c r="E802" s="84"/>
      <c r="F802" s="84"/>
    </row>
    <row r="803" ht="15.75" customHeight="1">
      <c r="A803" s="84"/>
      <c r="B803" s="84"/>
      <c r="C803" s="84"/>
      <c r="D803" s="84"/>
      <c r="E803" s="84"/>
      <c r="F803" s="84"/>
    </row>
    <row r="804" ht="15.75" customHeight="1">
      <c r="A804" s="84"/>
      <c r="B804" s="84"/>
      <c r="C804" s="84"/>
      <c r="D804" s="84"/>
      <c r="E804" s="84"/>
      <c r="F804" s="84"/>
    </row>
    <row r="805" ht="15.75" customHeight="1">
      <c r="A805" s="84"/>
      <c r="B805" s="84"/>
      <c r="C805" s="84"/>
      <c r="D805" s="84"/>
      <c r="E805" s="84"/>
      <c r="F805" s="84"/>
    </row>
    <row r="806" ht="15.75" customHeight="1">
      <c r="A806" s="84"/>
      <c r="B806" s="84"/>
      <c r="C806" s="84"/>
      <c r="D806" s="84"/>
      <c r="E806" s="84"/>
      <c r="F806" s="84"/>
    </row>
    <row r="807" ht="15.75" customHeight="1">
      <c r="A807" s="84"/>
      <c r="B807" s="84"/>
      <c r="C807" s="84"/>
      <c r="D807" s="84"/>
      <c r="E807" s="84"/>
      <c r="F807" s="84"/>
    </row>
    <row r="808" ht="15.75" customHeight="1">
      <c r="A808" s="84"/>
      <c r="B808" s="84"/>
      <c r="C808" s="84"/>
      <c r="D808" s="84"/>
      <c r="E808" s="84"/>
      <c r="F808" s="84"/>
    </row>
    <row r="809" ht="15.75" customHeight="1">
      <c r="A809" s="84"/>
      <c r="B809" s="84"/>
      <c r="C809" s="84"/>
      <c r="D809" s="84"/>
      <c r="E809" s="84"/>
      <c r="F809" s="84"/>
    </row>
    <row r="810" ht="15.75" customHeight="1">
      <c r="A810" s="84"/>
      <c r="B810" s="84"/>
      <c r="C810" s="84"/>
      <c r="D810" s="84"/>
      <c r="E810" s="84"/>
      <c r="F810" s="84"/>
    </row>
    <row r="811" ht="15.75" customHeight="1">
      <c r="A811" s="84"/>
      <c r="B811" s="84"/>
      <c r="C811" s="84"/>
      <c r="D811" s="84"/>
      <c r="E811" s="84"/>
      <c r="F811" s="84"/>
    </row>
    <row r="812" ht="15.75" customHeight="1">
      <c r="A812" s="84"/>
      <c r="B812" s="84"/>
      <c r="C812" s="84"/>
      <c r="D812" s="84"/>
      <c r="E812" s="84"/>
      <c r="F812" s="84"/>
    </row>
    <row r="813" ht="15.75" customHeight="1">
      <c r="A813" s="84"/>
      <c r="B813" s="84"/>
      <c r="C813" s="84"/>
      <c r="D813" s="84"/>
      <c r="E813" s="84"/>
      <c r="F813" s="84"/>
    </row>
    <row r="814" ht="15.75" customHeight="1">
      <c r="A814" s="84"/>
      <c r="B814" s="84"/>
      <c r="C814" s="84"/>
      <c r="D814" s="84"/>
      <c r="E814" s="84"/>
      <c r="F814" s="84"/>
    </row>
    <row r="815" ht="15.75" customHeight="1">
      <c r="A815" s="84"/>
      <c r="B815" s="84"/>
      <c r="C815" s="84"/>
      <c r="D815" s="84"/>
      <c r="E815" s="84"/>
      <c r="F815" s="84"/>
    </row>
    <row r="816" ht="15.75" customHeight="1">
      <c r="A816" s="84"/>
      <c r="B816" s="84"/>
      <c r="C816" s="84"/>
      <c r="D816" s="84"/>
      <c r="E816" s="84"/>
      <c r="F816" s="84"/>
    </row>
    <row r="817" ht="15.75" customHeight="1">
      <c r="A817" s="84"/>
      <c r="B817" s="84"/>
      <c r="C817" s="84"/>
      <c r="D817" s="84"/>
      <c r="E817" s="84"/>
      <c r="F817" s="84"/>
    </row>
    <row r="818" ht="15.75" customHeight="1">
      <c r="A818" s="84"/>
      <c r="B818" s="84"/>
      <c r="C818" s="84"/>
      <c r="D818" s="84"/>
      <c r="E818" s="84"/>
      <c r="F818" s="84"/>
    </row>
    <row r="819" ht="15.75" customHeight="1">
      <c r="A819" s="84"/>
      <c r="B819" s="84"/>
      <c r="C819" s="84"/>
      <c r="D819" s="84"/>
      <c r="E819" s="84"/>
      <c r="F819" s="84"/>
    </row>
    <row r="820" ht="15.75" customHeight="1">
      <c r="A820" s="84"/>
      <c r="B820" s="84"/>
      <c r="C820" s="84"/>
      <c r="D820" s="84"/>
      <c r="E820" s="84"/>
      <c r="F820" s="84"/>
    </row>
    <row r="821" ht="15.75" customHeight="1">
      <c r="A821" s="84"/>
      <c r="B821" s="84"/>
      <c r="C821" s="84"/>
      <c r="D821" s="84"/>
      <c r="E821" s="84"/>
      <c r="F821" s="84"/>
    </row>
    <row r="822" ht="15.75" customHeight="1">
      <c r="A822" s="84"/>
      <c r="B822" s="84"/>
      <c r="C822" s="84"/>
      <c r="D822" s="84"/>
      <c r="E822" s="84"/>
      <c r="F822" s="84"/>
    </row>
    <row r="823" ht="15.75" customHeight="1">
      <c r="A823" s="84"/>
      <c r="B823" s="84"/>
      <c r="C823" s="84"/>
      <c r="D823" s="84"/>
      <c r="E823" s="84"/>
      <c r="F823" s="84"/>
    </row>
    <row r="824" ht="15.75" customHeight="1">
      <c r="A824" s="84"/>
      <c r="B824" s="84"/>
      <c r="C824" s="84"/>
      <c r="D824" s="84"/>
      <c r="E824" s="84"/>
      <c r="F824" s="84"/>
    </row>
    <row r="825" ht="15.75" customHeight="1">
      <c r="A825" s="84"/>
      <c r="B825" s="84"/>
      <c r="C825" s="84"/>
      <c r="D825" s="84"/>
      <c r="E825" s="84"/>
      <c r="F825" s="84"/>
    </row>
    <row r="826" ht="15.75" customHeight="1">
      <c r="A826" s="84"/>
      <c r="B826" s="84"/>
      <c r="C826" s="84"/>
      <c r="D826" s="84"/>
      <c r="E826" s="84"/>
      <c r="F826" s="84"/>
    </row>
    <row r="827" ht="15.75" customHeight="1">
      <c r="A827" s="84"/>
      <c r="B827" s="84"/>
      <c r="C827" s="84"/>
      <c r="D827" s="84"/>
      <c r="E827" s="84"/>
      <c r="F827" s="84"/>
    </row>
    <row r="828" ht="15.75" customHeight="1">
      <c r="A828" s="84"/>
      <c r="B828" s="84"/>
      <c r="C828" s="84"/>
      <c r="D828" s="84"/>
      <c r="E828" s="84"/>
      <c r="F828" s="84"/>
    </row>
    <row r="829" ht="15.75" customHeight="1">
      <c r="A829" s="84"/>
      <c r="B829" s="84"/>
      <c r="C829" s="84"/>
      <c r="D829" s="84"/>
      <c r="E829" s="84"/>
      <c r="F829" s="84"/>
    </row>
    <row r="830" ht="15.75" customHeight="1">
      <c r="A830" s="84"/>
      <c r="B830" s="84"/>
      <c r="C830" s="84"/>
      <c r="D830" s="84"/>
      <c r="E830" s="84"/>
      <c r="F830" s="84"/>
    </row>
    <row r="831" ht="15.75" customHeight="1">
      <c r="A831" s="84"/>
      <c r="B831" s="84"/>
      <c r="C831" s="84"/>
      <c r="D831" s="84"/>
      <c r="E831" s="84"/>
      <c r="F831" s="84"/>
    </row>
    <row r="832" ht="15.75" customHeight="1">
      <c r="A832" s="84"/>
      <c r="B832" s="84"/>
      <c r="C832" s="84"/>
      <c r="D832" s="84"/>
      <c r="E832" s="84"/>
      <c r="F832" s="84"/>
    </row>
    <row r="833" ht="15.75" customHeight="1">
      <c r="A833" s="84"/>
      <c r="B833" s="84"/>
      <c r="C833" s="84"/>
      <c r="D833" s="84"/>
      <c r="E833" s="84"/>
      <c r="F833" s="84"/>
    </row>
    <row r="834" ht="15.75" customHeight="1">
      <c r="A834" s="84"/>
      <c r="B834" s="84"/>
      <c r="C834" s="84"/>
      <c r="D834" s="84"/>
      <c r="E834" s="84"/>
      <c r="F834" s="84"/>
    </row>
    <row r="835" ht="15.75" customHeight="1">
      <c r="A835" s="84"/>
      <c r="B835" s="84"/>
      <c r="C835" s="84"/>
      <c r="D835" s="84"/>
      <c r="E835" s="84"/>
      <c r="F835" s="84"/>
    </row>
    <row r="836" ht="15.75" customHeight="1">
      <c r="A836" s="84"/>
      <c r="B836" s="84"/>
      <c r="C836" s="84"/>
      <c r="D836" s="84"/>
      <c r="E836" s="84"/>
      <c r="F836" s="84"/>
    </row>
    <row r="837" ht="15.75" customHeight="1">
      <c r="A837" s="84"/>
      <c r="B837" s="84"/>
      <c r="C837" s="84"/>
      <c r="D837" s="84"/>
      <c r="E837" s="84"/>
      <c r="F837" s="84"/>
    </row>
    <row r="838" ht="15.75" customHeight="1">
      <c r="A838" s="84"/>
      <c r="B838" s="84"/>
      <c r="C838" s="84"/>
      <c r="D838" s="84"/>
      <c r="E838" s="84"/>
      <c r="F838" s="84"/>
    </row>
    <row r="839" ht="15.75" customHeight="1">
      <c r="A839" s="84"/>
      <c r="B839" s="84"/>
      <c r="C839" s="84"/>
      <c r="D839" s="84"/>
      <c r="E839" s="84"/>
      <c r="F839" s="84"/>
    </row>
    <row r="840" ht="15.75" customHeight="1">
      <c r="A840" s="84"/>
      <c r="B840" s="84"/>
      <c r="C840" s="84"/>
      <c r="D840" s="84"/>
      <c r="E840" s="84"/>
      <c r="F840" s="84"/>
    </row>
    <row r="841" ht="15.75" customHeight="1">
      <c r="A841" s="84"/>
      <c r="B841" s="84"/>
      <c r="C841" s="84"/>
      <c r="D841" s="84"/>
      <c r="E841" s="84"/>
      <c r="F841" s="84"/>
    </row>
    <row r="842" ht="15.75" customHeight="1">
      <c r="A842" s="84"/>
      <c r="B842" s="84"/>
      <c r="C842" s="84"/>
      <c r="D842" s="84"/>
      <c r="E842" s="84"/>
      <c r="F842" s="84"/>
    </row>
    <row r="843" ht="15.75" customHeight="1">
      <c r="A843" s="84"/>
      <c r="B843" s="84"/>
      <c r="C843" s="84"/>
      <c r="D843" s="84"/>
      <c r="E843" s="84"/>
      <c r="F843" s="84"/>
    </row>
    <row r="844" ht="15.75" customHeight="1">
      <c r="A844" s="84"/>
      <c r="B844" s="84"/>
      <c r="C844" s="84"/>
      <c r="D844" s="84"/>
      <c r="E844" s="84"/>
      <c r="F844" s="84"/>
    </row>
    <row r="845" ht="15.75" customHeight="1">
      <c r="A845" s="84"/>
      <c r="B845" s="84"/>
      <c r="C845" s="84"/>
      <c r="D845" s="84"/>
      <c r="E845" s="84"/>
      <c r="F845" s="84"/>
    </row>
    <row r="846" ht="15.75" customHeight="1">
      <c r="A846" s="84"/>
      <c r="B846" s="84"/>
      <c r="C846" s="84"/>
      <c r="D846" s="84"/>
      <c r="E846" s="84"/>
      <c r="F846" s="84"/>
    </row>
    <row r="847" ht="15.75" customHeight="1">
      <c r="A847" s="84"/>
      <c r="B847" s="84"/>
      <c r="C847" s="84"/>
      <c r="D847" s="84"/>
      <c r="E847" s="84"/>
      <c r="F847" s="84"/>
    </row>
    <row r="848" ht="15.75" customHeight="1">
      <c r="A848" s="84"/>
      <c r="B848" s="84"/>
      <c r="C848" s="84"/>
      <c r="D848" s="84"/>
      <c r="E848" s="84"/>
      <c r="F848" s="84"/>
    </row>
    <row r="849" ht="15.75" customHeight="1">
      <c r="A849" s="84"/>
      <c r="B849" s="84"/>
      <c r="C849" s="84"/>
      <c r="D849" s="84"/>
      <c r="E849" s="84"/>
      <c r="F849" s="84"/>
    </row>
    <row r="850" ht="15.75" customHeight="1">
      <c r="A850" s="84"/>
      <c r="B850" s="84"/>
      <c r="C850" s="84"/>
      <c r="D850" s="84"/>
      <c r="E850" s="84"/>
      <c r="F850" s="84"/>
    </row>
    <row r="851" ht="15.75" customHeight="1">
      <c r="A851" s="84"/>
      <c r="B851" s="84"/>
      <c r="C851" s="84"/>
      <c r="D851" s="84"/>
      <c r="E851" s="84"/>
      <c r="F851" s="84"/>
    </row>
    <row r="852" ht="15.75" customHeight="1">
      <c r="A852" s="84"/>
      <c r="B852" s="84"/>
      <c r="C852" s="84"/>
      <c r="D852" s="84"/>
      <c r="E852" s="84"/>
      <c r="F852" s="84"/>
    </row>
    <row r="853" ht="15.75" customHeight="1">
      <c r="A853" s="84"/>
      <c r="B853" s="84"/>
      <c r="C853" s="84"/>
      <c r="D853" s="84"/>
      <c r="E853" s="84"/>
      <c r="F853" s="84"/>
    </row>
    <row r="854" ht="15.75" customHeight="1">
      <c r="A854" s="84"/>
      <c r="B854" s="84"/>
      <c r="C854" s="84"/>
      <c r="D854" s="84"/>
      <c r="E854" s="84"/>
      <c r="F854" s="84"/>
    </row>
    <row r="855" ht="15.75" customHeight="1">
      <c r="A855" s="84"/>
      <c r="B855" s="84"/>
      <c r="C855" s="84"/>
      <c r="D855" s="84"/>
      <c r="E855" s="84"/>
      <c r="F855" s="84"/>
    </row>
    <row r="856" ht="15.75" customHeight="1">
      <c r="A856" s="84"/>
      <c r="B856" s="84"/>
      <c r="C856" s="84"/>
      <c r="D856" s="84"/>
      <c r="E856" s="84"/>
      <c r="F856" s="84"/>
    </row>
    <row r="857" ht="15.75" customHeight="1">
      <c r="A857" s="84"/>
      <c r="B857" s="84"/>
      <c r="C857" s="84"/>
      <c r="D857" s="84"/>
      <c r="E857" s="84"/>
      <c r="F857" s="84"/>
    </row>
    <row r="858" ht="15.75" customHeight="1">
      <c r="A858" s="84"/>
      <c r="B858" s="84"/>
      <c r="C858" s="84"/>
      <c r="D858" s="84"/>
      <c r="E858" s="84"/>
      <c r="F858" s="84"/>
    </row>
    <row r="859" ht="15.75" customHeight="1">
      <c r="A859" s="84"/>
      <c r="B859" s="84"/>
      <c r="C859" s="84"/>
      <c r="D859" s="84"/>
      <c r="E859" s="84"/>
      <c r="F859" s="84"/>
    </row>
    <row r="860" ht="15.75" customHeight="1">
      <c r="A860" s="84"/>
      <c r="B860" s="84"/>
      <c r="C860" s="84"/>
      <c r="D860" s="84"/>
      <c r="E860" s="84"/>
      <c r="F860" s="84"/>
    </row>
    <row r="861" ht="15.75" customHeight="1">
      <c r="A861" s="84"/>
      <c r="B861" s="84"/>
      <c r="C861" s="84"/>
      <c r="D861" s="84"/>
      <c r="E861" s="84"/>
      <c r="F861" s="84"/>
    </row>
    <row r="862" ht="15.75" customHeight="1">
      <c r="A862" s="84"/>
      <c r="B862" s="84"/>
      <c r="C862" s="84"/>
      <c r="D862" s="84"/>
      <c r="E862" s="84"/>
      <c r="F862" s="84"/>
    </row>
    <row r="863" ht="15.75" customHeight="1">
      <c r="A863" s="84"/>
      <c r="B863" s="84"/>
      <c r="C863" s="84"/>
      <c r="D863" s="84"/>
      <c r="E863" s="84"/>
      <c r="F863" s="84"/>
    </row>
    <row r="864" ht="15.75" customHeight="1">
      <c r="A864" s="84"/>
      <c r="B864" s="84"/>
      <c r="C864" s="84"/>
      <c r="D864" s="84"/>
      <c r="E864" s="84"/>
      <c r="F864" s="84"/>
    </row>
    <row r="865" ht="15.75" customHeight="1">
      <c r="A865" s="84"/>
      <c r="B865" s="84"/>
      <c r="C865" s="84"/>
      <c r="D865" s="84"/>
      <c r="E865" s="84"/>
      <c r="F865" s="84"/>
    </row>
    <row r="866" ht="15.75" customHeight="1">
      <c r="A866" s="84"/>
      <c r="B866" s="84"/>
      <c r="C866" s="84"/>
      <c r="D866" s="84"/>
      <c r="E866" s="84"/>
      <c r="F866" s="84"/>
    </row>
    <row r="867" ht="15.75" customHeight="1">
      <c r="A867" s="84"/>
      <c r="B867" s="84"/>
      <c r="C867" s="84"/>
      <c r="D867" s="84"/>
      <c r="E867" s="84"/>
      <c r="F867" s="84"/>
    </row>
    <row r="868" ht="15.75" customHeight="1">
      <c r="A868" s="84"/>
      <c r="B868" s="84"/>
      <c r="C868" s="84"/>
      <c r="D868" s="84"/>
      <c r="E868" s="84"/>
      <c r="F868" s="84"/>
    </row>
    <row r="869" ht="15.75" customHeight="1">
      <c r="A869" s="84"/>
      <c r="B869" s="84"/>
      <c r="C869" s="84"/>
      <c r="D869" s="84"/>
      <c r="E869" s="84"/>
      <c r="F869" s="84"/>
    </row>
    <row r="870" ht="15.75" customHeight="1">
      <c r="A870" s="84"/>
      <c r="B870" s="84"/>
      <c r="C870" s="84"/>
      <c r="D870" s="84"/>
      <c r="E870" s="84"/>
      <c r="F870" s="84"/>
    </row>
    <row r="871" ht="15.75" customHeight="1">
      <c r="A871" s="84"/>
      <c r="B871" s="84"/>
      <c r="C871" s="84"/>
      <c r="D871" s="84"/>
      <c r="E871" s="84"/>
      <c r="F871" s="84"/>
    </row>
    <row r="872" ht="15.75" customHeight="1">
      <c r="A872" s="84"/>
      <c r="B872" s="84"/>
      <c r="C872" s="84"/>
      <c r="D872" s="84"/>
      <c r="E872" s="84"/>
      <c r="F872" s="84"/>
    </row>
    <row r="873" ht="15.75" customHeight="1">
      <c r="A873" s="84"/>
      <c r="B873" s="84"/>
      <c r="C873" s="84"/>
      <c r="D873" s="84"/>
      <c r="E873" s="84"/>
      <c r="F873" s="84"/>
    </row>
    <row r="874" ht="15.75" customHeight="1">
      <c r="A874" s="84"/>
      <c r="B874" s="84"/>
      <c r="C874" s="84"/>
      <c r="D874" s="84"/>
      <c r="E874" s="84"/>
      <c r="F874" s="84"/>
    </row>
    <row r="875" ht="15.75" customHeight="1">
      <c r="A875" s="84"/>
      <c r="B875" s="84"/>
      <c r="C875" s="84"/>
      <c r="D875" s="84"/>
      <c r="E875" s="84"/>
      <c r="F875" s="84"/>
    </row>
    <row r="876" ht="15.75" customHeight="1">
      <c r="A876" s="84"/>
      <c r="B876" s="84"/>
      <c r="C876" s="84"/>
      <c r="D876" s="84"/>
      <c r="E876" s="84"/>
      <c r="F876" s="84"/>
    </row>
    <row r="877" ht="15.75" customHeight="1">
      <c r="A877" s="84"/>
      <c r="B877" s="84"/>
      <c r="C877" s="84"/>
      <c r="D877" s="84"/>
      <c r="E877" s="84"/>
      <c r="F877" s="84"/>
    </row>
    <row r="878" ht="15.75" customHeight="1">
      <c r="A878" s="84"/>
      <c r="B878" s="84"/>
      <c r="C878" s="84"/>
      <c r="D878" s="84"/>
      <c r="E878" s="84"/>
      <c r="F878" s="84"/>
    </row>
    <row r="879" ht="15.75" customHeight="1">
      <c r="A879" s="84"/>
      <c r="B879" s="84"/>
      <c r="C879" s="84"/>
      <c r="D879" s="84"/>
      <c r="E879" s="84"/>
      <c r="F879" s="84"/>
    </row>
    <row r="880" ht="15.75" customHeight="1">
      <c r="A880" s="84"/>
      <c r="B880" s="84"/>
      <c r="C880" s="84"/>
      <c r="D880" s="84"/>
      <c r="E880" s="84"/>
      <c r="F880" s="84"/>
    </row>
    <row r="881" ht="15.75" customHeight="1">
      <c r="A881" s="84"/>
      <c r="B881" s="84"/>
      <c r="C881" s="84"/>
      <c r="D881" s="84"/>
      <c r="E881" s="84"/>
      <c r="F881" s="84"/>
    </row>
    <row r="882" ht="15.75" customHeight="1">
      <c r="A882" s="84"/>
      <c r="B882" s="84"/>
      <c r="C882" s="84"/>
      <c r="D882" s="84"/>
      <c r="E882" s="84"/>
      <c r="F882" s="84"/>
    </row>
    <row r="883" ht="15.75" customHeight="1">
      <c r="A883" s="84"/>
      <c r="B883" s="84"/>
      <c r="C883" s="84"/>
      <c r="D883" s="84"/>
      <c r="E883" s="84"/>
      <c r="F883" s="84"/>
    </row>
    <row r="884" ht="15.75" customHeight="1">
      <c r="A884" s="84"/>
      <c r="B884" s="84"/>
      <c r="C884" s="84"/>
      <c r="D884" s="84"/>
      <c r="E884" s="84"/>
      <c r="F884" s="84"/>
    </row>
    <row r="885" ht="15.75" customHeight="1">
      <c r="A885" s="84"/>
      <c r="B885" s="84"/>
      <c r="C885" s="84"/>
      <c r="D885" s="84"/>
      <c r="E885" s="84"/>
      <c r="F885" s="84"/>
    </row>
    <row r="886" ht="15.75" customHeight="1">
      <c r="A886" s="84"/>
      <c r="B886" s="84"/>
      <c r="C886" s="84"/>
      <c r="D886" s="84"/>
      <c r="E886" s="84"/>
      <c r="F886" s="84"/>
    </row>
    <row r="887" ht="15.75" customHeight="1">
      <c r="A887" s="84"/>
      <c r="B887" s="84"/>
      <c r="C887" s="84"/>
      <c r="D887" s="84"/>
      <c r="E887" s="84"/>
      <c r="F887" s="84"/>
    </row>
    <row r="888" ht="15.75" customHeight="1">
      <c r="A888" s="84"/>
      <c r="B888" s="84"/>
      <c r="C888" s="84"/>
      <c r="D888" s="84"/>
      <c r="E888" s="84"/>
      <c r="F888" s="84"/>
    </row>
    <row r="889" ht="15.75" customHeight="1">
      <c r="A889" s="84"/>
      <c r="B889" s="84"/>
      <c r="C889" s="84"/>
      <c r="D889" s="84"/>
      <c r="E889" s="84"/>
      <c r="F889" s="84"/>
    </row>
    <row r="890" ht="15.75" customHeight="1">
      <c r="A890" s="84"/>
      <c r="B890" s="84"/>
      <c r="C890" s="84"/>
      <c r="D890" s="84"/>
      <c r="E890" s="84"/>
      <c r="F890" s="84"/>
    </row>
    <row r="891" ht="15.75" customHeight="1">
      <c r="A891" s="84"/>
      <c r="B891" s="84"/>
      <c r="C891" s="84"/>
      <c r="D891" s="84"/>
      <c r="E891" s="84"/>
      <c r="F891" s="84"/>
    </row>
    <row r="892" ht="15.75" customHeight="1">
      <c r="A892" s="84"/>
      <c r="B892" s="84"/>
      <c r="C892" s="84"/>
      <c r="D892" s="84"/>
      <c r="E892" s="84"/>
      <c r="F892" s="84"/>
    </row>
    <row r="893" ht="15.75" customHeight="1">
      <c r="A893" s="84"/>
      <c r="B893" s="84"/>
      <c r="C893" s="84"/>
      <c r="D893" s="84"/>
      <c r="E893" s="84"/>
      <c r="F893" s="84"/>
    </row>
    <row r="894" ht="15.75" customHeight="1">
      <c r="A894" s="84"/>
      <c r="B894" s="84"/>
      <c r="C894" s="84"/>
      <c r="D894" s="84"/>
      <c r="E894" s="84"/>
      <c r="F894" s="84"/>
    </row>
    <row r="895" ht="15.75" customHeight="1">
      <c r="A895" s="84"/>
      <c r="B895" s="84"/>
      <c r="C895" s="84"/>
      <c r="D895" s="84"/>
      <c r="E895" s="84"/>
      <c r="F895" s="84"/>
    </row>
    <row r="896" ht="15.75" customHeight="1">
      <c r="A896" s="84"/>
      <c r="B896" s="84"/>
      <c r="C896" s="84"/>
      <c r="D896" s="84"/>
      <c r="E896" s="84"/>
      <c r="F896" s="84"/>
    </row>
    <row r="897" ht="15.75" customHeight="1">
      <c r="A897" s="84"/>
      <c r="B897" s="84"/>
      <c r="C897" s="84"/>
      <c r="D897" s="84"/>
      <c r="E897" s="84"/>
      <c r="F897" s="84"/>
    </row>
    <row r="898" ht="15.75" customHeight="1">
      <c r="A898" s="84"/>
      <c r="B898" s="84"/>
      <c r="C898" s="84"/>
      <c r="D898" s="84"/>
      <c r="E898" s="84"/>
      <c r="F898" s="84"/>
    </row>
    <row r="899" ht="15.75" customHeight="1">
      <c r="A899" s="84"/>
      <c r="B899" s="84"/>
      <c r="C899" s="84"/>
      <c r="D899" s="84"/>
      <c r="E899" s="84"/>
      <c r="F899" s="84"/>
    </row>
    <row r="900" ht="15.75" customHeight="1">
      <c r="A900" s="84"/>
      <c r="B900" s="84"/>
      <c r="C900" s="84"/>
      <c r="D900" s="84"/>
      <c r="E900" s="84"/>
      <c r="F900" s="84"/>
    </row>
    <row r="901" ht="15.75" customHeight="1">
      <c r="A901" s="84"/>
      <c r="B901" s="84"/>
      <c r="C901" s="84"/>
      <c r="D901" s="84"/>
      <c r="E901" s="84"/>
      <c r="F901" s="84"/>
    </row>
    <row r="902" ht="15.75" customHeight="1">
      <c r="A902" s="84"/>
      <c r="B902" s="84"/>
      <c r="C902" s="84"/>
      <c r="D902" s="84"/>
      <c r="E902" s="84"/>
      <c r="F902" s="84"/>
    </row>
    <row r="903" ht="15.75" customHeight="1">
      <c r="A903" s="84"/>
      <c r="B903" s="84"/>
      <c r="C903" s="84"/>
      <c r="D903" s="84"/>
      <c r="E903" s="84"/>
      <c r="F903" s="84"/>
    </row>
    <row r="904" ht="15.75" customHeight="1">
      <c r="A904" s="84"/>
      <c r="B904" s="84"/>
      <c r="C904" s="84"/>
      <c r="D904" s="84"/>
      <c r="E904" s="84"/>
      <c r="F904" s="84"/>
    </row>
    <row r="905" ht="15.75" customHeight="1">
      <c r="A905" s="84"/>
      <c r="B905" s="84"/>
      <c r="C905" s="84"/>
      <c r="D905" s="84"/>
      <c r="E905" s="84"/>
      <c r="F905" s="84"/>
    </row>
    <row r="906" ht="15.75" customHeight="1">
      <c r="A906" s="84"/>
      <c r="B906" s="84"/>
      <c r="C906" s="84"/>
      <c r="D906" s="84"/>
      <c r="E906" s="84"/>
      <c r="F906" s="84"/>
    </row>
    <row r="907" ht="15.75" customHeight="1">
      <c r="A907" s="84"/>
      <c r="B907" s="84"/>
      <c r="C907" s="84"/>
      <c r="D907" s="84"/>
      <c r="E907" s="84"/>
      <c r="F907" s="84"/>
    </row>
    <row r="908" ht="15.75" customHeight="1">
      <c r="A908" s="84"/>
      <c r="B908" s="84"/>
      <c r="C908" s="84"/>
      <c r="D908" s="84"/>
      <c r="E908" s="84"/>
      <c r="F908" s="84"/>
    </row>
    <row r="909" ht="15.75" customHeight="1">
      <c r="A909" s="84"/>
      <c r="B909" s="84"/>
      <c r="C909" s="84"/>
      <c r="D909" s="84"/>
      <c r="E909" s="84"/>
      <c r="F909" s="84"/>
    </row>
    <row r="910" ht="15.75" customHeight="1">
      <c r="A910" s="84"/>
      <c r="B910" s="84"/>
      <c r="C910" s="84"/>
      <c r="D910" s="84"/>
      <c r="E910" s="84"/>
      <c r="F910" s="84"/>
    </row>
    <row r="911" ht="15.75" customHeight="1">
      <c r="A911" s="84"/>
      <c r="B911" s="84"/>
      <c r="C911" s="84"/>
      <c r="D911" s="84"/>
      <c r="E911" s="84"/>
      <c r="F911" s="84"/>
    </row>
    <row r="912" ht="15.75" customHeight="1">
      <c r="A912" s="84"/>
      <c r="B912" s="84"/>
      <c r="C912" s="84"/>
      <c r="D912" s="84"/>
      <c r="E912" s="84"/>
      <c r="F912" s="84"/>
    </row>
    <row r="913" ht="15.75" customHeight="1">
      <c r="A913" s="84"/>
      <c r="B913" s="84"/>
      <c r="C913" s="84"/>
      <c r="D913" s="84"/>
      <c r="E913" s="84"/>
      <c r="F913" s="84"/>
    </row>
    <row r="914" ht="15.75" customHeight="1">
      <c r="A914" s="84"/>
      <c r="B914" s="84"/>
      <c r="C914" s="84"/>
      <c r="D914" s="84"/>
      <c r="E914" s="84"/>
      <c r="F914" s="84"/>
    </row>
    <row r="915" ht="15.75" customHeight="1">
      <c r="A915" s="84"/>
      <c r="B915" s="84"/>
      <c r="C915" s="84"/>
      <c r="D915" s="84"/>
      <c r="E915" s="84"/>
      <c r="F915" s="84"/>
    </row>
    <row r="916" ht="15.75" customHeight="1">
      <c r="A916" s="84"/>
      <c r="B916" s="84"/>
      <c r="C916" s="84"/>
      <c r="D916" s="84"/>
      <c r="E916" s="84"/>
      <c r="F916" s="84"/>
    </row>
    <row r="917" ht="15.75" customHeight="1">
      <c r="A917" s="84"/>
      <c r="B917" s="84"/>
      <c r="C917" s="84"/>
      <c r="D917" s="84"/>
      <c r="E917" s="84"/>
      <c r="F917" s="84"/>
    </row>
    <row r="918" ht="15.75" customHeight="1">
      <c r="A918" s="84"/>
      <c r="B918" s="84"/>
      <c r="C918" s="84"/>
      <c r="D918" s="84"/>
      <c r="E918" s="84"/>
      <c r="F918" s="84"/>
    </row>
    <row r="919" ht="15.75" customHeight="1">
      <c r="A919" s="84"/>
      <c r="B919" s="84"/>
      <c r="C919" s="84"/>
      <c r="D919" s="84"/>
      <c r="E919" s="84"/>
      <c r="F919" s="84"/>
    </row>
    <row r="920" ht="15.75" customHeight="1">
      <c r="A920" s="84"/>
      <c r="B920" s="84"/>
      <c r="C920" s="84"/>
      <c r="D920" s="84"/>
      <c r="E920" s="84"/>
      <c r="F920" s="84"/>
    </row>
    <row r="921" ht="15.75" customHeight="1">
      <c r="A921" s="84"/>
      <c r="B921" s="84"/>
      <c r="C921" s="84"/>
      <c r="D921" s="84"/>
      <c r="E921" s="84"/>
      <c r="F921" s="84"/>
    </row>
    <row r="922" ht="15.75" customHeight="1">
      <c r="A922" s="84"/>
      <c r="B922" s="84"/>
      <c r="C922" s="84"/>
      <c r="D922" s="84"/>
      <c r="E922" s="84"/>
      <c r="F922" s="84"/>
    </row>
    <row r="923" ht="15.75" customHeight="1">
      <c r="A923" s="84"/>
      <c r="B923" s="84"/>
      <c r="C923" s="84"/>
      <c r="D923" s="84"/>
      <c r="E923" s="84"/>
      <c r="F923" s="84"/>
    </row>
    <row r="924" ht="15.75" customHeight="1">
      <c r="A924" s="84"/>
      <c r="B924" s="84"/>
      <c r="C924" s="84"/>
      <c r="D924" s="84"/>
      <c r="E924" s="84"/>
      <c r="F924" s="84"/>
    </row>
    <row r="925" ht="15.75" customHeight="1">
      <c r="A925" s="84"/>
      <c r="B925" s="84"/>
      <c r="C925" s="84"/>
      <c r="D925" s="84"/>
      <c r="E925" s="84"/>
      <c r="F925" s="84"/>
    </row>
    <row r="926" ht="15.75" customHeight="1">
      <c r="A926" s="84"/>
      <c r="B926" s="84"/>
      <c r="C926" s="84"/>
      <c r="D926" s="84"/>
      <c r="E926" s="84"/>
      <c r="F926" s="84"/>
    </row>
    <row r="927" ht="15.75" customHeight="1">
      <c r="A927" s="84"/>
      <c r="B927" s="84"/>
      <c r="C927" s="84"/>
      <c r="D927" s="84"/>
      <c r="E927" s="84"/>
      <c r="F927" s="84"/>
    </row>
    <row r="928" ht="15.75" customHeight="1">
      <c r="A928" s="84"/>
      <c r="B928" s="84"/>
      <c r="C928" s="84"/>
      <c r="D928" s="84"/>
      <c r="E928" s="84"/>
      <c r="F928" s="84"/>
    </row>
    <row r="929" ht="15.75" customHeight="1">
      <c r="A929" s="84"/>
      <c r="B929" s="84"/>
      <c r="C929" s="84"/>
      <c r="D929" s="84"/>
      <c r="E929" s="84"/>
      <c r="F929" s="84"/>
    </row>
    <row r="930" ht="15.75" customHeight="1">
      <c r="A930" s="84"/>
      <c r="B930" s="84"/>
      <c r="C930" s="84"/>
      <c r="D930" s="84"/>
      <c r="E930" s="84"/>
      <c r="F930" s="84"/>
    </row>
    <row r="931" ht="15.75" customHeight="1">
      <c r="A931" s="84"/>
      <c r="B931" s="84"/>
      <c r="C931" s="84"/>
      <c r="D931" s="84"/>
      <c r="E931" s="84"/>
      <c r="F931" s="84"/>
    </row>
    <row r="932" ht="15.75" customHeight="1">
      <c r="A932" s="84"/>
      <c r="B932" s="84"/>
      <c r="C932" s="84"/>
      <c r="D932" s="84"/>
      <c r="E932" s="84"/>
      <c r="F932" s="84"/>
    </row>
    <row r="933" ht="15.75" customHeight="1">
      <c r="A933" s="84"/>
      <c r="B933" s="84"/>
      <c r="C933" s="84"/>
      <c r="D933" s="84"/>
      <c r="E933" s="84"/>
      <c r="F933" s="84"/>
    </row>
    <row r="934" ht="15.75" customHeight="1">
      <c r="A934" s="84"/>
      <c r="B934" s="84"/>
      <c r="C934" s="84"/>
      <c r="D934" s="84"/>
      <c r="E934" s="84"/>
      <c r="F934" s="84"/>
    </row>
    <row r="935" ht="15.75" customHeight="1">
      <c r="A935" s="84"/>
      <c r="B935" s="84"/>
      <c r="C935" s="84"/>
      <c r="D935" s="84"/>
      <c r="E935" s="84"/>
      <c r="F935" s="84"/>
    </row>
    <row r="936" ht="15.75" customHeight="1">
      <c r="A936" s="84"/>
      <c r="B936" s="84"/>
      <c r="C936" s="84"/>
      <c r="D936" s="84"/>
      <c r="E936" s="84"/>
      <c r="F936" s="84"/>
    </row>
    <row r="937" ht="15.75" customHeight="1">
      <c r="A937" s="84"/>
      <c r="B937" s="84"/>
      <c r="C937" s="84"/>
      <c r="D937" s="84"/>
      <c r="E937" s="84"/>
      <c r="F937" s="84"/>
    </row>
    <row r="938" ht="15.75" customHeight="1">
      <c r="A938" s="84"/>
      <c r="B938" s="84"/>
      <c r="C938" s="84"/>
      <c r="D938" s="84"/>
      <c r="E938" s="84"/>
      <c r="F938" s="84"/>
    </row>
    <row r="939" ht="15.75" customHeight="1">
      <c r="A939" s="84"/>
      <c r="B939" s="84"/>
      <c r="C939" s="84"/>
      <c r="D939" s="84"/>
      <c r="E939" s="84"/>
      <c r="F939" s="84"/>
    </row>
    <row r="940" ht="15.75" customHeight="1">
      <c r="A940" s="84"/>
      <c r="B940" s="84"/>
      <c r="C940" s="84"/>
      <c r="D940" s="84"/>
      <c r="E940" s="84"/>
      <c r="F940" s="84"/>
    </row>
    <row r="941" ht="15.75" customHeight="1">
      <c r="A941" s="84"/>
      <c r="B941" s="84"/>
      <c r="C941" s="84"/>
      <c r="D941" s="84"/>
      <c r="E941" s="84"/>
      <c r="F941" s="84"/>
    </row>
    <row r="942" ht="15.75" customHeight="1">
      <c r="A942" s="84"/>
      <c r="B942" s="84"/>
      <c r="C942" s="84"/>
      <c r="D942" s="84"/>
      <c r="E942" s="84"/>
      <c r="F942" s="84"/>
    </row>
    <row r="943" ht="15.75" customHeight="1">
      <c r="A943" s="84"/>
      <c r="B943" s="84"/>
      <c r="C943" s="84"/>
      <c r="D943" s="84"/>
      <c r="E943" s="84"/>
      <c r="F943" s="84"/>
    </row>
    <row r="944" ht="15.75" customHeight="1">
      <c r="A944" s="84"/>
      <c r="B944" s="84"/>
      <c r="C944" s="84"/>
      <c r="D944" s="84"/>
      <c r="E944" s="84"/>
      <c r="F944" s="84"/>
    </row>
    <row r="945" ht="15.75" customHeight="1">
      <c r="A945" s="84"/>
      <c r="B945" s="84"/>
      <c r="C945" s="84"/>
      <c r="D945" s="84"/>
      <c r="E945" s="84"/>
      <c r="F945" s="84"/>
    </row>
    <row r="946" ht="15.75" customHeight="1">
      <c r="A946" s="84"/>
      <c r="B946" s="84"/>
      <c r="C946" s="84"/>
      <c r="D946" s="84"/>
      <c r="E946" s="84"/>
      <c r="F946" s="84"/>
    </row>
    <row r="947" ht="15.75" customHeight="1">
      <c r="A947" s="84"/>
      <c r="B947" s="84"/>
      <c r="C947" s="84"/>
      <c r="D947" s="84"/>
      <c r="E947" s="84"/>
      <c r="F947" s="84"/>
    </row>
    <row r="948" ht="15.75" customHeight="1">
      <c r="A948" s="84"/>
      <c r="B948" s="84"/>
      <c r="C948" s="84"/>
      <c r="D948" s="84"/>
      <c r="E948" s="84"/>
      <c r="F948" s="84"/>
    </row>
    <row r="949" ht="15.75" customHeight="1">
      <c r="A949" s="84"/>
      <c r="B949" s="84"/>
      <c r="C949" s="84"/>
      <c r="D949" s="84"/>
      <c r="E949" s="84"/>
      <c r="F949" s="84"/>
    </row>
    <row r="950" ht="15.75" customHeight="1">
      <c r="A950" s="84"/>
      <c r="B950" s="84"/>
      <c r="C950" s="84"/>
      <c r="D950" s="84"/>
      <c r="E950" s="84"/>
      <c r="F950" s="84"/>
    </row>
    <row r="951" ht="15.75" customHeight="1">
      <c r="A951" s="84"/>
      <c r="B951" s="84"/>
      <c r="C951" s="84"/>
      <c r="D951" s="84"/>
      <c r="E951" s="84"/>
      <c r="F951" s="84"/>
    </row>
    <row r="952" ht="15.75" customHeight="1">
      <c r="A952" s="84"/>
      <c r="B952" s="84"/>
      <c r="C952" s="84"/>
      <c r="D952" s="84"/>
      <c r="E952" s="84"/>
      <c r="F952" s="84"/>
    </row>
    <row r="953" ht="15.75" customHeight="1">
      <c r="A953" s="84"/>
      <c r="B953" s="84"/>
      <c r="C953" s="84"/>
      <c r="D953" s="84"/>
      <c r="E953" s="84"/>
      <c r="F953" s="84"/>
    </row>
    <row r="954" ht="15.75" customHeight="1">
      <c r="A954" s="84"/>
      <c r="B954" s="84"/>
      <c r="C954" s="84"/>
      <c r="D954" s="84"/>
      <c r="E954" s="84"/>
      <c r="F954" s="84"/>
    </row>
    <row r="955" ht="15.75" customHeight="1">
      <c r="A955" s="84"/>
      <c r="B955" s="84"/>
      <c r="C955" s="84"/>
      <c r="D955" s="84"/>
      <c r="E955" s="84"/>
      <c r="F955" s="84"/>
    </row>
    <row r="956" ht="15.75" customHeight="1">
      <c r="A956" s="84"/>
      <c r="B956" s="84"/>
      <c r="C956" s="84"/>
      <c r="D956" s="84"/>
      <c r="E956" s="84"/>
      <c r="F956" s="84"/>
    </row>
    <row r="957" ht="15.75" customHeight="1">
      <c r="A957" s="84"/>
      <c r="B957" s="84"/>
      <c r="C957" s="84"/>
      <c r="D957" s="84"/>
      <c r="E957" s="84"/>
      <c r="F957" s="84"/>
    </row>
    <row r="958" ht="15.75" customHeight="1">
      <c r="A958" s="84"/>
      <c r="B958" s="84"/>
      <c r="C958" s="84"/>
      <c r="D958" s="84"/>
      <c r="E958" s="84"/>
      <c r="F958" s="84"/>
    </row>
    <row r="959" ht="15.75" customHeight="1">
      <c r="A959" s="84"/>
      <c r="B959" s="84"/>
      <c r="C959" s="84"/>
      <c r="D959" s="84"/>
      <c r="E959" s="84"/>
      <c r="F959" s="84"/>
    </row>
    <row r="960" ht="15.75" customHeight="1">
      <c r="A960" s="84"/>
      <c r="B960" s="84"/>
      <c r="C960" s="84"/>
      <c r="D960" s="84"/>
      <c r="E960" s="84"/>
      <c r="F960" s="84"/>
    </row>
    <row r="961" ht="15.75" customHeight="1">
      <c r="A961" s="84"/>
      <c r="B961" s="84"/>
      <c r="C961" s="84"/>
      <c r="D961" s="84"/>
      <c r="E961" s="84"/>
      <c r="F961" s="84"/>
    </row>
    <row r="962" ht="15.75" customHeight="1">
      <c r="A962" s="84"/>
      <c r="B962" s="84"/>
      <c r="C962" s="84"/>
      <c r="D962" s="84"/>
      <c r="E962" s="84"/>
      <c r="F962" s="84"/>
    </row>
    <row r="963" ht="15.75" customHeight="1">
      <c r="A963" s="84"/>
      <c r="B963" s="84"/>
      <c r="C963" s="84"/>
      <c r="D963" s="84"/>
      <c r="E963" s="84"/>
      <c r="F963" s="84"/>
    </row>
    <row r="964" ht="15.75" customHeight="1">
      <c r="A964" s="84"/>
      <c r="B964" s="84"/>
      <c r="C964" s="84"/>
      <c r="D964" s="84"/>
      <c r="E964" s="84"/>
      <c r="F964" s="84"/>
    </row>
    <row r="965" ht="15.75" customHeight="1">
      <c r="A965" s="84"/>
      <c r="B965" s="84"/>
      <c r="C965" s="84"/>
      <c r="D965" s="84"/>
      <c r="E965" s="84"/>
      <c r="F965" s="84"/>
    </row>
    <row r="966" ht="15.75" customHeight="1">
      <c r="A966" s="84"/>
      <c r="B966" s="84"/>
      <c r="C966" s="84"/>
      <c r="D966" s="84"/>
      <c r="E966" s="84"/>
      <c r="F966" s="84"/>
    </row>
    <row r="967" ht="15.75" customHeight="1">
      <c r="A967" s="84"/>
      <c r="B967" s="84"/>
      <c r="C967" s="84"/>
      <c r="D967" s="84"/>
      <c r="E967" s="84"/>
      <c r="F967" s="84"/>
    </row>
    <row r="968" ht="15.75" customHeight="1">
      <c r="A968" s="84"/>
      <c r="B968" s="84"/>
      <c r="C968" s="84"/>
      <c r="D968" s="84"/>
      <c r="E968" s="84"/>
      <c r="F968" s="84"/>
    </row>
    <row r="969" ht="15.75" customHeight="1">
      <c r="A969" s="84"/>
      <c r="B969" s="84"/>
      <c r="C969" s="84"/>
      <c r="D969" s="84"/>
      <c r="E969" s="84"/>
      <c r="F969" s="84"/>
    </row>
    <row r="970" ht="15.75" customHeight="1">
      <c r="A970" s="84"/>
      <c r="B970" s="84"/>
      <c r="C970" s="84"/>
      <c r="D970" s="84"/>
      <c r="E970" s="84"/>
      <c r="F970" s="84"/>
    </row>
    <row r="971" ht="15.75" customHeight="1">
      <c r="A971" s="84"/>
      <c r="B971" s="84"/>
      <c r="C971" s="84"/>
      <c r="D971" s="84"/>
      <c r="E971" s="84"/>
      <c r="F971" s="84"/>
    </row>
    <row r="972" ht="15.75" customHeight="1">
      <c r="A972" s="84"/>
      <c r="B972" s="84"/>
      <c r="C972" s="84"/>
      <c r="D972" s="84"/>
      <c r="E972" s="84"/>
      <c r="F972" s="84"/>
    </row>
    <row r="973" ht="15.75" customHeight="1">
      <c r="A973" s="84"/>
      <c r="B973" s="84"/>
      <c r="C973" s="84"/>
      <c r="D973" s="84"/>
      <c r="E973" s="84"/>
      <c r="F973" s="84"/>
    </row>
    <row r="974" ht="15.75" customHeight="1">
      <c r="A974" s="84"/>
      <c r="B974" s="84"/>
      <c r="C974" s="84"/>
      <c r="D974" s="84"/>
      <c r="E974" s="84"/>
      <c r="F974" s="84"/>
    </row>
    <row r="975" ht="15.75" customHeight="1">
      <c r="A975" s="84"/>
      <c r="B975" s="84"/>
      <c r="C975" s="84"/>
      <c r="D975" s="84"/>
      <c r="E975" s="84"/>
      <c r="F975" s="84"/>
    </row>
    <row r="976" ht="15.75" customHeight="1">
      <c r="A976" s="84"/>
      <c r="B976" s="84"/>
      <c r="C976" s="84"/>
      <c r="D976" s="84"/>
      <c r="E976" s="84"/>
      <c r="F976" s="84"/>
    </row>
    <row r="977" ht="15.75" customHeight="1">
      <c r="A977" s="84"/>
      <c r="B977" s="84"/>
      <c r="C977" s="84"/>
      <c r="D977" s="84"/>
      <c r="E977" s="84"/>
      <c r="F977" s="84"/>
    </row>
    <row r="978" ht="15.75" customHeight="1">
      <c r="A978" s="84"/>
      <c r="B978" s="84"/>
      <c r="C978" s="84"/>
      <c r="D978" s="84"/>
      <c r="E978" s="84"/>
      <c r="F978" s="84"/>
    </row>
    <row r="979" ht="15.75" customHeight="1">
      <c r="A979" s="84"/>
      <c r="B979" s="84"/>
      <c r="C979" s="84"/>
      <c r="D979" s="84"/>
      <c r="E979" s="84"/>
      <c r="F979" s="84"/>
    </row>
    <row r="980" ht="15.75" customHeight="1">
      <c r="A980" s="84"/>
      <c r="B980" s="84"/>
      <c r="C980" s="84"/>
      <c r="D980" s="84"/>
      <c r="E980" s="84"/>
      <c r="F980" s="84"/>
    </row>
    <row r="981" ht="15.75" customHeight="1">
      <c r="A981" s="84"/>
      <c r="B981" s="84"/>
      <c r="C981" s="84"/>
      <c r="D981" s="84"/>
      <c r="E981" s="84"/>
      <c r="F981" s="84"/>
    </row>
    <row r="982" ht="15.75" customHeight="1">
      <c r="A982" s="84"/>
      <c r="B982" s="84"/>
      <c r="C982" s="84"/>
      <c r="D982" s="84"/>
      <c r="E982" s="84"/>
      <c r="F982" s="84"/>
    </row>
    <row r="983" ht="15.75" customHeight="1">
      <c r="A983" s="84"/>
      <c r="B983" s="84"/>
      <c r="C983" s="84"/>
      <c r="D983" s="84"/>
      <c r="E983" s="84"/>
      <c r="F983" s="84"/>
    </row>
    <row r="984" ht="15.75" customHeight="1">
      <c r="A984" s="84"/>
      <c r="B984" s="84"/>
      <c r="C984" s="84"/>
      <c r="D984" s="84"/>
      <c r="E984" s="84"/>
      <c r="F984" s="84"/>
    </row>
    <row r="985" ht="15.75" customHeight="1">
      <c r="A985" s="84"/>
      <c r="B985" s="84"/>
      <c r="C985" s="84"/>
      <c r="D985" s="84"/>
      <c r="E985" s="84"/>
      <c r="F985" s="84"/>
    </row>
    <row r="986" ht="15.75" customHeight="1">
      <c r="A986" s="84"/>
      <c r="B986" s="84"/>
      <c r="C986" s="84"/>
      <c r="D986" s="84"/>
      <c r="E986" s="84"/>
      <c r="F986" s="84"/>
    </row>
    <row r="987" ht="15.75" customHeight="1">
      <c r="A987" s="84"/>
      <c r="B987" s="84"/>
      <c r="C987" s="84"/>
      <c r="D987" s="84"/>
      <c r="E987" s="84"/>
      <c r="F987" s="84"/>
    </row>
    <row r="988" ht="15.75" customHeight="1">
      <c r="A988" s="84"/>
      <c r="B988" s="84"/>
      <c r="C988" s="84"/>
      <c r="D988" s="84"/>
      <c r="E988" s="84"/>
      <c r="F988" s="84"/>
    </row>
    <row r="989" ht="15.75" customHeight="1">
      <c r="A989" s="84"/>
      <c r="B989" s="84"/>
      <c r="C989" s="84"/>
      <c r="D989" s="84"/>
      <c r="E989" s="84"/>
      <c r="F989" s="84"/>
    </row>
    <row r="990" ht="15.75" customHeight="1">
      <c r="A990" s="84"/>
      <c r="B990" s="84"/>
      <c r="C990" s="84"/>
      <c r="D990" s="84"/>
      <c r="E990" s="84"/>
      <c r="F990" s="84"/>
    </row>
    <row r="991" ht="15.75" customHeight="1">
      <c r="A991" s="84"/>
      <c r="B991" s="84"/>
      <c r="C991" s="84"/>
      <c r="D991" s="84"/>
      <c r="E991" s="84"/>
      <c r="F991" s="84"/>
    </row>
    <row r="992" ht="15.75" customHeight="1">
      <c r="A992" s="84"/>
      <c r="B992" s="84"/>
      <c r="C992" s="84"/>
      <c r="D992" s="84"/>
      <c r="E992" s="84"/>
      <c r="F992" s="84"/>
    </row>
    <row r="993" ht="15.75" customHeight="1">
      <c r="A993" s="84"/>
      <c r="B993" s="84"/>
      <c r="C993" s="84"/>
      <c r="D993" s="84"/>
      <c r="E993" s="84"/>
      <c r="F993" s="84"/>
    </row>
    <row r="994" ht="15.75" customHeight="1">
      <c r="A994" s="84"/>
      <c r="B994" s="84"/>
      <c r="C994" s="84"/>
      <c r="D994" s="84"/>
      <c r="E994" s="84"/>
      <c r="F994" s="84"/>
    </row>
    <row r="995" ht="15.75" customHeight="1">
      <c r="A995" s="84"/>
      <c r="B995" s="84"/>
      <c r="C995" s="84"/>
      <c r="D995" s="84"/>
      <c r="E995" s="84"/>
      <c r="F995" s="84"/>
    </row>
    <row r="996" ht="15.75" customHeight="1">
      <c r="A996" s="84"/>
      <c r="B996" s="84"/>
      <c r="C996" s="84"/>
      <c r="D996" s="84"/>
      <c r="E996" s="84"/>
      <c r="F996" s="84"/>
    </row>
    <row r="997" ht="15.75" customHeight="1">
      <c r="A997" s="84"/>
      <c r="B997" s="84"/>
      <c r="C997" s="84"/>
      <c r="D997" s="84"/>
      <c r="E997" s="84"/>
      <c r="F997" s="84"/>
    </row>
    <row r="998" ht="15.75" customHeight="1">
      <c r="A998" s="84"/>
      <c r="B998" s="84"/>
      <c r="C998" s="84"/>
      <c r="D998" s="84"/>
      <c r="E998" s="84"/>
      <c r="F998" s="84"/>
    </row>
    <row r="999" ht="15.75" customHeight="1">
      <c r="A999" s="84"/>
      <c r="B999" s="84"/>
      <c r="C999" s="84"/>
      <c r="D999" s="84"/>
      <c r="E999" s="84"/>
      <c r="F999" s="84"/>
    </row>
    <row r="1000" ht="15.75" customHeight="1">
      <c r="A1000" s="84"/>
      <c r="B1000" s="84"/>
      <c r="C1000" s="84"/>
      <c r="D1000" s="84"/>
      <c r="E1000" s="84"/>
      <c r="F1000" s="84"/>
    </row>
  </sheetData>
  <printOptions/>
  <pageMargins bottom="1.0" footer="0.0" header="0.0" left="0.75" right="0.75" top="1.0"/>
  <pageSetup paperSize="9" orientation="portrait"/>
  <drawing r:id="rId1"/>
</worksheet>
</file>