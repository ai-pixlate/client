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240" tabRatio="500" firstSheet="0" activeTab="2" autoFilterDateGrouping="1"/>
  </bookViews>
  <sheets>
    <sheet xmlns:r="http://schemas.openxmlformats.org/officeDocument/2006/relationships" name="00_문서정보" sheetId="1" state="visible" r:id="rId1"/>
    <sheet xmlns:r="http://schemas.openxmlformats.org/officeDocument/2006/relationships" name="01_기능정의서" sheetId="2" state="visible" r:id="rId2"/>
    <sheet xmlns:r="http://schemas.openxmlformats.org/officeDocument/2006/relationships" name="02_기능명세" sheetId="3" state="visible" r:id="rId3"/>
    <sheet xmlns:r="http://schemas.openxmlformats.org/officeDocument/2006/relationships" name="03_화면정의서" sheetId="4" state="visible" r:id="rId4"/>
    <sheet xmlns:r="http://schemas.openxmlformats.org/officeDocument/2006/relationships" name="05_상태_정책" sheetId="5" state="visible" r:id="rId5"/>
    <sheet xmlns:r="http://schemas.openxmlformats.org/officeDocument/2006/relationships" name="07_비기능요구사항" sheetId="6" state="visible" r:id="rId6"/>
    <sheet xmlns:r="http://schemas.openxmlformats.org/officeDocument/2006/relationships" name="08_릴리스로드맵" sheetId="7" state="visible" r:id="rId7"/>
    <sheet xmlns:r="http://schemas.openxmlformats.org/officeDocument/2006/relationships" name="09_오픈이슈" sheetId="8" state="visible" r:id="rId8"/>
    <sheet xmlns:r="http://schemas.openxmlformats.org/officeDocument/2006/relationships" name="11_용어집" sheetId="9" state="visible" r:id="rId9"/>
    <sheet xmlns:r="http://schemas.openxmlformats.org/officeDocument/2006/relationships" name="12_폐기기능" sheetId="10" state="visible" r:id="rId10"/>
  </sheets>
  <definedNames>
    <definedName name="_xlnm._FilterDatabase" localSheetId="2" hidden="1">'02_기능명세'!$A$5:$L$177</definedName>
  </definedNames>
  <calcPr calcId="191029" fullCalcOnLoad="1" iterateDelta="0.0001"/>
</workbook>
</file>

<file path=xl/styles.xml><?xml version="1.0" encoding="utf-8"?>
<styleSheet xmlns="http://schemas.openxmlformats.org/spreadsheetml/2006/main">
  <numFmts count="0"/>
  <fonts count="51">
    <font>
      <name val="Calibri"/>
      <charset val="1"/>
      <color theme="1"/>
      <sz val="11"/>
    </font>
    <font>
      <name val="Arial"/>
      <charset val="1"/>
      <b val="1"/>
      <color rgb="FF1F3864"/>
      <sz val="16"/>
    </font>
    <font>
      <name val="Noto Sans CJK SC"/>
      <charset val="1"/>
      <family val="2"/>
      <color rgb="FF7F7F7F"/>
      <sz val="10"/>
    </font>
    <font>
      <name val="Noto Sans CJK SC"/>
      <charset val="1"/>
      <family val="2"/>
      <b val="1"/>
      <color theme="1"/>
      <sz val="10"/>
    </font>
    <font>
      <name val="Arial"/>
      <family val="2"/>
      <color theme="1"/>
      <sz val="10"/>
    </font>
    <font>
      <name val="Noto Sans CJK SC"/>
      <family val="2"/>
      <color theme="1"/>
      <sz val="10"/>
    </font>
    <font>
      <name val="Noto Sans CJK SC"/>
      <charset val="1"/>
      <family val="2"/>
      <color theme="1"/>
      <sz val="10"/>
    </font>
    <font>
      <name val="Arial"/>
      <family val="2"/>
      <b val="1"/>
      <color theme="1"/>
      <sz val="10"/>
    </font>
    <font>
      <name val="Noto Sans"/>
      <charset val="129"/>
      <family val="3"/>
      <b val="1"/>
      <color theme="1"/>
      <sz val="10"/>
    </font>
    <font>
      <name val="Noto Sans CJK SC"/>
      <charset val="1"/>
      <family val="2"/>
      <color theme="1"/>
      <sz val="11"/>
    </font>
    <font>
      <name val="Noto Sans"/>
      <charset val="129"/>
      <family val="3"/>
      <color theme="1"/>
      <sz val="10"/>
    </font>
    <font>
      <name val="Arial"/>
      <family val="2"/>
      <b val="1"/>
      <color rgb="FF1F3864"/>
      <sz val="14"/>
    </font>
    <font>
      <name val="Noto Sans CJK SC"/>
      <charset val="1"/>
      <family val="2"/>
      <i val="1"/>
      <color rgb="FF7F7F7F"/>
      <sz val="10"/>
    </font>
    <font>
      <name val="Noto Sans CJK SC"/>
      <charset val="1"/>
      <family val="2"/>
      <b val="1"/>
      <color rgb="FFFFFFFF"/>
      <sz val="11"/>
    </font>
    <font>
      <name val="Noto Sans CJK SC"/>
      <charset val="1"/>
      <family val="2"/>
      <b val="1"/>
      <color rgb="FFFFFFFF"/>
      <sz val="10"/>
    </font>
    <font>
      <name val="Arial"/>
      <family val="2"/>
      <b val="1"/>
      <color rgb="FFFFFFFF"/>
      <sz val="10"/>
    </font>
    <font>
      <name val="Arial"/>
      <family val="2"/>
      <strike val="1"/>
      <color theme="1"/>
      <sz val="10"/>
    </font>
    <font>
      <name val="Noto Sans CJK SC"/>
      <charset val="1"/>
      <family val="2"/>
      <strike val="1"/>
      <color theme="1"/>
      <sz val="10"/>
    </font>
    <font>
      <name val="Arial"/>
      <family val="2"/>
      <i val="1"/>
      <color rgb="FF7F7F7F"/>
      <sz val="10"/>
    </font>
    <font>
      <name val="Arial"/>
      <family val="2"/>
      <i val="1"/>
      <color theme="1"/>
      <sz val="10"/>
    </font>
    <font>
      <name val="Arial"/>
      <family val="2"/>
      <i val="1"/>
      <color rgb="FF666666"/>
      <sz val="9"/>
    </font>
    <font>
      <name val="Noto Sans CJK SC"/>
      <charset val="1"/>
      <family val="2"/>
      <i val="1"/>
      <color rgb="FF666666"/>
      <sz val="9"/>
    </font>
    <font>
      <name val="Noto Sans CJK SC"/>
      <charset val="1"/>
      <family val="2"/>
      <b val="1"/>
      <color rgb="FF1F3864"/>
      <sz val="12"/>
    </font>
    <font>
      <name val="Noto Sans CJK SC"/>
      <charset val="1"/>
      <family val="2"/>
      <i val="1"/>
      <color theme="1"/>
      <sz val="10"/>
    </font>
    <font>
      <name val="Noto Sans CJK SC"/>
      <charset val="1"/>
      <family val="2"/>
      <i val="1"/>
      <color rgb="FFC00000"/>
      <sz val="10"/>
    </font>
    <font>
      <name val="Noto Sans"/>
      <charset val="129"/>
      <family val="3"/>
      <strike val="1"/>
      <color theme="1"/>
      <sz val="10"/>
    </font>
    <font>
      <name val="Noto Sans"/>
      <charset val="129"/>
      <family val="3"/>
      <b val="1"/>
      <color rgb="FFFFFFFF"/>
      <sz val="10"/>
    </font>
    <font>
      <name val="Calibri"/>
      <family val="2"/>
      <b val="1"/>
      <sz val="14"/>
    </font>
    <font>
      <name val="Calibri"/>
      <family val="2"/>
      <color rgb="FF666666"/>
      <sz val="9"/>
    </font>
    <font>
      <name val="Calibri"/>
      <family val="2"/>
      <b val="1"/>
      <color rgb="FFFFFFFF"/>
      <sz val="10"/>
    </font>
    <font>
      <name val="Calibri"/>
      <family val="2"/>
      <b val="1"/>
      <sz val="10"/>
    </font>
    <font>
      <name val="Calibri"/>
      <family val="2"/>
      <color rgb="FF555555"/>
      <sz val="9"/>
    </font>
    <font>
      <name val="Calibri"/>
      <family val="2"/>
      <sz val="10"/>
    </font>
    <font>
      <name val="Noto Sans CJK SC"/>
      <charset val="1"/>
      <family val="2"/>
      <color theme="1"/>
      <sz val="10"/>
    </font>
    <font>
      <name val="Arial"/>
      <family val="2"/>
      <color theme="1"/>
      <sz val="10"/>
    </font>
    <font>
      <name val="Calibri"/>
      <family val="2"/>
      <b val="1"/>
      <sz val="11"/>
    </font>
    <font>
      <name val="돋움"/>
      <charset val="129"/>
      <family val="3"/>
      <sz val="8"/>
    </font>
    <font>
      <name val="맑은 고딕"/>
      <charset val="129"/>
      <family val="2"/>
      <color theme="1"/>
      <sz val="10"/>
    </font>
    <font>
      <name val="맑은 고딕"/>
      <charset val="129"/>
      <family val="3"/>
      <color theme="1"/>
      <sz val="10"/>
    </font>
    <font>
      <name val="Segoe UI Symbol"/>
      <family val="2"/>
      <color theme="1"/>
      <sz val="10"/>
    </font>
    <font>
      <name val="Noto Sans CJK SC"/>
      <charset val="129"/>
      <family val="2"/>
      <color theme="1"/>
      <sz val="10"/>
    </font>
    <font>
      <name val="Noto Sans CJK SC"/>
      <charset val="129"/>
      <family val="3"/>
      <color theme="1"/>
      <sz val="10"/>
    </font>
    <font>
      <name val="Noto Sans CJK SC"/>
      <charset val="129"/>
      <family val="1"/>
      <color theme="1"/>
      <sz val="10"/>
    </font>
    <font>
      <name val="돋움"/>
      <charset val="129"/>
      <family val="3"/>
      <color theme="1"/>
      <sz val="10"/>
    </font>
    <font>
      <name val="Segoe UI Symbol"/>
      <family val="3"/>
      <color theme="1"/>
      <sz val="10"/>
    </font>
    <font>
      <name val="Segoe UI Symbol"/>
      <family val="1"/>
      <color theme="1"/>
      <sz val="10"/>
    </font>
    <font>
      <name val="Arial"/>
      <charset val="129"/>
      <family val="3"/>
      <color theme="1"/>
      <sz val="10"/>
    </font>
    <font>
      <name val="Calibri"/>
      <family val="2"/>
      <color theme="1"/>
      <sz val="10"/>
    </font>
    <font>
      <name val="Calibri"/>
      <family val="2"/>
      <b val="1"/>
      <color theme="1"/>
      <sz val="11"/>
    </font>
    <font>
      <name val="Noto Sans CJK SC"/>
      <charset val="1"/>
      <family val="2"/>
      <strike val="1"/>
      <color theme="1"/>
      <sz val="11"/>
    </font>
    <font>
      <name val="Calibri"/>
      <charset val="1"/>
      <strike val="1"/>
      <color theme="1"/>
      <sz val="11"/>
    </font>
  </fonts>
  <fills count="43">
    <fill>
      <patternFill/>
    </fill>
    <fill>
      <patternFill patternType="gray125"/>
    </fill>
    <fill>
      <patternFill patternType="solid">
        <fgColor rgb="FFFFD966"/>
        <bgColor rgb="FFFFE599"/>
      </patternFill>
    </fill>
    <fill>
      <patternFill patternType="solid">
        <fgColor rgb="FFA9D08E"/>
        <bgColor rgb="FFB6D7A8"/>
      </patternFill>
    </fill>
    <fill>
      <patternFill patternType="solid">
        <fgColor rgb="FF1F3864"/>
        <bgColor rgb="FF333399"/>
      </patternFill>
    </fill>
    <fill>
      <patternFill patternType="solid">
        <fgColor rgb="FFF4CCCC"/>
        <bgColor rgb="FFEAD1DC"/>
      </patternFill>
    </fill>
    <fill>
      <patternFill patternType="solid">
        <fgColor rgb="FFF2F4F7"/>
        <bgColor rgb="FFEDEDED"/>
      </patternFill>
    </fill>
    <fill>
      <patternFill patternType="solid">
        <fgColor rgb="FFE2EFDA"/>
        <bgColor rgb="FFD9EAD3"/>
      </patternFill>
    </fill>
    <fill>
      <patternFill patternType="solid">
        <fgColor rgb="FFEDEDED"/>
        <bgColor rgb="FFF2F4F7"/>
      </patternFill>
    </fill>
    <fill>
      <patternFill patternType="solid">
        <fgColor rgb="FFFCE5CD"/>
        <bgColor rgb="FFFCE4D6"/>
      </patternFill>
    </fill>
    <fill>
      <patternFill patternType="solid">
        <fgColor rgb="FFFFF2CC"/>
        <bgColor rgb="FFFDECC8"/>
      </patternFill>
    </fill>
    <fill>
      <patternFill patternType="solid">
        <fgColor rgb="FFF1948A"/>
        <bgColor rgb="FFEA9999"/>
      </patternFill>
    </fill>
    <fill>
      <patternFill patternType="solid">
        <fgColor rgb="FFD9EAD3"/>
        <bgColor rgb="FFE2EFDA"/>
      </patternFill>
    </fill>
    <fill>
      <patternFill patternType="solid">
        <fgColor rgb="FFD0E0E3"/>
        <bgColor rgb="FFCFE2F3"/>
      </patternFill>
    </fill>
    <fill>
      <patternFill patternType="solid">
        <fgColor rgb="FFCFE2F3"/>
        <bgColor rgb="FFD0E0E3"/>
      </patternFill>
    </fill>
    <fill>
      <patternFill patternType="solid">
        <fgColor rgb="FFFCE4D6"/>
        <bgColor rgb="FFFCE5CD"/>
      </patternFill>
    </fill>
    <fill>
      <patternFill patternType="solid">
        <fgColor rgb="FFCCC0DA"/>
        <bgColor rgb="FFBFBFBF"/>
      </patternFill>
    </fill>
    <fill>
      <patternFill patternType="solid">
        <fgColor rgb="FFD9D2E9"/>
        <bgColor rgb="FFD0D0D0"/>
      </patternFill>
    </fill>
    <fill>
      <patternFill patternType="solid">
        <fgColor rgb="FFEAD1DC"/>
        <bgColor rgb="FFF4CCCC"/>
      </patternFill>
    </fill>
    <fill>
      <patternFill patternType="solid">
        <fgColor rgb="FFFCD5B4"/>
        <bgColor rgb="FFF9CB9C"/>
      </patternFill>
    </fill>
    <fill>
      <patternFill patternType="solid">
        <fgColor rgb="FFEA9999"/>
        <bgColor rgb="FFF1948A"/>
      </patternFill>
    </fill>
    <fill>
      <patternFill patternType="solid">
        <fgColor rgb="FFE4DFEC"/>
        <bgColor rgb="FFD0E0E3"/>
      </patternFill>
    </fill>
    <fill>
      <patternFill patternType="solid">
        <fgColor rgb="FFDAEEF3"/>
        <bgColor rgb="FFE2EFDA"/>
      </patternFill>
    </fill>
    <fill>
      <patternFill patternType="solid">
        <fgColor rgb="FFF9CB9C"/>
        <bgColor rgb="FFFCD5B4"/>
      </patternFill>
    </fill>
    <fill>
      <patternFill patternType="solid">
        <fgColor rgb="FFFFE599"/>
        <bgColor rgb="FFFCD5B4"/>
      </patternFill>
    </fill>
    <fill>
      <patternFill patternType="solid">
        <fgColor rgb="FFDDD9C4"/>
        <bgColor rgb="FFD0D0D0"/>
      </patternFill>
    </fill>
    <fill>
      <patternFill patternType="solid">
        <fgColor rgb="FFB6D7A8"/>
        <bgColor rgb="FFA9D08E"/>
      </patternFill>
    </fill>
    <fill>
      <patternFill patternType="solid">
        <fgColor rgb="FFA2C4C9"/>
        <bgColor rgb="FF9FC5E8"/>
      </patternFill>
    </fill>
    <fill>
      <patternFill patternType="solid">
        <fgColor rgb="FFA4C2F4"/>
        <bgColor rgb="FF9FC5E8"/>
      </patternFill>
    </fill>
    <fill>
      <patternFill patternType="solid">
        <fgColor rgb="FF9FC5E8"/>
        <bgColor rgb="FFA4C2F4"/>
      </patternFill>
    </fill>
    <fill>
      <patternFill patternType="solid">
        <fgColor rgb="FFB4A7D6"/>
        <bgColor rgb="FFD5A6BD"/>
      </patternFill>
    </fill>
    <fill>
      <patternFill patternType="solid">
        <fgColor rgb="FFD5A6BD"/>
        <bgColor rgb="FFEA9999"/>
      </patternFill>
    </fill>
    <fill>
      <patternFill patternType="solid">
        <fgColor rgb="FFFDECC8"/>
        <bgColor rgb="FFFFF2CC"/>
      </patternFill>
    </fill>
    <fill>
      <patternFill patternType="solid">
        <fgColor rgb="FFFFD966"/>
      </patternFill>
    </fill>
    <fill>
      <patternFill patternType="solid">
        <fgColor rgb="FF44546A"/>
      </patternFill>
    </fill>
    <fill>
      <patternFill patternType="solid">
        <fgColor rgb="FFD6DCE4"/>
      </patternFill>
    </fill>
    <fill>
      <patternFill patternType="solid">
        <fgColor rgb="FFEDF0F5"/>
      </patternFill>
    </fill>
    <fill>
      <patternFill patternType="solid">
        <fgColor rgb="FFA9D08E"/>
      </patternFill>
    </fill>
    <fill>
      <patternFill patternType="solid">
        <fgColor rgb="FFD9D9D9"/>
      </patternFill>
    </fill>
    <fill>
      <patternFill patternType="solid">
        <fgColor rgb="FFF1948A"/>
      </patternFill>
    </fill>
    <fill>
      <patternFill patternType="solid">
        <fgColor rgb="FFC9DAF8"/>
      </patternFill>
    </fill>
    <fill>
      <patternFill patternType="solid">
        <fgColor rgb="FF8EA9DB"/>
      </patternFill>
    </fill>
    <fill>
      <patternFill patternType="solid">
        <fgColor rgb="FFBDD7EE"/>
      </patternFill>
    </fill>
  </fills>
  <borders count="9">
    <border>
      <left/>
      <right/>
      <top/>
      <bottom/>
      <diagonal/>
    </border>
    <border>
      <left style="thin">
        <color rgb="FFD0D0D0"/>
      </left>
      <right style="thin">
        <color rgb="FFD0D0D0"/>
      </right>
      <top style="thin">
        <color rgb="FFD0D0D0"/>
      </top>
      <bottom style="thin">
        <color rgb="FFD0D0D0"/>
      </bottom>
      <diagonal/>
    </border>
    <border>
      <left/>
      <right/>
      <top/>
      <bottom style="thin">
        <color rgb="FF7F7F7F"/>
      </bottom>
      <diagonal/>
    </border>
    <border>
      <left/>
      <right style="medium">
        <color rgb="FF595959"/>
      </right>
      <top/>
      <bottom style="thin">
        <color rgb="FF7F7F7F"/>
      </bottom>
      <diagonal/>
    </border>
    <border>
      <left/>
      <right style="medium">
        <color rgb="FF595959"/>
      </right>
      <top/>
      <bottom/>
      <diagonal/>
    </border>
    <border>
      <left/>
      <right/>
      <top style="thin">
        <color rgb="FF7F7F7F"/>
      </top>
      <bottom/>
      <diagonal/>
    </border>
    <border>
      <left/>
      <right style="medium">
        <color rgb="FF595959"/>
      </right>
      <top style="thin">
        <color rgb="FF7F7F7F"/>
      </top>
      <bottom/>
      <diagonal/>
    </border>
    <border>
      <left style="thin">
        <color rgb="FFBFBFBF"/>
      </left>
      <right style="thin">
        <color rgb="FFBFBFBF"/>
      </right>
      <top style="thin">
        <color rgb="FFBFBFBF"/>
      </top>
      <bottom style="thin">
        <color rgb="FFBFBFBF"/>
      </bottom>
      <diagonal/>
    </border>
    <border>
      <left style="thin">
        <color rgb="FFB0B0B0"/>
      </left>
      <right style="thin">
        <color rgb="FFB0B0B0"/>
      </right>
      <top style="thin">
        <color rgb="FFB0B0B0"/>
      </top>
      <bottom style="thin">
        <color rgb="FFB0B0B0"/>
      </bottom>
      <diagonal/>
    </border>
  </borders>
  <cellStyleXfs count="1">
    <xf numFmtId="0" fontId="0" fillId="0" borderId="0"/>
  </cellStyleXfs>
  <cellXfs count="301">
    <xf numFmtId="0" fontId="0" fillId="0" borderId="0" pivotButton="0" quotePrefix="0" xfId="0"/>
    <xf numFmtId="0" fontId="1" fillId="0" borderId="0" applyAlignment="1" pivotButton="0" quotePrefix="0" xfId="0">
      <alignment vertical="top"/>
    </xf>
    <xf numFmtId="0" fontId="0"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wrapText="1"/>
    </xf>
    <xf numFmtId="0" fontId="4" fillId="0" borderId="0" applyAlignment="1" pivotButton="0" quotePrefix="0" xfId="0">
      <alignment vertical="top" wrapText="1"/>
    </xf>
    <xf numFmtId="0" fontId="0" fillId="0" borderId="0" applyAlignment="1" pivotButton="0" quotePrefix="0" xfId="0">
      <alignment vertical="top" wrapText="1"/>
    </xf>
    <xf numFmtId="0" fontId="3" fillId="2" borderId="0" applyAlignment="1" pivotButton="0" quotePrefix="0" xfId="0">
      <alignment vertical="top" wrapText="1"/>
    </xf>
    <xf numFmtId="0" fontId="4" fillId="2" borderId="0" applyAlignment="1" pivotButton="0" quotePrefix="0" xfId="0">
      <alignment vertical="top" wrapText="1"/>
    </xf>
    <xf numFmtId="0" fontId="6" fillId="0" borderId="0" applyAlignment="1" pivotButton="0" quotePrefix="0" xfId="0">
      <alignment vertical="top" wrapText="1"/>
    </xf>
    <xf numFmtId="0" fontId="6" fillId="2" borderId="0" applyAlignment="1" pivotButton="0" quotePrefix="0" xfId="0">
      <alignment vertical="top" wrapText="1"/>
    </xf>
    <xf numFmtId="0" fontId="7" fillId="2" borderId="0" applyAlignment="1" pivotButton="0" quotePrefix="0" xfId="0">
      <alignment vertical="top" wrapText="1"/>
    </xf>
    <xf numFmtId="0" fontId="8" fillId="2" borderId="0" applyAlignment="1" pivotButton="0" quotePrefix="0" xfId="0">
      <alignment vertical="top" wrapText="1"/>
    </xf>
    <xf numFmtId="0" fontId="0" fillId="3" borderId="0" applyAlignment="1" pivotButton="0" quotePrefix="0" xfId="0">
      <alignment vertical="top" wrapText="1"/>
    </xf>
    <xf numFmtId="0" fontId="9" fillId="3" borderId="0" applyAlignment="1" pivotButton="0" quotePrefix="0" xfId="0">
      <alignment vertical="top" wrapText="1"/>
    </xf>
    <xf numFmtId="0" fontId="7"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xf>
    <xf numFmtId="0" fontId="4" fillId="0" borderId="0" applyAlignment="1" pivotButton="0" quotePrefix="0" xfId="0">
      <alignment vertical="top"/>
    </xf>
    <xf numFmtId="0" fontId="12" fillId="0" borderId="0" applyAlignment="1" pivotButton="0" quotePrefix="0" xfId="0">
      <alignment vertical="top"/>
    </xf>
    <xf numFmtId="0" fontId="13" fillId="4" borderId="1" applyAlignment="1" pivotButton="0" quotePrefix="0" xfId="0">
      <alignment horizontal="center" vertical="top" wrapText="1"/>
    </xf>
    <xf numFmtId="0" fontId="14" fillId="4" borderId="2" applyAlignment="1" pivotButton="0" quotePrefix="0" xfId="0">
      <alignment horizontal="center" vertical="top" wrapText="1"/>
    </xf>
    <xf numFmtId="0" fontId="14" fillId="4" borderId="3" applyAlignment="1" pivotButton="0" quotePrefix="0" xfId="0">
      <alignment horizontal="center" vertical="top" wrapText="1"/>
    </xf>
    <xf numFmtId="0" fontId="15" fillId="4" borderId="2" applyAlignment="1" pivotButton="0" quotePrefix="0" xfId="0">
      <alignment horizontal="center" vertical="top" wrapText="1"/>
    </xf>
    <xf numFmtId="0" fontId="13" fillId="4" borderId="2" applyAlignment="1" pivotButton="0" quotePrefix="0" xfId="0">
      <alignment horizontal="center" vertical="top" wrapText="1"/>
    </xf>
    <xf numFmtId="0" fontId="4" fillId="5" borderId="0" applyAlignment="1" pivotButton="0" quotePrefix="0" xfId="0">
      <alignment vertical="top" wrapText="1"/>
    </xf>
    <xf numFmtId="0" fontId="6" fillId="5" borderId="4" applyAlignment="1" pivotButton="0" quotePrefix="0" xfId="0">
      <alignment vertical="top" wrapText="1"/>
    </xf>
    <xf numFmtId="0" fontId="4" fillId="6" borderId="0" applyAlignment="1" pivotButton="0" quotePrefix="0" xfId="0">
      <alignment vertical="top" wrapText="1"/>
    </xf>
    <xf numFmtId="0" fontId="6" fillId="6" borderId="0" applyAlignment="1" pivotButton="0" quotePrefix="0" xfId="0">
      <alignment vertical="top" wrapText="1"/>
    </xf>
    <xf numFmtId="0" fontId="4" fillId="6" borderId="0" applyAlignment="1" pivotButton="0" quotePrefix="0" xfId="0">
      <alignment horizontal="center" vertical="top" wrapText="1"/>
    </xf>
    <xf numFmtId="0" fontId="7" fillId="7" borderId="0" applyAlignment="1" pivotButton="0" quotePrefix="0" xfId="0">
      <alignment horizontal="center" vertical="top" wrapText="1"/>
    </xf>
    <xf numFmtId="0" fontId="4" fillId="0" borderId="0" applyAlignment="1" pivotButton="0" quotePrefix="0" xfId="0">
      <alignment horizontal="center" vertical="top" wrapText="1"/>
    </xf>
    <xf numFmtId="0" fontId="7" fillId="8" borderId="0" applyAlignment="1" pivotButton="0" quotePrefix="0" xfId="0">
      <alignment horizontal="center" vertical="top" wrapText="1"/>
    </xf>
    <xf numFmtId="0" fontId="4" fillId="9" borderId="5" applyAlignment="1" pivotButton="0" quotePrefix="0" xfId="0">
      <alignment vertical="top" wrapText="1"/>
    </xf>
    <xf numFmtId="0" fontId="6" fillId="9" borderId="6" applyAlignment="1" pivotButton="0" quotePrefix="0" xfId="0">
      <alignment vertical="top" wrapText="1"/>
    </xf>
    <xf numFmtId="0" fontId="4" fillId="0" borderId="5" applyAlignment="1" pivotButton="0" quotePrefix="0" xfId="0">
      <alignment vertical="top" wrapText="1"/>
    </xf>
    <xf numFmtId="0" fontId="6" fillId="0" borderId="5" applyAlignment="1" pivotButton="0" quotePrefix="0" xfId="0">
      <alignment vertical="top" wrapText="1"/>
    </xf>
    <xf numFmtId="0" fontId="4" fillId="0" borderId="5" applyAlignment="1" pivotButton="0" quotePrefix="0" xfId="0">
      <alignment horizontal="center" vertical="top" wrapText="1"/>
    </xf>
    <xf numFmtId="0" fontId="7" fillId="8" borderId="5" applyAlignment="1" pivotButton="0" quotePrefix="0" xfId="0">
      <alignment horizontal="center" vertical="top" wrapText="1"/>
    </xf>
    <xf numFmtId="0" fontId="4" fillId="9" borderId="0" applyAlignment="1" pivotButton="0" quotePrefix="0" xfId="0">
      <alignment vertical="top" wrapText="1"/>
    </xf>
    <xf numFmtId="0" fontId="6" fillId="9" borderId="4" applyAlignment="1" pivotButton="0" quotePrefix="0" xfId="0">
      <alignment vertical="top" wrapText="1"/>
    </xf>
    <xf numFmtId="0" fontId="4" fillId="10" borderId="5" applyAlignment="1" pivotButton="0" quotePrefix="0" xfId="0">
      <alignment vertical="top" wrapText="1"/>
    </xf>
    <xf numFmtId="0" fontId="6" fillId="10" borderId="6" applyAlignment="1" pivotButton="0" quotePrefix="0" xfId="0">
      <alignment vertical="top" wrapText="1"/>
    </xf>
    <xf numFmtId="0" fontId="6" fillId="2" borderId="5" applyAlignment="1" pivotButton="0" quotePrefix="0" xfId="0">
      <alignment vertical="top" wrapText="1"/>
    </xf>
    <xf numFmtId="0" fontId="4" fillId="2" borderId="5" applyAlignment="1" pivotButton="0" quotePrefix="0" xfId="0">
      <alignment horizontal="center" vertical="top" wrapText="1"/>
    </xf>
    <xf numFmtId="0" fontId="7" fillId="2" borderId="5" applyAlignment="1" pivotButton="0" quotePrefix="0" xfId="0">
      <alignment horizontal="center" vertical="top" wrapText="1"/>
    </xf>
    <xf numFmtId="0" fontId="4" fillId="2" borderId="5" applyAlignment="1" pivotButton="0" quotePrefix="0" xfId="0">
      <alignment vertical="top" wrapText="1"/>
    </xf>
    <xf numFmtId="0" fontId="4" fillId="10" borderId="0" applyAlignment="1" pivotButton="0" quotePrefix="0" xfId="0">
      <alignment vertical="top" wrapText="1"/>
    </xf>
    <xf numFmtId="0" fontId="6" fillId="10" borderId="4" applyAlignment="1" pivotButton="0" quotePrefix="0" xfId="0">
      <alignment vertical="top" wrapText="1"/>
    </xf>
    <xf numFmtId="0" fontId="4" fillId="2" borderId="0" applyAlignment="1" pivotButton="0" quotePrefix="0" xfId="0">
      <alignment horizontal="center" vertical="top" wrapText="1"/>
    </xf>
    <xf numFmtId="0" fontId="7" fillId="2" borderId="0" applyAlignment="1" pivotButton="0" quotePrefix="0" xfId="0">
      <alignment horizontal="center" vertical="top" wrapText="1"/>
    </xf>
    <xf numFmtId="0" fontId="4" fillId="12" borderId="5" applyAlignment="1" pivotButton="0" quotePrefix="0" xfId="0">
      <alignment vertical="top" wrapText="1"/>
    </xf>
    <xf numFmtId="0" fontId="6" fillId="12" borderId="6" applyAlignment="1" pivotButton="0" quotePrefix="0" xfId="0">
      <alignment vertical="top" wrapText="1"/>
    </xf>
    <xf numFmtId="0" fontId="4" fillId="6" borderId="5" applyAlignment="1" pivotButton="0" quotePrefix="0" xfId="0">
      <alignment vertical="top" wrapText="1"/>
    </xf>
    <xf numFmtId="0" fontId="6" fillId="6" borderId="5" applyAlignment="1" pivotButton="0" quotePrefix="0" xfId="0">
      <alignment vertical="top" wrapText="1"/>
    </xf>
    <xf numFmtId="0" fontId="4" fillId="6" borderId="5" applyAlignment="1" pivotButton="0" quotePrefix="0" xfId="0">
      <alignment horizontal="center" vertical="top" wrapText="1"/>
    </xf>
    <xf numFmtId="0" fontId="4" fillId="12" borderId="0" applyAlignment="1" pivotButton="0" quotePrefix="0" xfId="0">
      <alignment vertical="top" wrapText="1"/>
    </xf>
    <xf numFmtId="0" fontId="6" fillId="12" borderId="4" applyAlignment="1" pivotButton="0" quotePrefix="0" xfId="0">
      <alignment vertical="top" wrapText="1"/>
    </xf>
    <xf numFmtId="0" fontId="10" fillId="2" borderId="0" applyAlignment="1" pivotButton="0" quotePrefix="0" xfId="0">
      <alignment vertical="top" wrapText="1"/>
    </xf>
    <xf numFmtId="0" fontId="5" fillId="2" borderId="0" applyAlignment="1" pivotButton="0" quotePrefix="0" xfId="0">
      <alignment vertical="top" wrapText="1"/>
    </xf>
    <xf numFmtId="0" fontId="6" fillId="3" borderId="0" applyAlignment="1" pivotButton="0" quotePrefix="0" xfId="0">
      <alignment vertical="top" wrapText="1"/>
    </xf>
    <xf numFmtId="0" fontId="4" fillId="3" borderId="0" applyAlignment="1" pivotButton="0" quotePrefix="0" xfId="0">
      <alignment vertical="top" wrapText="1"/>
    </xf>
    <xf numFmtId="0" fontId="4" fillId="12" borderId="6" applyAlignment="1" pivotButton="0" quotePrefix="0" xfId="0">
      <alignment vertical="top" wrapText="1"/>
    </xf>
    <xf numFmtId="0" fontId="7" fillId="7" borderId="5" applyAlignment="1" pivotButton="0" quotePrefix="0" xfId="0">
      <alignment horizontal="center" vertical="top" wrapText="1"/>
    </xf>
    <xf numFmtId="0" fontId="4" fillId="12" borderId="4" applyAlignment="1" pivotButton="0" quotePrefix="0" xfId="0">
      <alignment vertical="top" wrapText="1"/>
    </xf>
    <xf numFmtId="0" fontId="4" fillId="13" borderId="5" applyAlignment="1" pivotButton="0" quotePrefix="0" xfId="0">
      <alignment vertical="top" wrapText="1"/>
    </xf>
    <xf numFmtId="0" fontId="6" fillId="13" borderId="6" applyAlignment="1" pivotButton="0" quotePrefix="0" xfId="0">
      <alignment vertical="top" wrapText="1"/>
    </xf>
    <xf numFmtId="0" fontId="4" fillId="14" borderId="5" applyAlignment="1" pivotButton="0" quotePrefix="0" xfId="0">
      <alignment vertical="top" wrapText="1"/>
    </xf>
    <xf numFmtId="0" fontId="4" fillId="14" borderId="6" applyAlignment="1" pivotButton="0" quotePrefix="0" xfId="0">
      <alignment vertical="top" wrapText="1"/>
    </xf>
    <xf numFmtId="0" fontId="4" fillId="14" borderId="0" applyAlignment="1" pivotButton="0" quotePrefix="0" xfId="0">
      <alignment vertical="top" wrapText="1"/>
    </xf>
    <xf numFmtId="0" fontId="4" fillId="14" borderId="4" applyAlignment="1" pivotButton="0" quotePrefix="0" xfId="0">
      <alignment vertical="top" wrapText="1"/>
    </xf>
    <xf numFmtId="0" fontId="4" fillId="15" borderId="0" applyAlignment="1" pivotButton="0" quotePrefix="0" xfId="0">
      <alignment vertical="top" wrapText="1"/>
    </xf>
    <xf numFmtId="0" fontId="6" fillId="15" borderId="0" applyAlignment="1" pivotButton="0" quotePrefix="0" xfId="0">
      <alignment vertical="top" wrapText="1"/>
    </xf>
    <xf numFmtId="0" fontId="4" fillId="15" borderId="0" applyAlignment="1" pivotButton="0" quotePrefix="0" xfId="0">
      <alignment horizontal="center" vertical="top" wrapText="1"/>
    </xf>
    <xf numFmtId="0" fontId="7" fillId="15" borderId="0" applyAlignment="1" pivotButton="0" quotePrefix="0" xfId="0">
      <alignment horizontal="center" vertical="top" wrapText="1"/>
    </xf>
    <xf numFmtId="0" fontId="4" fillId="16" borderId="5" applyAlignment="1" pivotButton="0" quotePrefix="0" xfId="0">
      <alignment vertical="top" wrapText="1"/>
    </xf>
    <xf numFmtId="0" fontId="6" fillId="16" borderId="6" applyAlignment="1" pivotButton="0" quotePrefix="0" xfId="0">
      <alignment vertical="top" wrapText="1"/>
    </xf>
    <xf numFmtId="0" fontId="6" fillId="3" borderId="5" applyAlignment="1" pivotButton="0" quotePrefix="0" xfId="0">
      <alignment vertical="top" wrapText="1"/>
    </xf>
    <xf numFmtId="0" fontId="4" fillId="3" borderId="5" applyAlignment="1" pivotButton="0" quotePrefix="0" xfId="0">
      <alignment vertical="top" wrapText="1"/>
    </xf>
    <xf numFmtId="0" fontId="4" fillId="16" borderId="0" applyAlignment="1" pivotButton="0" quotePrefix="0" xfId="0">
      <alignment vertical="top" wrapText="1"/>
    </xf>
    <xf numFmtId="0" fontId="6" fillId="16" borderId="4" applyAlignment="1" pivotButton="0" quotePrefix="0" xfId="0">
      <alignment vertical="top" wrapText="1"/>
    </xf>
    <xf numFmtId="0" fontId="4" fillId="17" borderId="5" applyAlignment="1" pivotButton="0" quotePrefix="0" xfId="0">
      <alignment vertical="top" wrapText="1"/>
    </xf>
    <xf numFmtId="0" fontId="4" fillId="17" borderId="6" applyAlignment="1" pivotButton="0" quotePrefix="0" xfId="0">
      <alignment vertical="top" wrapText="1"/>
    </xf>
    <xf numFmtId="0" fontId="4" fillId="18" borderId="5" applyAlignment="1" pivotButton="0" quotePrefix="0" xfId="0">
      <alignment vertical="top" wrapText="1"/>
    </xf>
    <xf numFmtId="0" fontId="4" fillId="18" borderId="6" applyAlignment="1" pivotButton="0" quotePrefix="0" xfId="0">
      <alignment vertical="top" wrapText="1"/>
    </xf>
    <xf numFmtId="0" fontId="4" fillId="18" borderId="0" applyAlignment="1" pivotButton="0" quotePrefix="0" xfId="0">
      <alignment vertical="top" wrapText="1"/>
    </xf>
    <xf numFmtId="0" fontId="4" fillId="18" borderId="4" applyAlignment="1" pivotButton="0" quotePrefix="0" xfId="0">
      <alignment vertical="top" wrapText="1"/>
    </xf>
    <xf numFmtId="0" fontId="6" fillId="2" borderId="0" applyAlignment="1" pivotButton="0" quotePrefix="0" xfId="0">
      <alignment horizontal="center" vertical="top" wrapText="1"/>
    </xf>
    <xf numFmtId="0" fontId="4" fillId="19" borderId="5" applyAlignment="1" pivotButton="0" quotePrefix="0" xfId="0">
      <alignment vertical="top" wrapText="1"/>
    </xf>
    <xf numFmtId="0" fontId="4" fillId="19" borderId="6" applyAlignment="1" pivotButton="0" quotePrefix="0" xfId="0">
      <alignment vertical="top" wrapText="1"/>
    </xf>
    <xf numFmtId="0" fontId="4" fillId="19" borderId="0" applyAlignment="1" pivotButton="0" quotePrefix="0" xfId="0">
      <alignment vertical="top" wrapText="1"/>
    </xf>
    <xf numFmtId="0" fontId="4" fillId="19" borderId="4" applyAlignment="1" pivotButton="0" quotePrefix="0" xfId="0">
      <alignment vertical="top" wrapText="1"/>
    </xf>
    <xf numFmtId="0" fontId="4" fillId="20" borderId="5" applyAlignment="1" pivotButton="0" quotePrefix="0" xfId="0">
      <alignment vertical="top" wrapText="1"/>
    </xf>
    <xf numFmtId="0" fontId="4" fillId="20" borderId="6" applyAlignment="1" pivotButton="0" quotePrefix="0" xfId="0">
      <alignment vertical="top" wrapText="1"/>
    </xf>
    <xf numFmtId="0" fontId="4" fillId="20" borderId="0" applyAlignment="1" pivotButton="0" quotePrefix="0" xfId="0">
      <alignment vertical="top" wrapText="1"/>
    </xf>
    <xf numFmtId="0" fontId="4" fillId="20" borderId="4" applyAlignment="1" pivotButton="0" quotePrefix="0" xfId="0">
      <alignment vertical="top" wrapText="1"/>
    </xf>
    <xf numFmtId="0" fontId="4" fillId="21" borderId="0" applyAlignment="1" pivotButton="0" quotePrefix="0" xfId="0">
      <alignment vertical="top" wrapText="1"/>
    </xf>
    <xf numFmtId="0" fontId="6" fillId="21" borderId="0" applyAlignment="1" pivotButton="0" quotePrefix="0" xfId="0">
      <alignment vertical="top" wrapText="1"/>
    </xf>
    <xf numFmtId="0" fontId="4" fillId="21" borderId="0" applyAlignment="1" pivotButton="0" quotePrefix="0" xfId="0">
      <alignment horizontal="center" vertical="top" wrapText="1"/>
    </xf>
    <xf numFmtId="0" fontId="7" fillId="21" borderId="0" applyAlignment="1" pivotButton="0" quotePrefix="0" xfId="0">
      <alignment horizontal="center" vertical="top" wrapText="1"/>
    </xf>
    <xf numFmtId="0" fontId="6" fillId="21" borderId="0" applyAlignment="1" pivotButton="0" quotePrefix="0" xfId="0">
      <alignment horizontal="center" vertical="top" wrapText="1"/>
    </xf>
    <xf numFmtId="0" fontId="4" fillId="22" borderId="5" applyAlignment="1" pivotButton="0" quotePrefix="0" xfId="0">
      <alignment vertical="top" wrapText="1"/>
    </xf>
    <xf numFmtId="0" fontId="6" fillId="22" borderId="6" applyAlignment="1" pivotButton="0" quotePrefix="0" xfId="0">
      <alignment vertical="top" wrapText="1"/>
    </xf>
    <xf numFmtId="0" fontId="4" fillId="22" borderId="0" applyAlignment="1" pivotButton="0" quotePrefix="0" xfId="0">
      <alignment vertical="top" wrapText="1"/>
    </xf>
    <xf numFmtId="0" fontId="6" fillId="22" borderId="4" applyAlignment="1" pivotButton="0" quotePrefix="0" xfId="0">
      <alignment vertical="top" wrapText="1"/>
    </xf>
    <xf numFmtId="0" fontId="4" fillId="23" borderId="5" applyAlignment="1" pivotButton="0" quotePrefix="0" xfId="0">
      <alignment vertical="top" wrapText="1"/>
    </xf>
    <xf numFmtId="0" fontId="4" fillId="23" borderId="6" applyAlignment="1" pivotButton="0" quotePrefix="0" xfId="0">
      <alignment vertical="top" wrapText="1"/>
    </xf>
    <xf numFmtId="0" fontId="4" fillId="23" borderId="0" applyAlignment="1" pivotButton="0" quotePrefix="0" xfId="0">
      <alignment vertical="top" wrapText="1"/>
    </xf>
    <xf numFmtId="0" fontId="4" fillId="23" borderId="4" applyAlignment="1" pivotButton="0" quotePrefix="0" xfId="0">
      <alignment vertical="top" wrapText="1"/>
    </xf>
    <xf numFmtId="0" fontId="4" fillId="24" borderId="5" applyAlignment="1" pivotButton="0" quotePrefix="0" xfId="0">
      <alignment vertical="top" wrapText="1"/>
    </xf>
    <xf numFmtId="0" fontId="4" fillId="24" borderId="6" applyAlignment="1" pivotButton="0" quotePrefix="0" xfId="0">
      <alignment vertical="top" wrapText="1"/>
    </xf>
    <xf numFmtId="0" fontId="4" fillId="24" borderId="0" applyAlignment="1" pivotButton="0" quotePrefix="0" xfId="0">
      <alignment vertical="top" wrapText="1"/>
    </xf>
    <xf numFmtId="0" fontId="4" fillId="24" borderId="4" applyAlignment="1" pivotButton="0" quotePrefix="0" xfId="0">
      <alignment vertical="top" wrapText="1"/>
    </xf>
    <xf numFmtId="0" fontId="4" fillId="25" borderId="5" applyAlignment="1" pivotButton="0" quotePrefix="0" xfId="0">
      <alignment vertical="top" wrapText="1"/>
    </xf>
    <xf numFmtId="0" fontId="6" fillId="25" borderId="6" applyAlignment="1" pivotButton="0" quotePrefix="0" xfId="0">
      <alignment vertical="top" wrapText="1"/>
    </xf>
    <xf numFmtId="0" fontId="4" fillId="25" borderId="0" applyAlignment="1" pivotButton="0" quotePrefix="0" xfId="0">
      <alignment vertical="top" wrapText="1"/>
    </xf>
    <xf numFmtId="0" fontId="6" fillId="25" borderId="4" applyAlignment="1" pivotButton="0" quotePrefix="0" xfId="0">
      <alignment vertical="top" wrapText="1"/>
    </xf>
    <xf numFmtId="0" fontId="4" fillId="26" borderId="5" applyAlignment="1" pivotButton="0" quotePrefix="0" xfId="0">
      <alignment vertical="top" wrapText="1"/>
    </xf>
    <xf numFmtId="0" fontId="6" fillId="26" borderId="6" applyAlignment="1" pivotButton="0" quotePrefix="0" xfId="0">
      <alignment vertical="top" wrapText="1"/>
    </xf>
    <xf numFmtId="0" fontId="4" fillId="26" borderId="0" applyAlignment="1" pivotButton="0" quotePrefix="0" xfId="0">
      <alignment vertical="top" wrapText="1"/>
    </xf>
    <xf numFmtId="0" fontId="6" fillId="26" borderId="4" applyAlignment="1" pivotButton="0" quotePrefix="0" xfId="0">
      <alignment vertical="top" wrapText="1"/>
    </xf>
    <xf numFmtId="0" fontId="4" fillId="27" borderId="5" applyAlignment="1" pivotButton="0" quotePrefix="0" xfId="0">
      <alignment vertical="top" wrapText="1"/>
    </xf>
    <xf numFmtId="0" fontId="6" fillId="27" borderId="6" applyAlignment="1" pivotButton="0" quotePrefix="0" xfId="0">
      <alignment vertical="top" wrapText="1"/>
    </xf>
    <xf numFmtId="0" fontId="4" fillId="27" borderId="0" applyAlignment="1" pivotButton="0" quotePrefix="0" xfId="0">
      <alignment vertical="top" wrapText="1"/>
    </xf>
    <xf numFmtId="0" fontId="6" fillId="27" borderId="4" applyAlignment="1" pivotButton="0" quotePrefix="0" xfId="0">
      <alignment vertical="top" wrapText="1"/>
    </xf>
    <xf numFmtId="0" fontId="4" fillId="28" borderId="5" applyAlignment="1" pivotButton="0" quotePrefix="0" xfId="0">
      <alignment vertical="top" wrapText="1"/>
    </xf>
    <xf numFmtId="0" fontId="6" fillId="28" borderId="6" applyAlignment="1" pivotButton="0" quotePrefix="0" xfId="0">
      <alignment vertical="top" wrapText="1"/>
    </xf>
    <xf numFmtId="0" fontId="4" fillId="28" borderId="0" applyAlignment="1" pivotButton="0" quotePrefix="0" xfId="0">
      <alignment vertical="top" wrapText="1"/>
    </xf>
    <xf numFmtId="0" fontId="6" fillId="28" borderId="4" applyAlignment="1" pivotButton="0" quotePrefix="0" xfId="0">
      <alignment vertical="top" wrapText="1"/>
    </xf>
    <xf numFmtId="0" fontId="4" fillId="29" borderId="5" applyAlignment="1" pivotButton="0" quotePrefix="0" xfId="0">
      <alignment vertical="top" wrapText="1"/>
    </xf>
    <xf numFmtId="0" fontId="6" fillId="29" borderId="6" applyAlignment="1" pivotButton="0" quotePrefix="0" xfId="0">
      <alignment vertical="top" wrapText="1"/>
    </xf>
    <xf numFmtId="0" fontId="4" fillId="29" borderId="0" applyAlignment="1" pivotButton="0" quotePrefix="0" xfId="0">
      <alignment vertical="top" wrapText="1"/>
    </xf>
    <xf numFmtId="0" fontId="6" fillId="29" borderId="4" applyAlignment="1" pivotButton="0" quotePrefix="0" xfId="0">
      <alignment vertical="top" wrapText="1"/>
    </xf>
    <xf numFmtId="0" fontId="4" fillId="30" borderId="5" applyAlignment="1" pivotButton="0" quotePrefix="0" xfId="0">
      <alignment vertical="top" wrapText="1"/>
    </xf>
    <xf numFmtId="0" fontId="6" fillId="30" borderId="6" applyAlignment="1" pivotButton="0" quotePrefix="0" xfId="0">
      <alignment vertical="top" wrapText="1"/>
    </xf>
    <xf numFmtId="0" fontId="4" fillId="31" borderId="5" applyAlignment="1" pivotButton="0" quotePrefix="0" xfId="0">
      <alignment vertical="top" wrapText="1"/>
    </xf>
    <xf numFmtId="0" fontId="6" fillId="31" borderId="6" applyAlignment="1" pivotButton="0" quotePrefix="0" xfId="0">
      <alignment vertical="top" wrapText="1"/>
    </xf>
    <xf numFmtId="0" fontId="4" fillId="31" borderId="0" applyAlignment="1" pivotButton="0" quotePrefix="0" xfId="0">
      <alignment vertical="top" wrapText="1"/>
    </xf>
    <xf numFmtId="0" fontId="6" fillId="31" borderId="4" applyAlignment="1" pivotButton="0" quotePrefix="0" xfId="0">
      <alignment vertical="top" wrapText="1"/>
    </xf>
    <xf numFmtId="0" fontId="4" fillId="31" borderId="2" applyAlignment="1" pivotButton="0" quotePrefix="0" xfId="0">
      <alignment vertical="top" wrapText="1"/>
    </xf>
    <xf numFmtId="0" fontId="6" fillId="31" borderId="3" applyAlignment="1" pivotButton="0" quotePrefix="0" xfId="0">
      <alignment vertical="top" wrapText="1"/>
    </xf>
    <xf numFmtId="0" fontId="4" fillId="0" borderId="2" applyAlignment="1" pivotButton="0" quotePrefix="0" xfId="0">
      <alignment vertical="top" wrapText="1"/>
    </xf>
    <xf numFmtId="0" fontId="6" fillId="0" borderId="2" applyAlignment="1" pivotButton="0" quotePrefix="0" xfId="0">
      <alignment vertical="top" wrapText="1"/>
    </xf>
    <xf numFmtId="0" fontId="4" fillId="0" borderId="2" applyAlignment="1" pivotButton="0" quotePrefix="0" xfId="0">
      <alignment horizontal="center" vertical="top" wrapText="1"/>
    </xf>
    <xf numFmtId="0" fontId="7" fillId="8" borderId="2" applyAlignment="1" pivotButton="0" quotePrefix="0" xfId="0">
      <alignment horizontal="center" vertical="top" wrapText="1"/>
    </xf>
    <xf numFmtId="0" fontId="18" fillId="0" borderId="0" applyAlignment="1" pivotButton="0" quotePrefix="0" xfId="0">
      <alignment vertical="top"/>
    </xf>
    <xf numFmtId="0" fontId="14" fillId="4" borderId="7" applyAlignment="1" pivotButton="0" quotePrefix="0" xfId="0">
      <alignment horizontal="center" vertical="top" wrapText="1"/>
    </xf>
    <xf numFmtId="0" fontId="15" fillId="4" borderId="7" applyAlignment="1" pivotButton="0" quotePrefix="0" xfId="0">
      <alignment horizontal="center" vertical="top" wrapText="1"/>
    </xf>
    <xf numFmtId="0" fontId="4" fillId="0" borderId="1" applyAlignment="1" pivotButton="0" quotePrefix="0" xfId="0">
      <alignment vertical="top" wrapText="1"/>
    </xf>
    <xf numFmtId="0" fontId="6" fillId="0" borderId="1" applyAlignment="1" pivotButton="0" quotePrefix="0" xfId="0">
      <alignment vertical="top" wrapText="1"/>
    </xf>
    <xf numFmtId="0" fontId="6" fillId="2" borderId="1" applyAlignment="1" pivotButton="0" quotePrefix="0" xfId="0">
      <alignment vertical="top" wrapText="1"/>
    </xf>
    <xf numFmtId="0" fontId="4" fillId="2" borderId="1" applyAlignment="1" pivotButton="0" quotePrefix="0" xfId="0">
      <alignment vertical="top" wrapText="1"/>
    </xf>
    <xf numFmtId="0" fontId="16" fillId="11" borderId="7" applyAlignment="1" pivotButton="0" quotePrefix="0" xfId="0">
      <alignment vertical="top" wrapText="1"/>
    </xf>
    <xf numFmtId="0" fontId="17" fillId="11" borderId="7" applyAlignment="1" pivotButton="0" quotePrefix="0" xfId="0">
      <alignment vertical="top" wrapText="1"/>
    </xf>
    <xf numFmtId="0" fontId="6" fillId="0" borderId="7" applyAlignment="1" pivotButton="0" quotePrefix="0" xfId="0">
      <alignment vertical="top" wrapText="1"/>
    </xf>
    <xf numFmtId="0" fontId="4" fillId="0" borderId="7" applyAlignment="1" pivotButton="0" quotePrefix="0" xfId="0">
      <alignment vertical="top" wrapText="1"/>
    </xf>
    <xf numFmtId="0" fontId="16" fillId="11" borderId="1" applyAlignment="1" pivotButton="0" quotePrefix="0" xfId="0">
      <alignment vertical="top" wrapText="1"/>
    </xf>
    <xf numFmtId="0" fontId="17" fillId="11" borderId="1" applyAlignment="1" pivotButton="0" quotePrefix="0" xfId="0">
      <alignment vertical="top" wrapText="1"/>
    </xf>
    <xf numFmtId="0" fontId="6" fillId="15" borderId="1" applyAlignment="1" pivotButton="0" quotePrefix="0" xfId="0">
      <alignment vertical="top" wrapText="1"/>
    </xf>
    <xf numFmtId="0" fontId="4" fillId="15" borderId="1" applyAlignment="1" pivotButton="0" quotePrefix="0" xfId="0">
      <alignment vertical="top" wrapText="1"/>
    </xf>
    <xf numFmtId="0" fontId="6" fillId="21" borderId="1" applyAlignment="1" pivotButton="0" quotePrefix="0" xfId="0">
      <alignment vertical="top" wrapText="1"/>
    </xf>
    <xf numFmtId="0" fontId="19" fillId="0" borderId="0" applyAlignment="1" pivotButton="0" quotePrefix="0" xfId="0">
      <alignment vertical="top" wrapText="1"/>
    </xf>
    <xf numFmtId="0" fontId="0" fillId="2" borderId="0" applyAlignment="1" pivotButton="0" quotePrefix="0" xfId="0">
      <alignment vertical="top" wrapText="1"/>
    </xf>
    <xf numFmtId="0" fontId="10" fillId="2" borderId="1" applyAlignment="1" pivotButton="0" quotePrefix="0" xfId="0">
      <alignment vertical="top" wrapText="1"/>
    </xf>
    <xf numFmtId="0" fontId="20" fillId="2" borderId="0" applyAlignment="1" pivotButton="0" quotePrefix="0" xfId="0">
      <alignment vertical="top" wrapText="1"/>
    </xf>
    <xf numFmtId="0" fontId="21" fillId="15" borderId="0" applyAlignment="1" pivotButton="0" quotePrefix="0" xfId="0">
      <alignment vertical="top" wrapText="1"/>
    </xf>
    <xf numFmtId="0" fontId="0" fillId="15" borderId="0" applyAlignment="1" pivotButton="0" quotePrefix="0" xfId="0">
      <alignment vertical="top" wrapText="1"/>
    </xf>
    <xf numFmtId="0" fontId="14" fillId="0" borderId="1" applyAlignment="1" pivotButton="0" quotePrefix="0" xfId="0">
      <alignment horizontal="center" vertical="top" wrapText="1"/>
    </xf>
    <xf numFmtId="0" fontId="15" fillId="0" borderId="1" applyAlignment="1" pivotButton="0" quotePrefix="0" xfId="0">
      <alignment horizontal="center" vertical="top" wrapText="1"/>
    </xf>
    <xf numFmtId="0" fontId="22" fillId="2" borderId="0" applyAlignment="1" pivotButton="0" quotePrefix="0" xfId="0">
      <alignment vertical="top" wrapText="1"/>
    </xf>
    <xf numFmtId="0" fontId="14" fillId="0" borderId="7" applyAlignment="1" pivotButton="0" quotePrefix="0" xfId="0">
      <alignment horizontal="center" vertical="top" wrapText="1"/>
    </xf>
    <xf numFmtId="0" fontId="4" fillId="2" borderId="7" applyAlignment="1" pivotButton="0" quotePrefix="0" xfId="0">
      <alignment vertical="top" wrapText="1"/>
    </xf>
    <xf numFmtId="0" fontId="6" fillId="2" borderId="7" applyAlignment="1" pivotButton="0" quotePrefix="0" xfId="0">
      <alignment vertical="top" wrapText="1"/>
    </xf>
    <xf numFmtId="0" fontId="10" fillId="2" borderId="7" applyAlignment="1" pivotButton="0" quotePrefix="0" xfId="0">
      <alignment vertical="top" wrapText="1"/>
    </xf>
    <xf numFmtId="0" fontId="23" fillId="2" borderId="0" applyAlignment="1" pivotButton="0" quotePrefix="0" xfId="0">
      <alignment vertical="top" wrapText="1"/>
    </xf>
    <xf numFmtId="0" fontId="22" fillId="0" borderId="0" applyAlignment="1" pivotButton="0" quotePrefix="0" xfId="0">
      <alignment vertical="top" wrapText="1"/>
    </xf>
    <xf numFmtId="0" fontId="5" fillId="2" borderId="7" applyAlignment="1" pivotButton="0" quotePrefix="0" xfId="0">
      <alignment vertical="top" wrapText="1"/>
    </xf>
    <xf numFmtId="0" fontId="4" fillId="21" borderId="7" applyAlignment="1" pivotButton="0" quotePrefix="0" xfId="0">
      <alignment vertical="top" wrapText="1"/>
    </xf>
    <xf numFmtId="0" fontId="6" fillId="21" borderId="7" applyAlignment="1" pivotButton="0" quotePrefix="0" xfId="0">
      <alignment vertical="top" wrapText="1"/>
    </xf>
    <xf numFmtId="0" fontId="10" fillId="21" borderId="7" applyAlignment="1" pivotButton="0" quotePrefix="0" xfId="0">
      <alignment vertical="top" wrapText="1"/>
    </xf>
    <xf numFmtId="0" fontId="9" fillId="2" borderId="0" applyAlignment="1" pivotButton="0" quotePrefix="0" xfId="0">
      <alignment vertical="top" wrapText="1"/>
    </xf>
    <xf numFmtId="0" fontId="24" fillId="0" borderId="0" applyAlignment="1" pivotButton="0" quotePrefix="0" xfId="0">
      <alignment vertical="top" wrapText="1"/>
    </xf>
    <xf numFmtId="0" fontId="25" fillId="11" borderId="7" applyAlignment="1" pivotButton="0" quotePrefix="0" xfId="0">
      <alignment vertical="top" wrapText="1"/>
    </xf>
    <xf numFmtId="0" fontId="10" fillId="0" borderId="7" applyAlignment="1" pivotButton="0" quotePrefix="0" xfId="0">
      <alignment vertical="top" wrapText="1"/>
    </xf>
    <xf numFmtId="0" fontId="4" fillId="32" borderId="1" applyAlignment="1" pivotButton="0" quotePrefix="0" xfId="0">
      <alignment vertical="top" wrapText="1"/>
    </xf>
    <xf numFmtId="0" fontId="25" fillId="11" borderId="1" applyAlignment="1" pivotButton="0" quotePrefix="0" xfId="0">
      <alignment vertical="top" wrapText="1"/>
    </xf>
    <xf numFmtId="0" fontId="6" fillId="32" borderId="1" applyAlignment="1" pivotButton="0" quotePrefix="0" xfId="0">
      <alignment vertical="top" wrapText="1"/>
    </xf>
    <xf numFmtId="0" fontId="4" fillId="15" borderId="7" applyAlignment="1" pivotButton="0" quotePrefix="0" xfId="0">
      <alignment vertical="top" wrapText="1"/>
    </xf>
    <xf numFmtId="0" fontId="6" fillId="15" borderId="7" applyAlignment="1" pivotButton="0" quotePrefix="0" xfId="0">
      <alignment vertical="top" wrapText="1"/>
    </xf>
    <xf numFmtId="0" fontId="3" fillId="0" borderId="0" applyAlignment="1" pivotButton="0" quotePrefix="0" xfId="0">
      <alignment horizontal="center" vertical="top" wrapText="1"/>
    </xf>
    <xf numFmtId="0" fontId="26" fillId="21" borderId="7" applyAlignment="1" pivotButton="0" quotePrefix="0" xfId="0">
      <alignment horizontal="center" vertical="top" wrapText="1"/>
    </xf>
    <xf numFmtId="0" fontId="14" fillId="21" borderId="7" applyAlignment="1" pivotButton="0" quotePrefix="0" xfId="0">
      <alignment horizontal="center" vertical="top" wrapText="1"/>
    </xf>
    <xf numFmtId="0" fontId="0" fillId="21" borderId="0" applyAlignment="1" pivotButton="0" quotePrefix="0" xfId="0">
      <alignment vertical="top" wrapText="1"/>
    </xf>
    <xf numFmtId="0" fontId="10" fillId="15" borderId="1" applyAlignment="1" pivotButton="0" quotePrefix="0" xfId="0">
      <alignment vertical="top" wrapText="1"/>
    </xf>
    <xf numFmtId="0" fontId="10" fillId="21" borderId="1" applyAlignment="1" pivotButton="0" quotePrefix="0" xfId="0">
      <alignment vertical="top" wrapText="1"/>
    </xf>
    <xf numFmtId="0" fontId="4" fillId="33" borderId="0" applyAlignment="1" pivotButton="0" quotePrefix="0" xfId="0">
      <alignment vertical="top" wrapText="1"/>
    </xf>
    <xf numFmtId="0" fontId="6" fillId="33" borderId="0" applyAlignment="1" pivotButton="0" quotePrefix="0" xfId="0">
      <alignment vertical="top" wrapText="1"/>
    </xf>
    <xf numFmtId="0" fontId="4" fillId="33" borderId="0" applyAlignment="1" pivotButton="0" quotePrefix="0" xfId="0">
      <alignment horizontal="center" vertical="top" wrapText="1"/>
    </xf>
    <xf numFmtId="0" fontId="7" fillId="33" borderId="0" applyAlignment="1" pivotButton="0" quotePrefix="0" xfId="0">
      <alignment horizontal="center" vertical="top" wrapText="1"/>
    </xf>
    <xf numFmtId="0" fontId="10" fillId="33" borderId="0" applyAlignment="1" pivotButton="0" quotePrefix="0" xfId="0">
      <alignment vertical="top" wrapText="1"/>
    </xf>
    <xf numFmtId="0" fontId="4" fillId="33" borderId="5" applyAlignment="1" pivotButton="0" quotePrefix="0" xfId="0">
      <alignment vertical="top" wrapText="1"/>
    </xf>
    <xf numFmtId="0" fontId="6" fillId="33" borderId="5" applyAlignment="1" pivotButton="0" quotePrefix="0" xfId="0">
      <alignment vertical="top" wrapText="1"/>
    </xf>
    <xf numFmtId="0" fontId="4" fillId="33" borderId="5" applyAlignment="1" pivotButton="0" quotePrefix="0" xfId="0">
      <alignment horizontal="center" vertical="top" wrapText="1"/>
    </xf>
    <xf numFmtId="0" fontId="7" fillId="33" borderId="5" applyAlignment="1" pivotButton="0" quotePrefix="0" xfId="0">
      <alignment horizontal="center" vertical="top" wrapText="1"/>
    </xf>
    <xf numFmtId="0" fontId="3" fillId="33" borderId="0" applyAlignment="1" pivotButton="0" quotePrefix="0" xfId="0">
      <alignment horizontal="center" vertical="top" wrapText="1"/>
    </xf>
    <xf numFmtId="0" fontId="5" fillId="33" borderId="0" applyAlignment="1" pivotButton="0" quotePrefix="0" xfId="0">
      <alignment vertical="top" wrapText="1"/>
    </xf>
    <xf numFmtId="0" fontId="8" fillId="33" borderId="0" applyAlignment="1" pivotButton="0" quotePrefix="0" xfId="0">
      <alignment horizontal="center" vertical="top" wrapText="1"/>
    </xf>
    <xf numFmtId="0" fontId="27" fillId="0" borderId="0" pivotButton="0" quotePrefix="0" xfId="0"/>
    <xf numFmtId="0" fontId="28" fillId="0" borderId="0" pivotButton="0" quotePrefix="0" xfId="0"/>
    <xf numFmtId="0" fontId="29" fillId="34" borderId="8" applyAlignment="1" pivotButton="0" quotePrefix="0" xfId="0">
      <alignment horizontal="center" vertical="center"/>
    </xf>
    <xf numFmtId="0" fontId="30" fillId="35" borderId="8" applyAlignment="1" pivotButton="0" quotePrefix="0" xfId="0">
      <alignment vertical="top"/>
    </xf>
    <xf numFmtId="0" fontId="30" fillId="35" borderId="8" applyAlignment="1" pivotButton="0" quotePrefix="0" xfId="0">
      <alignment vertical="top" wrapText="1"/>
    </xf>
    <xf numFmtId="0" fontId="30" fillId="35" borderId="8" applyAlignment="1" pivotButton="0" quotePrefix="0" xfId="0">
      <alignment horizontal="center" vertical="top"/>
    </xf>
    <xf numFmtId="0" fontId="31" fillId="35" borderId="8" applyAlignment="1" pivotButton="0" quotePrefix="0" xfId="0">
      <alignment vertical="top"/>
    </xf>
    <xf numFmtId="0" fontId="30" fillId="36" borderId="8" applyAlignment="1" pivotButton="0" quotePrefix="0" xfId="0">
      <alignment vertical="top"/>
    </xf>
    <xf numFmtId="0" fontId="30" fillId="36" borderId="8" applyAlignment="1" pivotButton="0" quotePrefix="0" xfId="0">
      <alignment vertical="top" wrapText="1"/>
    </xf>
    <xf numFmtId="0" fontId="30" fillId="36" borderId="8" applyAlignment="1" pivotButton="0" quotePrefix="0" xfId="0">
      <alignment horizontal="center" vertical="top"/>
    </xf>
    <xf numFmtId="0" fontId="31" fillId="36" borderId="8" applyAlignment="1" pivotButton="0" quotePrefix="0" xfId="0">
      <alignment vertical="top"/>
    </xf>
    <xf numFmtId="0" fontId="32" fillId="0" borderId="8" applyAlignment="1" pivotButton="0" quotePrefix="0" xfId="0">
      <alignment vertical="top"/>
    </xf>
    <xf numFmtId="0" fontId="32" fillId="0" borderId="8" applyAlignment="1" pivotButton="0" quotePrefix="0" xfId="0">
      <alignment vertical="top" wrapText="1"/>
    </xf>
    <xf numFmtId="0" fontId="32" fillId="0" borderId="8" applyAlignment="1" pivotButton="0" quotePrefix="0" xfId="0">
      <alignment horizontal="center" vertical="top"/>
    </xf>
    <xf numFmtId="0" fontId="31" fillId="0" borderId="8" applyAlignment="1" pivotButton="0" quotePrefix="0" xfId="0">
      <alignment vertical="top"/>
    </xf>
    <xf numFmtId="0" fontId="33" fillId="33" borderId="7" applyAlignment="1" pivotButton="0" quotePrefix="0" xfId="0">
      <alignment vertical="top" wrapText="1"/>
    </xf>
    <xf numFmtId="0" fontId="34" fillId="33" borderId="7" applyAlignment="1" pivotButton="0" quotePrefix="0" xfId="0">
      <alignment vertical="top" wrapText="1"/>
    </xf>
    <xf numFmtId="0" fontId="9" fillId="37" borderId="0" applyAlignment="1" pivotButton="0" quotePrefix="0" xfId="0">
      <alignment vertical="top" wrapText="1"/>
    </xf>
    <xf numFmtId="0" fontId="0" fillId="37" borderId="0" applyAlignment="1" pivotButton="0" quotePrefix="0" xfId="0">
      <alignment vertical="top" wrapText="1"/>
    </xf>
    <xf numFmtId="0" fontId="35" fillId="38" borderId="0" pivotButton="0" quotePrefix="0" xfId="0"/>
    <xf numFmtId="0" fontId="0" fillId="39" borderId="0" applyAlignment="1" pivotButton="0" quotePrefix="0" xfId="0">
      <alignment vertical="top" wrapText="1"/>
    </xf>
    <xf numFmtId="0" fontId="4" fillId="40" borderId="0" applyAlignment="1" pivotButton="0" quotePrefix="0" xfId="0">
      <alignment vertical="top" wrapText="1"/>
    </xf>
    <xf numFmtId="0" fontId="4" fillId="40" borderId="4" applyAlignment="1" pivotButton="0" quotePrefix="0" xfId="0">
      <alignment vertical="top" wrapText="1"/>
    </xf>
    <xf numFmtId="0" fontId="4" fillId="41" borderId="0" applyAlignment="1" pivotButton="0" quotePrefix="0" xfId="0">
      <alignment vertical="top" wrapText="1"/>
    </xf>
    <xf numFmtId="0" fontId="6" fillId="41" borderId="0" applyAlignment="1" pivotButton="0" quotePrefix="0" xfId="0">
      <alignment vertical="top" wrapText="1"/>
    </xf>
    <xf numFmtId="0" fontId="9" fillId="33" borderId="0" applyAlignment="1" pivotButton="0" quotePrefix="0" xfId="0">
      <alignment vertical="top" wrapText="1"/>
    </xf>
    <xf numFmtId="0" fontId="0" fillId="33" borderId="0" applyAlignment="1" pivotButton="0" quotePrefix="0" xfId="0">
      <alignment vertical="top" wrapText="1"/>
    </xf>
    <xf numFmtId="0" fontId="8" fillId="41" borderId="0" applyAlignment="1" pivotButton="0" quotePrefix="0" xfId="0">
      <alignment vertical="top" wrapText="1"/>
    </xf>
    <xf numFmtId="0" fontId="41" fillId="33" borderId="5" applyAlignment="1" pivotButton="0" quotePrefix="0" xfId="0">
      <alignment vertical="top" wrapText="1"/>
    </xf>
    <xf numFmtId="0" fontId="41" fillId="33" borderId="0" applyAlignment="1" pivotButton="0" quotePrefix="0" xfId="0">
      <alignment vertical="top" wrapText="1"/>
    </xf>
    <xf numFmtId="0" fontId="41" fillId="2" borderId="0" applyAlignment="1" pivotButton="0" quotePrefix="0" xfId="0">
      <alignment vertical="top" wrapText="1"/>
    </xf>
    <xf numFmtId="0" fontId="43" fillId="2" borderId="0" applyAlignment="1" pivotButton="0" quotePrefix="0" xfId="0">
      <alignment vertical="top" wrapText="1"/>
    </xf>
    <xf numFmtId="0" fontId="41" fillId="3" borderId="0" applyAlignment="1" pivotButton="0" quotePrefix="0" xfId="0">
      <alignment vertical="top" wrapText="1"/>
    </xf>
    <xf numFmtId="0" fontId="41" fillId="21" borderId="0" applyAlignment="1" pivotButton="0" quotePrefix="0" xfId="0">
      <alignment vertical="top" wrapText="1"/>
    </xf>
    <xf numFmtId="0" fontId="46" fillId="3" borderId="0" applyAlignment="1" pivotButton="0" quotePrefix="0" xfId="0">
      <alignment vertical="top" wrapText="1"/>
    </xf>
    <xf numFmtId="0" fontId="41" fillId="3" borderId="5" applyAlignment="1" pivotButton="0" quotePrefix="0" xfId="0">
      <alignment vertical="top" wrapText="1"/>
    </xf>
    <xf numFmtId="0" fontId="43" fillId="3" borderId="5" applyAlignment="1" pivotButton="0" quotePrefix="0" xfId="0">
      <alignment vertical="top" wrapText="1"/>
    </xf>
    <xf numFmtId="0" fontId="43" fillId="3" borderId="0" applyAlignment="1" pivotButton="0" quotePrefix="0" xfId="0">
      <alignment vertical="top" wrapText="1"/>
    </xf>
    <xf numFmtId="0" fontId="46" fillId="33" borderId="5" applyAlignment="1" pivotButton="0" quotePrefix="0" xfId="0">
      <alignment vertical="top" wrapText="1"/>
    </xf>
    <xf numFmtId="0" fontId="47" fillId="0" borderId="0" pivotButton="0" quotePrefix="0" xfId="0"/>
    <xf numFmtId="0" fontId="48" fillId="0" borderId="0" applyAlignment="1" pivotButton="0" quotePrefix="0" xfId="0">
      <alignment horizontal="center" vertical="top"/>
    </xf>
    <xf numFmtId="0" fontId="48" fillId="0" borderId="0" applyAlignment="1" pivotButton="0" quotePrefix="0" xfId="0">
      <alignment horizontal="center" vertical="top" wrapText="1"/>
    </xf>
    <xf numFmtId="0" fontId="7" fillId="3" borderId="0" applyAlignment="1" pivotButton="0" quotePrefix="0" xfId="0">
      <alignment horizontal="center" vertical="top" wrapText="1"/>
    </xf>
    <xf numFmtId="0" fontId="7" fillId="41" borderId="0" applyAlignment="1" pivotButton="0" quotePrefix="0" xfId="0">
      <alignment horizontal="center" vertical="top" wrapText="1"/>
    </xf>
    <xf numFmtId="0" fontId="7" fillId="3" borderId="5" applyAlignment="1" pivotButton="0" quotePrefix="0" xfId="0">
      <alignment horizontal="center" vertical="top" wrapText="1"/>
    </xf>
    <xf numFmtId="0" fontId="1" fillId="42" borderId="0" applyAlignment="1" pivotButton="0" quotePrefix="0" xfId="0">
      <alignment vertical="top"/>
    </xf>
    <xf numFmtId="0" fontId="0" fillId="42" borderId="0" applyAlignment="1" pivotButton="0" quotePrefix="0" xfId="0">
      <alignment vertical="top"/>
    </xf>
    <xf numFmtId="0" fontId="2" fillId="42" borderId="0" applyAlignment="1" pivotButton="0" quotePrefix="0" xfId="0">
      <alignment vertical="top"/>
    </xf>
    <xf numFmtId="0" fontId="3" fillId="42" borderId="0" applyAlignment="1" pivotButton="0" quotePrefix="0" xfId="0">
      <alignment vertical="top" wrapText="1"/>
    </xf>
    <xf numFmtId="0" fontId="4" fillId="42" borderId="0" applyAlignment="1" pivotButton="0" quotePrefix="0" xfId="0">
      <alignment vertical="top" wrapText="1"/>
    </xf>
    <xf numFmtId="0" fontId="8" fillId="0" borderId="0" applyAlignment="1" pivotButton="0" quotePrefix="0" xfId="0">
      <alignment vertical="top" wrapText="1"/>
    </xf>
    <xf numFmtId="0" fontId="0" fillId="42" borderId="0" applyAlignment="1" pivotButton="0" quotePrefix="0" xfId="0">
      <alignment vertical="top" wrapText="1"/>
    </xf>
    <xf numFmtId="0" fontId="8" fillId="42" borderId="0" applyAlignment="1" pivotButton="0" quotePrefix="0" xfId="0">
      <alignment vertical="top" wrapText="1"/>
    </xf>
    <xf numFmtId="0" fontId="34" fillId="42" borderId="0" applyAlignment="1" pivotButton="0" quotePrefix="0" xfId="0">
      <alignment vertical="top" wrapText="1"/>
    </xf>
    <xf numFmtId="0" fontId="9" fillId="42" borderId="0" applyAlignment="1" pivotButton="0" quotePrefix="0" xfId="0">
      <alignment vertical="top" wrapText="1"/>
    </xf>
    <xf numFmtId="0" fontId="9" fillId="0" borderId="0" applyAlignment="1" pivotButton="0" quotePrefix="0" xfId="0">
      <alignment vertical="top" wrapText="1"/>
    </xf>
    <xf numFmtId="0" fontId="0" fillId="42" borderId="0" pivotButton="0" quotePrefix="0" xfId="0"/>
    <xf numFmtId="0" fontId="32" fillId="42" borderId="8" applyAlignment="1" pivotButton="0" quotePrefix="0" xfId="0">
      <alignment vertical="top"/>
    </xf>
    <xf numFmtId="0" fontId="32" fillId="42" borderId="8" applyAlignment="1" pivotButton="0" quotePrefix="0" xfId="0">
      <alignment vertical="top" wrapText="1"/>
    </xf>
    <xf numFmtId="0" fontId="32" fillId="42" borderId="8" applyAlignment="1" pivotButton="0" quotePrefix="0" xfId="0">
      <alignment horizontal="center" vertical="top"/>
    </xf>
    <xf numFmtId="0" fontId="31" fillId="42" borderId="8" applyAlignment="1" pivotButton="0" quotePrefix="0" xfId="0">
      <alignment vertical="top"/>
    </xf>
    <xf numFmtId="0" fontId="7" fillId="0" borderId="0" applyAlignment="1" pivotButton="0" quotePrefix="0" xfId="0">
      <alignment horizontal="center" vertical="top" wrapText="1"/>
    </xf>
    <xf numFmtId="0" fontId="7" fillId="0" borderId="5" applyAlignment="1" pivotButton="0" quotePrefix="0" xfId="0">
      <alignment horizontal="center" vertical="top" wrapText="1"/>
    </xf>
    <xf numFmtId="0" fontId="41" fillId="0" borderId="5" applyAlignment="1" pivotButton="0" quotePrefix="0" xfId="0">
      <alignment vertical="top" wrapText="1"/>
    </xf>
    <xf numFmtId="0" fontId="41" fillId="0" borderId="0" applyAlignment="1" pivotButton="0" quotePrefix="0" xfId="0">
      <alignment vertical="top" wrapText="1"/>
    </xf>
    <xf numFmtId="0" fontId="5" fillId="0" borderId="0" applyAlignment="1" pivotButton="0" quotePrefix="0" xfId="0">
      <alignment vertical="top" wrapText="1"/>
    </xf>
    <xf numFmtId="0" fontId="8" fillId="0" borderId="0" applyAlignment="1" pivotButton="0" quotePrefix="0" xfId="0">
      <alignment horizontal="center" vertical="top" wrapText="1"/>
    </xf>
    <xf numFmtId="0" fontId="43" fillId="0" borderId="0" applyAlignment="1" pivotButton="0" quotePrefix="0" xfId="0">
      <alignment vertical="top" wrapText="1"/>
    </xf>
    <xf numFmtId="0" fontId="6" fillId="0" borderId="0" applyAlignment="1" pivotButton="0" quotePrefix="0" xfId="0">
      <alignment horizontal="center" vertical="top" wrapText="1"/>
    </xf>
    <xf numFmtId="0" fontId="6" fillId="42" borderId="0" applyAlignment="1" pivotButton="0" quotePrefix="0" xfId="0">
      <alignment vertical="top" wrapText="1"/>
    </xf>
    <xf numFmtId="0" fontId="4" fillId="42" borderId="0" applyAlignment="1" pivotButton="0" quotePrefix="0" xfId="0">
      <alignment horizontal="center" vertical="top" wrapText="1"/>
    </xf>
    <xf numFmtId="0" fontId="7" fillId="42" borderId="0" applyAlignment="1" pivotButton="0" quotePrefix="0" xfId="0">
      <alignment horizontal="center" vertical="top" wrapText="1"/>
    </xf>
    <xf numFmtId="0" fontId="46" fillId="42" borderId="0" applyAlignment="1" pivotButton="0" quotePrefix="0" xfId="0">
      <alignment vertical="top" wrapText="1"/>
    </xf>
    <xf numFmtId="0" fontId="43" fillId="0" borderId="5" applyAlignment="1" pivotButton="0" quotePrefix="0" xfId="0">
      <alignment vertical="top" wrapText="1"/>
    </xf>
    <xf numFmtId="0" fontId="46" fillId="0" borderId="5" applyAlignment="1" pivotButton="0" quotePrefix="0" xfId="0">
      <alignment vertical="top" wrapText="1"/>
    </xf>
    <xf numFmtId="0" fontId="7" fillId="0" borderId="2" applyAlignment="1" pivotButton="0" quotePrefix="0" xfId="0">
      <alignment horizontal="center" vertical="top" wrapText="1"/>
    </xf>
    <xf numFmtId="0" fontId="10" fillId="0" borderId="1" applyAlignment="1" pivotButton="0" quotePrefix="0" xfId="0">
      <alignment vertical="top" wrapText="1"/>
    </xf>
    <xf numFmtId="0" fontId="20" fillId="0" borderId="0" applyAlignment="1" pivotButton="0" quotePrefix="0" xfId="0">
      <alignment vertical="top" wrapText="1"/>
    </xf>
    <xf numFmtId="0" fontId="21" fillId="0" borderId="0" applyAlignment="1" pivotButton="0" quotePrefix="0" xfId="0">
      <alignment vertical="top" wrapText="1"/>
    </xf>
    <xf numFmtId="0" fontId="23" fillId="0" borderId="0" applyAlignment="1" pivotButton="0" quotePrefix="0" xfId="0">
      <alignment vertical="top" wrapText="1"/>
    </xf>
    <xf numFmtId="0" fontId="5" fillId="0" borderId="7" applyAlignment="1" pivotButton="0" quotePrefix="0" xfId="0">
      <alignment vertical="top" wrapText="1"/>
    </xf>
    <xf numFmtId="0" fontId="16" fillId="0" borderId="7" applyAlignment="1" pivotButton="0" quotePrefix="0" xfId="0">
      <alignment vertical="top" wrapText="1"/>
    </xf>
    <xf numFmtId="0" fontId="17" fillId="0" borderId="7" applyAlignment="1" pivotButton="0" quotePrefix="0" xfId="0">
      <alignment vertical="top" wrapText="1"/>
    </xf>
    <xf numFmtId="0" fontId="25" fillId="0" borderId="7" applyAlignment="1" pivotButton="0" quotePrefix="0" xfId="0">
      <alignment vertical="top" wrapText="1"/>
    </xf>
    <xf numFmtId="0" fontId="16" fillId="0" borderId="1" applyAlignment="1" pivotButton="0" quotePrefix="0" xfId="0">
      <alignment vertical="top" wrapText="1"/>
    </xf>
    <xf numFmtId="0" fontId="17" fillId="0" borderId="1" applyAlignment="1" pivotButton="0" quotePrefix="0" xfId="0">
      <alignment vertical="top" wrapText="1"/>
    </xf>
    <xf numFmtId="0" fontId="25" fillId="0" borderId="1" applyAlignment="1" pivotButton="0" quotePrefix="0" xfId="0">
      <alignment vertical="top" wrapText="1"/>
    </xf>
    <xf numFmtId="0" fontId="4" fillId="42" borderId="7" applyAlignment="1" pivotButton="0" quotePrefix="0" xfId="0">
      <alignment vertical="top" wrapText="1"/>
    </xf>
    <xf numFmtId="0" fontId="6" fillId="42" borderId="7" applyAlignment="1" pivotButton="0" quotePrefix="0" xfId="0">
      <alignment vertical="top" wrapText="1"/>
    </xf>
    <xf numFmtId="0" fontId="26" fillId="0" borderId="7" applyAlignment="1" pivotButton="0" quotePrefix="0" xfId="0">
      <alignment horizontal="center" vertical="top" wrapText="1"/>
    </xf>
    <xf numFmtId="0" fontId="33" fillId="0" borderId="7" applyAlignment="1" pivotButton="0" quotePrefix="0" xfId="0">
      <alignment vertical="top" wrapText="1"/>
    </xf>
    <xf numFmtId="0" fontId="34" fillId="0" borderId="7" applyAlignment="1" pivotButton="0" quotePrefix="0" xfId="0">
      <alignment vertical="top" wrapText="1"/>
    </xf>
    <xf numFmtId="0" fontId="49" fillId="42" borderId="0" applyAlignment="1" pivotButton="0" quotePrefix="0" xfId="0">
      <alignment vertical="top" wrapText="1"/>
    </xf>
    <xf numFmtId="0" fontId="50" fillId="42" borderId="0" applyAlignment="1" pivotButton="0" quotePrefix="0" xfId="0">
      <alignment vertical="top" wrapText="1"/>
    </xf>
  </cellXfs>
  <cellStyles count="1">
    <cellStyle name="표준" xfId="0" builtinId="0"/>
  </cellStyles>
  <tableStyles count="0" defaultTableStyle="TableStyleMedium2" defaultPivotStyle="PivotStyleLight16"/>
  <colors>
    <indexedColors>
      <rgbColor rgb="FF000000"/>
      <rgbColor rgb="FFFFFFFF"/>
      <rgbColor rgb="FFC00000"/>
      <rgbColor rgb="FFEDEDED"/>
      <rgbColor rgb="FF0000FF"/>
      <rgbColor rgb="FFFCD5B4"/>
      <rgbColor rgb="FFFF00FF"/>
      <rgbColor rgb="FFD0E0E3"/>
      <rgbColor rgb="FF800000"/>
      <rgbColor rgb="FF008000"/>
      <rgbColor rgb="FF000080"/>
      <rgbColor rgb="FFCCC0DA"/>
      <rgbColor rgb="FF800080"/>
      <rgbColor rgb="FFFCE5CD"/>
      <rgbColor rgb="FFBFBFBF"/>
      <rgbColor rgb="FF7F7F7F"/>
      <rgbColor rgb="FFA4C2F4"/>
      <rgbColor rgb="FFEAD1DC"/>
      <rgbColor rgb="FFFFF2CC"/>
      <rgbColor rgb="FFDAEEF3"/>
      <rgbColor rgb="FF660066"/>
      <rgbColor rgb="FFF1948A"/>
      <rgbColor rgb="FFF2F4F7"/>
      <rgbColor rgb="FFC9DAF8"/>
      <rgbColor rgb="FF000080"/>
      <rgbColor rgb="FFFF00FF"/>
      <rgbColor rgb="FFFDECC8"/>
      <rgbColor rgb="FFDDD9C4"/>
      <rgbColor rgb="FF800080"/>
      <rgbColor rgb="FF800000"/>
      <rgbColor rgb="FFFCE4D6"/>
      <rgbColor rgb="FF0000FF"/>
      <rgbColor rgb="FFCFE2F3"/>
      <rgbColor rgb="FFE2EFDA"/>
      <rgbColor rgb="FFD9EAD3"/>
      <rgbColor rgb="FFFFE599"/>
      <rgbColor rgb="FF9FC5E8"/>
      <rgbColor rgb="FFEA9999"/>
      <rgbColor rgb="FFB4A7D6"/>
      <rgbColor rgb="FFF9CB9C"/>
      <rgbColor rgb="FFD9D2E9"/>
      <rgbColor rgb="FFA2C4C9"/>
      <rgbColor rgb="FFA9D08E"/>
      <rgbColor rgb="FFFFD966"/>
      <rgbColor rgb="FFF4CCCC"/>
      <rgbColor rgb="FFD0D0D0"/>
      <rgbColor rgb="FF666666"/>
      <rgbColor rgb="FFD5A6BD"/>
      <rgbColor rgb="FF1F3864"/>
      <rgbColor rgb="FFB6D7A8"/>
      <rgbColor rgb="FF003300"/>
      <rgbColor rgb="FF333300"/>
      <rgbColor rgb="FF993300"/>
      <rgbColor rgb="FFE4DFEC"/>
      <rgbColor rgb="FF333399"/>
      <rgbColor rgb="FF595959"/>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showGridLines="0" zoomScaleNormal="100" workbookViewId="0">
      <selection activeCell="A1" sqref="A1"/>
    </sheetView>
  </sheetViews>
  <sheetFormatPr baseColWidth="8" defaultColWidth="14.42578125" defaultRowHeight="15"/>
  <cols>
    <col width="24" customWidth="1" min="1" max="1"/>
    <col width="120" customWidth="1" min="2" max="2"/>
    <col width="8.7109375" customWidth="1" min="3" max="6"/>
  </cols>
  <sheetData>
    <row r="1" ht="23.25" customHeight="1">
      <c r="A1" s="252" t="inlineStr">
        <is>
          <t>Pix/ate · AI 상세페이지 로컬라이제이션 서비스 요구사항정의서 v3.2.1</t>
        </is>
      </c>
      <c r="B1" s="253"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5" customHeight="1">
      <c r="A2" s="254" t="inlineStr">
        <is>
          <t>파이프라인 재구성(병렬 분기) · 산출물 축 신설 · 편집기 제거 — 제자리 번역 확정 / 9/3 결정: 번역 후보 다중 생성 폐기 — 폭 수렴은 조판 조정, 미수렴은 검수 이관 / 9/1 결정: N5 좌우 2분할·슬라이더 · 검수 중 섹션 제외 · 처리 중단 복귀 · baked 산출물 · 결과물 분할</t>
        </is>
      </c>
      <c r="B2" s="253"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ht="15" customHeight="1">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ht="17.25" customHeight="1">
      <c r="A4" s="4" t="inlineStr">
        <is>
          <t>문서명</t>
        </is>
      </c>
      <c r="B4" s="5" t="inlineStr">
        <is>
          <t>Pix/ate 요구사항정의서 (기능명세 PRD 후속)</t>
        </is>
      </c>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row>
    <row r="5" ht="17.25" customHeight="1">
      <c r="A5" s="255" t="inlineStr">
        <is>
          <t>버전</t>
        </is>
      </c>
      <c r="B5" s="256" t="inlineStr">
        <is>
          <t>v3.2.1 (2026-09-03) · 번역 후보 다중 생성 폐기(F-TRN-08·F-CFM-11) — 폭 수렴은 조판 조정(F-TRN-04), 조정 상한 미수렴은 폭 초과 표시 후 검수 이관 · 이전 v3.2 (2026-09-02)</t>
        </is>
      </c>
      <c r="C5" s="6" t="n"/>
      <c r="D5" s="6" t="n"/>
      <c r="E5" s="6" t="n"/>
      <c r="F5" s="6" t="n"/>
      <c r="G5" s="6" t="n"/>
      <c r="H5" s="6" t="n"/>
      <c r="I5" s="6" t="n"/>
      <c r="J5" s="6" t="n"/>
      <c r="K5" s="6" t="n"/>
      <c r="L5" s="6" t="n"/>
      <c r="M5" s="6" t="n"/>
      <c r="N5" s="6" t="n"/>
      <c r="O5" s="6" t="n"/>
      <c r="P5" s="6" t="n"/>
      <c r="Q5" s="6" t="n"/>
      <c r="R5" s="6" t="n"/>
      <c r="S5" s="6" t="n"/>
      <c r="T5" s="6" t="n"/>
      <c r="U5" s="6" t="n"/>
      <c r="V5" s="6" t="n"/>
      <c r="W5" s="6" t="n"/>
      <c r="X5" s="6" t="n"/>
      <c r="Y5" s="6" t="n"/>
      <c r="Z5" s="6" t="n"/>
    </row>
    <row r="6" ht="17.25" customHeight="1">
      <c r="A6" s="4" t="inlineStr">
        <is>
          <t>작성</t>
        </is>
      </c>
      <c r="B6" s="9" t="inlineStr">
        <is>
          <t>은다빈 (PM)</t>
        </is>
      </c>
      <c r="C6" s="6" t="n"/>
      <c r="D6" s="6" t="n"/>
      <c r="E6" s="6" t="n"/>
      <c r="F6" s="6" t="n"/>
      <c r="G6" s="6" t="n"/>
      <c r="H6" s="6" t="n"/>
      <c r="I6" s="6" t="n"/>
      <c r="J6" s="6" t="n"/>
      <c r="K6" s="6" t="n"/>
      <c r="L6" s="6" t="n"/>
      <c r="M6" s="6" t="n"/>
      <c r="N6" s="6" t="n"/>
      <c r="O6" s="6" t="n"/>
      <c r="P6" s="6" t="n"/>
      <c r="Q6" s="6" t="n"/>
      <c r="R6" s="6" t="n"/>
      <c r="S6" s="6" t="n"/>
      <c r="T6" s="6" t="n"/>
      <c r="U6" s="6" t="n"/>
      <c r="V6" s="6" t="n"/>
      <c r="W6" s="6" t="n"/>
      <c r="X6" s="6" t="n"/>
      <c r="Y6" s="6" t="n"/>
      <c r="Z6" s="6" t="n"/>
    </row>
    <row r="7" ht="17.25" customHeight="1">
      <c r="A7" s="4" t="inlineStr">
        <is>
          <t>작성 근거</t>
        </is>
      </c>
      <c r="B7" s="9" t="inlineStr">
        <is>
          <t>변경안 v3.0(8/31 — 8/29 팀 화이트보드·8/31 API 조사·PSD 실측 반영) 기준 개정. 실근무일 산정은 실행계획 v3.0.</t>
        </is>
      </c>
      <c r="C7" s="6" t="n"/>
      <c r="D7" s="6" t="n"/>
      <c r="E7" s="6" t="n"/>
      <c r="F7" s="6" t="n"/>
      <c r="G7" s="6" t="n"/>
      <c r="H7" s="6" t="n"/>
      <c r="I7" s="6" t="n"/>
      <c r="J7" s="6" t="n"/>
      <c r="K7" s="6" t="n"/>
      <c r="L7" s="6" t="n"/>
      <c r="M7" s="6" t="n"/>
      <c r="N7" s="6" t="n"/>
      <c r="O7" s="6" t="n"/>
      <c r="P7" s="6" t="n"/>
      <c r="Q7" s="6" t="n"/>
      <c r="R7" s="6" t="n"/>
      <c r="S7" s="6" t="n"/>
      <c r="T7" s="6" t="n"/>
      <c r="U7" s="6" t="n"/>
      <c r="V7" s="6" t="n"/>
      <c r="W7" s="6" t="n"/>
      <c r="X7" s="6" t="n"/>
      <c r="Y7" s="6" t="n"/>
      <c r="Z7" s="6" t="n"/>
    </row>
    <row r="8" ht="17.25" customHeight="1">
      <c r="A8" s="4" t="n"/>
      <c r="B8" s="5" t="n"/>
      <c r="C8" s="6" t="n"/>
      <c r="D8" s="6" t="n"/>
      <c r="E8" s="6" t="n"/>
      <c r="F8" s="6" t="n"/>
      <c r="G8" s="6" t="n"/>
      <c r="H8" s="6" t="n"/>
      <c r="I8" s="6" t="n"/>
      <c r="J8" s="6" t="n"/>
      <c r="K8" s="6" t="n"/>
      <c r="L8" s="6" t="n"/>
      <c r="M8" s="6" t="n"/>
      <c r="N8" s="6" t="n"/>
      <c r="O8" s="6" t="n"/>
      <c r="P8" s="6" t="n"/>
      <c r="Q8" s="6" t="n"/>
      <c r="R8" s="6" t="n"/>
      <c r="S8" s="6" t="n"/>
      <c r="T8" s="6" t="n"/>
      <c r="U8" s="6" t="n"/>
      <c r="V8" s="6" t="n"/>
      <c r="W8" s="6" t="n"/>
      <c r="X8" s="6" t="n"/>
      <c r="Y8" s="6" t="n"/>
      <c r="Z8" s="6" t="n"/>
    </row>
    <row r="9" ht="31.5" customHeight="1">
      <c r="A9" s="4" t="inlineStr">
        <is>
          <t>★프로젝트 성격</t>
        </is>
      </c>
      <c r="B9" s="9" t="inlineStr">
        <is>
          <t>실제 쇼핑몰 업로드 및 서비스 릴리스는 하지 않는다. 기능 구현과 시연(영상·스크린샷) 수준까지를 완성 범위로 한다. 이 전제가 MVP 범위 판단의 1차 기준이다.</t>
        </is>
      </c>
      <c r="C9" s="6" t="n"/>
      <c r="D9" s="6" t="n"/>
      <c r="E9" s="6" t="n"/>
      <c r="F9" s="6" t="n"/>
      <c r="G9" s="6" t="n"/>
      <c r="H9" s="6" t="n"/>
      <c r="I9" s="6" t="n"/>
      <c r="J9" s="6" t="n"/>
      <c r="K9" s="6" t="n"/>
      <c r="L9" s="6" t="n"/>
      <c r="M9" s="6" t="n"/>
      <c r="N9" s="6" t="n"/>
      <c r="O9" s="6" t="n"/>
      <c r="P9" s="6" t="n"/>
      <c r="Q9" s="6" t="n"/>
      <c r="R9" s="6" t="n"/>
      <c r="S9" s="6" t="n"/>
      <c r="T9" s="6" t="n"/>
      <c r="U9" s="6" t="n"/>
      <c r="V9" s="6" t="n"/>
      <c r="W9" s="6" t="n"/>
      <c r="X9" s="6" t="n"/>
      <c r="Y9" s="6" t="n"/>
      <c r="Z9" s="6" t="n"/>
    </row>
    <row r="10" ht="17.25" customHeight="1">
      <c r="A10" s="15" t="inlineStr">
        <is>
          <t>중간 공유 마일스톤</t>
        </is>
      </c>
      <c r="B10" s="5" t="inlineStr">
        <is>
          <t>2026-10-01 (목) 중간 공유 — 관문 아님. 하루 순연(9/30 수 → 10/1 목, PM 확정 9/1). 완성도 압박은 12/11로 재배분, 9월은 진척 가시성</t>
        </is>
      </c>
      <c r="C10" s="6" t="n"/>
      <c r="D10" s="6" t="n"/>
      <c r="E10" s="6" t="n"/>
      <c r="F10" s="6" t="n"/>
      <c r="G10" s="6" t="n"/>
      <c r="H10" s="6" t="n"/>
      <c r="I10" s="6" t="n"/>
      <c r="J10" s="6" t="n"/>
      <c r="K10" s="6" t="n"/>
      <c r="L10" s="6" t="n"/>
      <c r="M10" s="6" t="n"/>
      <c r="N10" s="6" t="n"/>
      <c r="O10" s="6" t="n"/>
      <c r="P10" s="6" t="n"/>
      <c r="Q10" s="6" t="n"/>
      <c r="R10" s="6" t="n"/>
      <c r="S10" s="6" t="n"/>
      <c r="T10" s="6" t="n"/>
      <c r="U10" s="6" t="n"/>
      <c r="V10" s="6" t="n"/>
      <c r="W10" s="6" t="n"/>
      <c r="X10" s="6" t="n"/>
      <c r="Y10" s="6" t="n"/>
      <c r="Z10" s="6" t="n"/>
    </row>
    <row r="11" ht="17.25" customHeight="1">
      <c r="A11" s="4" t="inlineStr">
        <is>
          <t>최종 마일스톤</t>
        </is>
      </c>
      <c r="B11" s="5" t="inlineStr">
        <is>
          <t>2026-12-11 (금) 최종발표 — 실질 마일스톤</t>
        </is>
      </c>
      <c r="C11" s="6" t="n"/>
      <c r="D11" s="6" t="n"/>
      <c r="E11" s="6" t="n"/>
      <c r="F11" s="6" t="n"/>
      <c r="G11" s="6" t="n"/>
      <c r="H11" s="6" t="n"/>
      <c r="I11" s="6" t="n"/>
      <c r="J11" s="6" t="n"/>
      <c r="K11" s="6" t="n"/>
      <c r="L11" s="6" t="n"/>
      <c r="M11" s="6" t="n"/>
      <c r="N11" s="6" t="n"/>
      <c r="O11" s="6" t="n"/>
      <c r="P11" s="6" t="n"/>
      <c r="Q11" s="6" t="n"/>
      <c r="R11" s="6" t="n"/>
      <c r="S11" s="6" t="n"/>
      <c r="T11" s="6" t="n"/>
      <c r="U11" s="6" t="n"/>
      <c r="V11" s="6" t="n"/>
      <c r="W11" s="6" t="n"/>
      <c r="X11" s="6" t="n"/>
      <c r="Y11" s="6" t="n"/>
      <c r="Z11" s="6" t="n"/>
    </row>
    <row r="12" ht="17.25" customHeight="1">
      <c r="A12" s="4" t="n"/>
      <c r="B12" s="5" t="n"/>
      <c r="C12" s="6" t="n"/>
      <c r="D12" s="6" t="n"/>
      <c r="E12" s="6" t="n"/>
      <c r="F12" s="6" t="n"/>
      <c r="G12" s="6" t="n"/>
      <c r="H12" s="6" t="n"/>
      <c r="I12" s="6" t="n"/>
      <c r="J12" s="6" t="n"/>
      <c r="K12" s="6" t="n"/>
      <c r="L12" s="6" t="n"/>
      <c r="M12" s="6" t="n"/>
      <c r="N12" s="6" t="n"/>
      <c r="O12" s="6" t="n"/>
      <c r="P12" s="6" t="n"/>
      <c r="Q12" s="6" t="n"/>
      <c r="R12" s="6" t="n"/>
      <c r="S12" s="6" t="n"/>
      <c r="T12" s="6" t="n"/>
      <c r="U12" s="6" t="n"/>
      <c r="V12" s="6" t="n"/>
      <c r="W12" s="6" t="n"/>
      <c r="X12" s="6" t="n"/>
      <c r="Y12" s="6" t="n"/>
      <c r="Z12" s="6" t="n"/>
    </row>
    <row r="13" ht="31.5" customHeight="1">
      <c r="A13" s="15" t="inlineStr">
        <is>
          <t>MVP 범위 (must)</t>
        </is>
      </c>
      <c r="B13" s="9" t="inlineStr">
        <is>
          <t>제자리 번역(경로 1 — 원본 규격 고정) · N1~N6 플로우 · 섹션 확인(버킷 2·액션 2) · 공간 제약 번역(1차 번역) · 규제 + 현지 부적합 판정 · 스타일 추출 자체 구현 · 산출물 묶음(Img·content.csv / html은 should) — manifest.json은 서버 생성·보관만 하고 셀러에게 배포하지 않는다(F-EXP-03) · 도착어 영어 단일</t>
        </is>
      </c>
      <c r="C13" s="6" t="n"/>
      <c r="D13" s="6" t="n"/>
      <c r="E13" s="6" t="n"/>
      <c r="F13" s="6" t="n"/>
      <c r="G13" s="6" t="n"/>
      <c r="H13" s="6" t="n"/>
      <c r="I13" s="6" t="n"/>
      <c r="J13" s="6" t="n"/>
      <c r="K13" s="6" t="n"/>
      <c r="L13" s="6" t="n"/>
      <c r="M13" s="6" t="n"/>
      <c r="N13" s="6" t="n"/>
      <c r="O13" s="6" t="n"/>
      <c r="P13" s="6" t="n"/>
      <c r="Q13" s="6" t="n"/>
      <c r="R13" s="6" t="n"/>
      <c r="S13" s="6" t="n"/>
      <c r="T13" s="6" t="n"/>
      <c r="U13" s="6" t="n"/>
      <c r="V13" s="6" t="n"/>
      <c r="W13" s="6" t="n"/>
      <c r="X13" s="6" t="n"/>
      <c r="Y13" s="6" t="n"/>
      <c r="Z13" s="6" t="n"/>
    </row>
    <row r="14" ht="31.5" customHeight="1">
      <c r="A14" s="15" t="inlineStr">
        <is>
          <t>12월 범위 (should)</t>
        </is>
      </c>
      <c r="B14" s="9" t="inlineStr">
        <is>
          <t>규격 변경(경로 2 — 2a 모듈 분해형 A+/2b 긴 이미지형) · 2차 번역 파생 · 채널 정책 실판정 승격 · 썸네일 1:1(사이트별 규격의 하나) · 썸네일 입력 유형 · 하이브리드 PSD · 도착 국가 일본·UAE, 일본어 · 되돌림·저장 · 운영자 콘솔 — X/Y 선택은 10월 초 게이트</t>
        </is>
      </c>
      <c r="C14" s="6" t="n"/>
      <c r="D14" s="6" t="n"/>
      <c r="E14" s="6" t="n"/>
      <c r="F14" s="6" t="n"/>
      <c r="G14" s="6" t="n"/>
      <c r="H14" s="6" t="n"/>
      <c r="I14" s="6" t="n"/>
      <c r="J14" s="6" t="n"/>
      <c r="K14" s="6" t="n"/>
      <c r="L14" s="6" t="n"/>
      <c r="M14" s="6" t="n"/>
      <c r="N14" s="6" t="n"/>
      <c r="O14" s="6" t="n"/>
      <c r="P14" s="6" t="n"/>
      <c r="Q14" s="6" t="n"/>
      <c r="R14" s="6" t="n"/>
      <c r="S14" s="6" t="n"/>
      <c r="T14" s="6" t="n"/>
      <c r="U14" s="6" t="n"/>
      <c r="V14" s="6" t="n"/>
      <c r="W14" s="6" t="n"/>
      <c r="X14" s="6" t="n"/>
      <c r="Y14" s="6" t="n"/>
      <c r="Z14" s="6" t="n"/>
    </row>
    <row r="15" ht="31.5" customHeight="1">
      <c r="A15" s="4" t="inlineStr">
        <is>
          <t>★국가 / 언어 축</t>
        </is>
      </c>
      <c r="B15" s="9" t="inlineStr">
        <is>
          <t>출발: 한국·한국어 고정. 도착 국가: 미국·일본·UAE (규제 사전 결정). 도착 언어: 영어·일본어 (용어집 결정). 두 축은 독립이며 자유 조합을 허용한다. UAE는 영어를 사용하므로 영어 용어집을 미국과 공유하고 규제 사전만 별도로 둔다.</t>
        </is>
      </c>
      <c r="C15" s="6" t="n"/>
      <c r="D15" s="6" t="n"/>
      <c r="E15" s="6" t="n"/>
      <c r="F15" s="6" t="n"/>
      <c r="G15" s="6" t="n"/>
      <c r="H15" s="6" t="n"/>
      <c r="I15" s="6" t="n"/>
      <c r="J15" s="6" t="n"/>
      <c r="K15" s="6" t="n"/>
      <c r="L15" s="6" t="n"/>
      <c r="M15" s="6" t="n"/>
      <c r="N15" s="6" t="n"/>
      <c r="O15" s="6" t="n"/>
      <c r="P15" s="6" t="n"/>
      <c r="Q15" s="6" t="n"/>
      <c r="R15" s="6" t="n"/>
      <c r="S15" s="6" t="n"/>
      <c r="T15" s="6" t="n"/>
      <c r="U15" s="6" t="n"/>
      <c r="V15" s="6" t="n"/>
      <c r="W15" s="6" t="n"/>
      <c r="X15" s="6" t="n"/>
      <c r="Y15" s="6" t="n"/>
      <c r="Z15" s="6" t="n"/>
    </row>
    <row r="16" ht="45" customHeight="1">
      <c r="A16" s="4" t="inlineStr">
        <is>
          <t>★카테고리 축</t>
        </is>
      </c>
      <c r="B16" s="9" t="inlineStr">
        <is>
          <t>화면에 노출하는 카테고리는 Amazon 트리에 준하는 상세 수준(F-SRC-04a 마스터), 내부 용어집은 Amazon Skin Care 하위 7종으로 축약(F-SRC-04b 매핑). 7종: Body · Eyes · Face · Lip Care · Maternity · Sets, Kits · Sunscreens &amp; Tanning Products. 용어집은 카테고리로 분기하고, 규제 사전은 국가만 따르며 카테고리로 분기하지 않는다.</t>
        </is>
      </c>
      <c r="C16" s="6" t="n"/>
      <c r="D16" s="6" t="n"/>
      <c r="E16" s="6" t="n"/>
      <c r="F16" s="6" t="n"/>
      <c r="G16" s="6" t="n"/>
      <c r="H16" s="6" t="n"/>
      <c r="I16" s="6" t="n"/>
      <c r="J16" s="6" t="n"/>
      <c r="K16" s="6" t="n"/>
      <c r="L16" s="6" t="n"/>
      <c r="M16" s="6" t="n"/>
      <c r="N16" s="6" t="n"/>
      <c r="O16" s="6" t="n"/>
      <c r="P16" s="6" t="n"/>
      <c r="Q16" s="6" t="n"/>
      <c r="R16" s="6" t="n"/>
      <c r="S16" s="6" t="n"/>
      <c r="T16" s="6" t="n"/>
      <c r="U16" s="6" t="n"/>
      <c r="V16" s="6" t="n"/>
      <c r="W16" s="6" t="n"/>
      <c r="X16" s="6" t="n"/>
      <c r="Y16" s="6" t="n"/>
      <c r="Z16" s="6" t="n"/>
    </row>
    <row r="17" ht="17.25" customHeight="1">
      <c r="A17" s="4" t="n"/>
      <c r="B17" s="5" t="n"/>
      <c r="C17" s="6" t="n"/>
      <c r="D17" s="6" t="n"/>
      <c r="E17" s="6" t="n"/>
      <c r="F17" s="6" t="n"/>
      <c r="G17" s="6" t="n"/>
      <c r="H17" s="6" t="n"/>
      <c r="I17" s="6" t="n"/>
      <c r="J17" s="6" t="n"/>
      <c r="K17" s="6" t="n"/>
      <c r="L17" s="6" t="n"/>
      <c r="M17" s="6" t="n"/>
      <c r="N17" s="6" t="n"/>
      <c r="O17" s="6" t="n"/>
      <c r="P17" s="6" t="n"/>
      <c r="Q17" s="6" t="n"/>
      <c r="R17" s="6" t="n"/>
      <c r="S17" s="6" t="n"/>
      <c r="T17" s="6" t="n"/>
      <c r="U17" s="6" t="n"/>
      <c r="V17" s="6" t="n"/>
      <c r="W17" s="6" t="n"/>
      <c r="X17" s="6" t="n"/>
      <c r="Y17" s="6" t="n"/>
      <c r="Z17" s="6" t="n"/>
    </row>
    <row r="18" ht="31.5" customHeight="1">
      <c r="A18" s="4" t="inlineStr">
        <is>
          <t>전체 기능 수 (삭제 제외)</t>
        </is>
      </c>
      <c r="B18" s="5">
        <f>COUNTA('02_기능명세'!A6:A400)</f>
        <v/>
      </c>
      <c r="C18" s="6" t="n"/>
      <c r="D18" s="6" t="n"/>
      <c r="E18" s="6" t="n"/>
      <c r="F18" s="6" t="n"/>
      <c r="G18" s="6" t="n"/>
      <c r="H18" s="6" t="n"/>
      <c r="I18" s="6" t="n"/>
      <c r="J18" s="6" t="n"/>
      <c r="K18" s="6" t="n"/>
      <c r="L18" s="6" t="n"/>
      <c r="M18" s="6" t="n"/>
      <c r="N18" s="6" t="n"/>
      <c r="O18" s="6" t="n"/>
      <c r="P18" s="6" t="n"/>
      <c r="Q18" s="6" t="n"/>
      <c r="R18" s="6" t="n"/>
      <c r="S18" s="6" t="n"/>
      <c r="T18" s="6" t="n"/>
      <c r="U18" s="6" t="n"/>
      <c r="V18" s="6" t="n"/>
      <c r="W18" s="6" t="n"/>
      <c r="X18" s="6" t="n"/>
      <c r="Y18" s="6" t="n"/>
      <c r="Z18" s="6" t="n"/>
    </row>
    <row r="19" ht="17.25" customHeight="1">
      <c r="A19" s="15" t="inlineStr">
        <is>
          <t>must (MVP)</t>
        </is>
      </c>
      <c r="B19" s="5">
        <f>COUNTIF('02_기능명세'!G6:G400,"must")</f>
        <v/>
      </c>
      <c r="C19" s="6" t="n"/>
      <c r="D19" s="6" t="n"/>
      <c r="E19" s="6" t="n"/>
      <c r="F19" s="6" t="n"/>
      <c r="G19" s="6" t="n"/>
      <c r="H19" s="6" t="n"/>
      <c r="I19" s="6" t="n"/>
      <c r="J19" s="6" t="n"/>
      <c r="K19" s="6" t="n"/>
      <c r="L19" s="6" t="n"/>
      <c r="M19" s="6" t="n"/>
      <c r="N19" s="6" t="n"/>
      <c r="O19" s="6" t="n"/>
      <c r="P19" s="6" t="n"/>
      <c r="Q19" s="6" t="n"/>
      <c r="R19" s="6" t="n"/>
      <c r="S19" s="6" t="n"/>
      <c r="T19" s="6" t="n"/>
      <c r="U19" s="6" t="n"/>
      <c r="V19" s="6" t="n"/>
      <c r="W19" s="6" t="n"/>
      <c r="X19" s="6" t="n"/>
      <c r="Y19" s="6" t="n"/>
      <c r="Z19" s="6" t="n"/>
    </row>
    <row r="20" ht="17.25" customHeight="1">
      <c r="A20" s="15" t="inlineStr">
        <is>
          <t>should (12월)</t>
        </is>
      </c>
      <c r="B20" s="5">
        <f>COUNTIF('02_기능명세'!G6:G400,"should")</f>
        <v/>
      </c>
      <c r="C20" s="6" t="n"/>
      <c r="D20" s="6" t="n"/>
      <c r="E20" s="6" t="n"/>
      <c r="F20" s="6" t="n"/>
      <c r="G20" s="6" t="n"/>
      <c r="H20" s="6" t="n"/>
      <c r="I20" s="6" t="n"/>
      <c r="J20" s="6" t="n"/>
      <c r="K20" s="6" t="n"/>
      <c r="L20" s="6" t="n"/>
      <c r="M20" s="6" t="n"/>
      <c r="N20" s="6" t="n"/>
      <c r="O20" s="6" t="n"/>
      <c r="P20" s="6" t="n"/>
      <c r="Q20" s="6" t="n"/>
      <c r="R20" s="6" t="n"/>
      <c r="S20" s="6" t="n"/>
      <c r="T20" s="6" t="n"/>
      <c r="U20" s="6" t="n"/>
      <c r="V20" s="6" t="n"/>
      <c r="W20" s="6" t="n"/>
      <c r="X20" s="6" t="n"/>
      <c r="Y20" s="6" t="n"/>
      <c r="Z20" s="6" t="n"/>
    </row>
    <row r="21" ht="17.25" customHeight="1">
      <c r="A21" s="15" t="inlineStr">
        <is>
          <t>could</t>
        </is>
      </c>
      <c r="B21" s="5">
        <f>COUNTIF('02_기능명세'!G6:G400,"could")</f>
        <v/>
      </c>
      <c r="C21" s="6" t="n"/>
      <c r="D21" s="6" t="n"/>
      <c r="E21" s="6" t="n"/>
      <c r="F21" s="6" t="n"/>
      <c r="G21" s="6" t="n"/>
      <c r="H21" s="6" t="n"/>
      <c r="I21" s="6" t="n"/>
      <c r="J21" s="6" t="n"/>
      <c r="K21" s="6" t="n"/>
      <c r="L21" s="6" t="n"/>
      <c r="M21" s="6" t="n"/>
      <c r="N21" s="6" t="n"/>
      <c r="O21" s="6" t="n"/>
      <c r="P21" s="6" t="n"/>
      <c r="Q21" s="6" t="n"/>
      <c r="R21" s="6" t="n"/>
      <c r="S21" s="6" t="n"/>
      <c r="T21" s="6" t="n"/>
      <c r="U21" s="6" t="n"/>
      <c r="V21" s="6" t="n"/>
      <c r="W21" s="6" t="n"/>
      <c r="X21" s="6" t="n"/>
      <c r="Y21" s="6" t="n"/>
      <c r="Z21" s="6" t="n"/>
    </row>
    <row r="22" ht="17.25" customHeight="1">
      <c r="A22" s="15" t="inlineStr">
        <is>
          <t>won't</t>
        </is>
      </c>
      <c r="B22" s="5">
        <f>COUNTIF('02_기능명세'!G6:G400,"won't")</f>
        <v/>
      </c>
      <c r="C22" s="6" t="n"/>
      <c r="D22" s="6" t="n"/>
      <c r="E22" s="6" t="n"/>
      <c r="F22" s="6" t="n"/>
      <c r="G22" s="6" t="n"/>
      <c r="H22" s="6" t="n"/>
      <c r="I22" s="6" t="n"/>
      <c r="J22" s="6" t="n"/>
      <c r="K22" s="6" t="n"/>
      <c r="L22" s="6" t="n"/>
      <c r="M22" s="6" t="n"/>
      <c r="N22" s="6" t="n"/>
      <c r="O22" s="6" t="n"/>
      <c r="P22" s="6" t="n"/>
      <c r="Q22" s="6" t="n"/>
      <c r="R22" s="6" t="n"/>
      <c r="S22" s="6" t="n"/>
      <c r="T22" s="6" t="n"/>
      <c r="U22" s="6" t="n"/>
      <c r="V22" s="6" t="n"/>
      <c r="W22" s="6" t="n"/>
      <c r="X22" s="6" t="n"/>
      <c r="Y22" s="6" t="n"/>
      <c r="Z22" s="6" t="n"/>
    </row>
    <row r="23" ht="17.25" customHeight="1">
      <c r="A23" s="257" t="inlineStr">
        <is>
          <t>v3.0 신규</t>
        </is>
      </c>
      <c r="B23" s="5">
        <f>COUNTIF('02_기능명세'!M6:M400,"*v3.0 신설*")</f>
        <v/>
      </c>
      <c r="C23" s="6" t="n"/>
      <c r="D23" s="6" t="n"/>
      <c r="E23" s="6" t="n"/>
      <c r="F23" s="6" t="n"/>
      <c r="G23" s="6" t="n"/>
      <c r="H23" s="6" t="n"/>
      <c r="I23" s="6" t="n"/>
      <c r="J23" s="6" t="n"/>
      <c r="K23" s="6" t="n"/>
      <c r="L23" s="6" t="n"/>
      <c r="M23" s="6" t="n"/>
      <c r="N23" s="6" t="n"/>
      <c r="O23" s="6" t="n"/>
      <c r="P23" s="6" t="n"/>
      <c r="Q23" s="6" t="n"/>
      <c r="R23" s="6" t="n"/>
      <c r="S23" s="6" t="n"/>
      <c r="T23" s="6" t="n"/>
      <c r="U23" s="6" t="n"/>
      <c r="V23" s="6" t="n"/>
      <c r="W23" s="6" t="n"/>
      <c r="X23" s="6" t="n"/>
      <c r="Y23" s="6" t="n"/>
      <c r="Z23" s="6" t="n"/>
    </row>
    <row r="24" ht="17.25" customHeight="1">
      <c r="A24" s="257" t="inlineStr">
        <is>
          <t>v3.0 수정</t>
        </is>
      </c>
      <c r="B24" s="5">
        <f>COUNTIF('02_기능명세'!M6:M400,"*v3.0 수정*")</f>
        <v/>
      </c>
      <c r="C24" s="6" t="n"/>
      <c r="D24" s="6" t="n"/>
      <c r="E24" s="6" t="n"/>
      <c r="F24" s="6" t="n"/>
      <c r="G24" s="6" t="n"/>
      <c r="H24" s="6" t="n"/>
      <c r="I24" s="6" t="n"/>
      <c r="J24" s="6" t="n"/>
      <c r="K24" s="6" t="n"/>
      <c r="L24" s="6" t="n"/>
      <c r="M24" s="6" t="n"/>
      <c r="N24" s="6" t="n"/>
      <c r="O24" s="6" t="n"/>
      <c r="P24" s="6" t="n"/>
      <c r="Q24" s="6" t="n"/>
      <c r="R24" s="6" t="n"/>
      <c r="S24" s="6" t="n"/>
      <c r="T24" s="6" t="n"/>
      <c r="U24" s="6" t="n"/>
      <c r="V24" s="6" t="n"/>
      <c r="W24" s="6" t="n"/>
      <c r="X24" s="6" t="n"/>
      <c r="Y24" s="6" t="n"/>
      <c r="Z24" s="6" t="n"/>
    </row>
    <row r="25" ht="17.25" customHeight="1">
      <c r="A25" s="258" t="inlineStr">
        <is>
          <t>폐기 (누계)</t>
        </is>
      </c>
      <c r="B25" s="258">
        <f>COUNTA('12_폐기기능'!A5:A200)</f>
        <v/>
      </c>
      <c r="C25" s="6" t="n"/>
      <c r="D25" s="6" t="n"/>
      <c r="E25" s="6" t="n"/>
      <c r="F25" s="6" t="n"/>
      <c r="G25" s="6" t="n"/>
      <c r="H25" s="6" t="n"/>
      <c r="I25" s="6" t="n"/>
      <c r="J25" s="6" t="n"/>
      <c r="K25" s="6" t="n"/>
      <c r="L25" s="6" t="n"/>
      <c r="M25" s="6" t="n"/>
      <c r="N25" s="6" t="n"/>
      <c r="O25" s="6" t="n"/>
      <c r="P25" s="6" t="n"/>
      <c r="Q25" s="6" t="n"/>
      <c r="R25" s="6" t="n"/>
      <c r="S25" s="6" t="n"/>
      <c r="T25" s="6" t="n"/>
      <c r="U25" s="6" t="n"/>
      <c r="V25" s="6" t="n"/>
      <c r="W25" s="6" t="n"/>
      <c r="X25" s="6" t="n"/>
      <c r="Y25" s="6" t="n"/>
      <c r="Z25" s="6" t="n"/>
    </row>
    <row r="26" ht="17.25" customHeight="1">
      <c r="A26" s="257" t="inlineStr">
        <is>
          <t>v3.2 신규</t>
        </is>
      </c>
      <c r="B26" s="5">
        <f>COUNTIF('02_기능명세'!M6:M400,"*v3.2 신설*")</f>
        <v/>
      </c>
    </row>
    <row r="27" ht="17.25" customHeight="1">
      <c r="A27" s="257" t="inlineStr">
        <is>
          <t>v3.2 수정</t>
        </is>
      </c>
      <c r="B27" s="5">
        <f>COUNTIF('02_기능명세'!M6:M400,"*v3.2 수정*")</f>
        <v/>
      </c>
    </row>
    <row r="28" ht="17.25" customHeight="1">
      <c r="A28" s="259" t="inlineStr">
        <is>
          <t>v3.2.1 수정</t>
        </is>
      </c>
      <c r="B28" s="260">
        <f>COUNTIF('02_기능명세'!M6:M400,"*v3.2.1 수정*")</f>
        <v/>
      </c>
    </row>
    <row r="29" ht="17.25" customHeight="1">
      <c r="A29" s="258" t="inlineStr">
        <is>
          <t>색상 범례</t>
        </is>
      </c>
      <c r="B29" s="261" t="inlineStr">
        <is>
          <t>★v3.2.1 개정에서 이전 변경 표시 색(중녹·중파랑·중노랑·중빨강 등)을 전 시트에서 해제했다. 연하늘 = v3.2.1 수정·폐기이며 이 색만 남는다. 이전 개정의 변경 내역은 각 시트의 변경 이력 열이 소유한다. [A~B열] 대분류 구분색은 변경 표시가 아니다. ★삭제 행은 12_폐기기능 시트로 이관한다 — 02_기능명세에는 살아 있는 기능만 남는다.</t>
        </is>
      </c>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row>
    <row r="30" ht="17.25" customHeight="1">
      <c r="A30" s="15" t="inlineStr">
        <is>
          <t>MVP 화면 수</t>
        </is>
      </c>
      <c r="B30" s="5" t="inlineStr">
        <is>
          <t>10 (G1 · 전역 프로세스 바 · N1~N6 · M1 · M2) — v3.0 화면 체계 재정의</t>
        </is>
      </c>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row>
    <row r="31" ht="31.5" customHeight="1">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row>
    <row r="32" ht="31.5" customHeight="1">
      <c r="A32" s="6" t="inlineStr">
        <is>
          <t>v3.0 변경 사항 (2026-08-31) — 변경안 v3.0 반영</t>
        </is>
      </c>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c r="X32" s="6" t="n"/>
      <c r="Y32" s="6" t="n"/>
      <c r="Z32" s="6" t="n"/>
    </row>
    <row r="33" ht="31.5" customHeight="1">
      <c r="A33" s="262" t="inlineStr">
        <is>
          <t>변경 1 · 파이프라인 병렬 분기</t>
        </is>
      </c>
      <c r="B33" s="262" t="inlineStr">
        <is>
          <t>경로 1(규격 그대로)·경로 2(규격 변경)는 직렬이 아니라 입력에서 갈라지는 병렬 분기. 공통 처리(섹션·맥락+규제 파악) 공유. 섹션 확인은 공통이며 번역보다 앞</t>
        </is>
      </c>
      <c r="C33" s="6" t="n"/>
      <c r="D33" s="6" t="n"/>
      <c r="E33" s="6" t="n"/>
      <c r="F33" s="6" t="n"/>
      <c r="G33" s="6" t="n"/>
      <c r="H33" s="6" t="n"/>
      <c r="I33" s="6" t="n"/>
      <c r="J33" s="6" t="n"/>
      <c r="K33" s="6" t="n"/>
      <c r="L33" s="6" t="n"/>
      <c r="M33" s="6" t="n"/>
      <c r="N33" s="6" t="n"/>
      <c r="O33" s="6" t="n"/>
      <c r="P33" s="6" t="n"/>
      <c r="Q33" s="6" t="n"/>
      <c r="R33" s="6" t="n"/>
      <c r="S33" s="6" t="n"/>
      <c r="T33" s="6" t="n"/>
      <c r="U33" s="6" t="n"/>
      <c r="V33" s="6" t="n"/>
      <c r="W33" s="6" t="n"/>
      <c r="X33" s="6" t="n"/>
      <c r="Y33" s="6" t="n"/>
      <c r="Z33" s="6" t="n"/>
    </row>
    <row r="34" ht="31.5" customHeight="1">
      <c r="A34" s="262" t="inlineStr">
        <is>
          <t>변경 2 · 규격 선택 입력 부활</t>
        </is>
      </c>
      <c r="B34" s="6" t="inlineStr">
        <is>
          <t>F-CH-02 부활 — 9월 원본 규격 고정, 사이트별·커스텀은 배지 없이 비활성 노출(9/1 수정). 섹션 자동삭제 토글은 도입하지 않음</t>
        </is>
      </c>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row>
    <row r="35" ht="17.25" customHeight="1">
      <c r="A35" s="262" t="inlineStr">
        <is>
          <t>변경 3 · 편집기 제거 확정</t>
        </is>
      </c>
      <c r="B35" s="262" t="inlineStr">
        <is>
          <t>자유 크롭·배치 캔버스·미세조정 UI·원문 수정 축 삭제(41건). 검수는 표 + 재렌더. 편집 요구는 축 A(내용→검수 표)/축 B(비주얼→파일 내보내기)로 분리</t>
        </is>
      </c>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row>
    <row r="36" ht="31.5" customHeight="1">
      <c r="A36" s="262" t="inlineStr">
        <is>
          <t>변경 4 · 섹션 확인 신설</t>
        </is>
      </c>
      <c r="B36" s="262" t="inlineStr">
        <is>
          <t>버킷 2개 + 액션 2개(F-SEC-01~07) · 배지 4종 · 제외 사유 코드 5종 · 삭제 내역 노출 필수(화면+CSV+manifest)</t>
        </is>
      </c>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ht="31.5" customHeight="1">
      <c r="A37" s="262" t="inlineStr">
        <is>
          <t>변경 5 · 번역 단일 단계 (1차 번역/2차 번역)</t>
        </is>
      </c>
      <c r="B37" s="262" t="inlineStr">
        <is>
          <t>항상 원본 박스 폭 기준 1차 번역 생성(PL-27). 규격 변경 시 1차 번역에서 2차 번역 파생(선별→압축, 재검증). 검수는 하류 1회, 3단 대조 미채택</t>
        </is>
      </c>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row>
    <row r="38" ht="17.25" customHeight="1">
      <c r="A38" s="262" t="inlineStr">
        <is>
          <t>변경 6 · 공간 제약 번역 주경로화</t>
        </is>
      </c>
      <c r="B38" s="6" t="inlineStr">
        <is>
          <t>F-TRN-08 루프(번역 후보 생성→렌더 측정→규제 재검증→제시), 폴백 폰트 −10%·사용자 이관. 완화책 4종(NFR-30). V6 실측 미실행</t>
        </is>
      </c>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ht="31.5" customHeight="1">
      <c r="A39" s="262" t="inlineStr">
        <is>
          <t>변경 7 · 산출물 축 신설</t>
        </is>
      </c>
      <c r="B39" s="6" t="inlineStr">
        <is>
          <t>F-EXP-01~06: export.zip(Img·content.csv·manifest·html / psd 12월). 검수 수정 시 사전 재실행(OI-19 결론 변경)</t>
        </is>
      </c>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ht="31.5" customHeight="1">
      <c r="A40" s="262" t="inlineStr">
        <is>
          <t>변경 8 · 현지 부적합 판정 신설</t>
        </is>
      </c>
      <c r="B40" s="6" t="inlineStr">
        <is>
          <t>F-LOC-01~03: 규제 사전과 동일 스키마, 10~20 패턴 시드. 3유형 처리. 채널 정책은 9월 티저 → 12월 실판정 승격(PL-18 4축)</t>
        </is>
      </c>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ht="45" customHeight="1">
      <c r="A41" s="262" t="inlineStr">
        <is>
          <t>변경 9 · 스타일 추출 자체 구현</t>
        </is>
      </c>
      <c r="B41" s="6" t="inlineStr">
        <is>
          <t>F-STY-01~05: 색·크기·정렬·굵기 + 폰트는 역할 기반 매핑(식별 포기). Codia·Abyssale 미채택 기록</t>
        </is>
      </c>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c r="Z41" s="6" t="n"/>
    </row>
    <row r="42" ht="31.5" customHeight="1">
      <c r="A42" s="262" t="inlineStr">
        <is>
          <t>변경 10 · 인증 뱃지 12월 이월 / 썸네일 별도 작업</t>
        </is>
      </c>
      <c r="B42" s="262" t="inlineStr">
        <is>
          <t>뱃지: 배치만 삭제, 업로드·정책 12월 이월(PL-09). 썸네일: 규격 변환 없는 별도 작업으로 처리, 1:1은 12월 사이트별 규격의 하나 (PM 확정 8/31)</t>
        </is>
      </c>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row>
    <row r="43" ht="31.5" customHeight="1">
      <c r="A43" s="262" t="inlineStr">
        <is>
          <t>변경 11 · 리스크·검증</t>
        </is>
      </c>
      <c r="B43" s="6" t="inlineStr">
        <is>
          <t>R-10(ag-psd 세로쓰기 파손 — X안 충돌) · R-11(크리젠 Text Localizer 경쟁) · R-12(공간 제약 루프 지연·비용) 신설. V1~V7 전부 미실행 — V1·V6 최우선(실행계획 v3.0)</t>
        </is>
      </c>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row>
    <row r="44" ht="17.25" customHeight="1">
      <c r="A44" s="262" t="inlineStr">
        <is>
          <t>변경 12 · 미해결 유지</t>
        </is>
      </c>
      <c r="B44" s="262" t="inlineStr">
        <is>
          <t>2차 번역 선별 로직(OI-48)·스타일 추출 범위(OI-49)·용어집 자동 학습 절차(OI-50) — 결론 내리지 않고 이관. 아마존 이미지 내 텍스트 정책은 "반려 리스크 존재" 수준으로만 기록</t>
        </is>
      </c>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row>
    <row r="45" ht="17.25" customHeight="1">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c r="X45" s="6" t="n"/>
      <c r="Y45" s="6" t="n"/>
      <c r="Z45" s="6" t="n"/>
    </row>
    <row r="46" ht="31.5" customHeight="1">
      <c r="A46" s="15" t="inlineStr">
        <is>
          <t>v1.6 변경 사항</t>
        </is>
      </c>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row>
    <row r="47" ht="45" customHeight="1">
      <c r="A47" s="4" t="inlineStr">
        <is>
          <t>변경 1 · 시연 전제 확정</t>
        </is>
      </c>
      <c r="B47" s="9" t="inlineStr">
        <is>
          <t>실제 배포·릴리스가 없음을 문서 최상위 전제로 명시했다. 실사용자가 있어야 성립하는 기능(운영 대시보드·계정 관리)을 MVP에서 내리는 판단 근거가 된다.</t>
        </is>
      </c>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c r="Y47" s="6" t="n"/>
      <c r="Z47" s="6" t="n"/>
    </row>
    <row r="48" ht="31.5" customHeight="1">
      <c r="A48" s="4" t="inlineStr">
        <is>
          <t>변경 2 · 운영자 콘솔 12월 이월</t>
        </is>
      </c>
      <c r="B48" s="5" t="inlineStr">
        <is>
          <t>A-DSH-01·02, A-OPS-03, A-ACC-01·02를 must→should로 내렸다. MVP에서 O1·O2·O4·O5 화면이 사라진다. 다만 감사 로그는 기록(A-ACC-03, must)과 조회(A-ACC-03a, should)를 분리했다 — 읽는 시점은 미룰 수 있으나 쓰는 시점은 소급이 불가능하기 때문이다.</t>
        </is>
      </c>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row>
    <row r="49" ht="31.5" customHeight="1">
      <c r="A49" s="4" t="inlineStr">
        <is>
          <t>변경 3 · 마스터 데이터 조회 신설</t>
        </is>
      </c>
      <c r="B49" s="5" t="inlineStr">
        <is>
          <t>A-CFG-01·02가 12월로 이월되면서 시드 주입된 규격·사전·용어집을 확인할 수단이 없어졌다. A-CFG-06(읽기 전용 조회)을 must로 신설해 O3에 최소 화면 하나만 남긴다.</t>
        </is>
      </c>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31.5" customHeight="1">
      <c r="A50" s="4" t="inlineStr">
        <is>
          <t>변경 4 · 카테고리 2층 구조</t>
        </is>
      </c>
      <c r="B50" s="5" t="inlineStr">
        <is>
          <t>F-SRC-04를 선택(F-SRC-04) / 마스터(F-SRC-04a) / 매핑(F-SRC-04b)으로 분리했다. v1.4부터 유지되던 'MVP는 스킨케어·색조' 문구를 폐기하고, 규제 사전의 카테고리 분기도 폐기했다. 7종 목록은 미확정(OI-32).</t>
        </is>
      </c>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45" customHeight="1">
      <c r="A51" s="4" t="inlineStr">
        <is>
          <t>변경 5 · 국가 목록 제한</t>
        </is>
      </c>
      <c r="B51" s="5" t="inlineStr">
        <is>
          <t>F-LNG-01의 국가 셀렉터에 규제 사전 보유 국가만 노출한다. 사전 없는 국가를 고르는 경로가 사라져 '경고 후 진행' 예외가 소멸하고, NFR-16(모든 블록에 근거)이 성립한다.</t>
        </is>
      </c>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ht="31.5" customHeight="1">
      <c r="A52" s="4" t="inlineStr">
        <is>
          <t>변경 6 · 신뢰도 점수 폐기</t>
        </is>
      </c>
      <c r="B52" s="5" t="inlineStr">
        <is>
          <t>F-CFM-05를 '번역 신뢰도 표시'에서 '확인 필요 블록 표시'로 바꾸고 점수 산출을 폐기했다. 용어집은 강제 치환 규칙이 아니라 참고 사례로 작동하므로 적중률을 신뢰도로 환산할 수 없다. 이미 산출되는 4종 신호를 재사용해 플래그로 표시한다. 점수화는 OI-33으로 이관.</t>
        </is>
      </c>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31.5" customHeight="1">
      <c r="A53" s="4" t="inlineStr">
        <is>
          <t>변경 7 · F-VER-01 승격 철회</t>
        </is>
      </c>
      <c r="B53" s="5" t="inlineStr">
        <is>
          <t>v1.5에서 must로 올렸던 '다른 언어로 만들기'를 should로 되돌렸다. 국가·언어의 S5 배치는 12월 확장 대비로 유지한다. F-INP-01c·F-LST-02의 관련 수용 기준과 NFR-04를 함께 이월했다.</t>
        </is>
      </c>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17.25" customHeight="1">
      <c r="A54" s="4" t="inlineStr">
        <is>
          <t>변경 8 · 화면 ID 체계 재정의</t>
        </is>
      </c>
      <c r="B54" s="5" t="inlineStr">
        <is>
          <t>v1.4의 M1/M2/M3 + A1~A5와 v1.5의 정의 없는 '운영'을 정리했다. 셀러측 작업관리를 M3으로 되살리고 운영자 콘솔을 O1~O5로 분리해 A계열과 대응시켰다. 03_화면정의서 참조.</t>
        </is>
      </c>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58.5" customHeight="1">
      <c r="A55" s="4" t="inlineStr">
        <is>
          <t>변경 9 · MVP 범위 축소</t>
        </is>
      </c>
      <c r="B55" s="5" t="inlineStr">
        <is>
          <t>F-LST-01(검색·필터)과 F-LST-09(보관 기간·만료)를 should로 내렸다. 만료 시점이 프로젝트 종료 전에 도래하지 않는다.</t>
        </is>
      </c>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45" customHeight="1">
      <c r="A56" s="4" t="inlineStr">
        <is>
          <t>★변경 10 · 되돌림 전체 이월</t>
        </is>
      </c>
      <c r="B56" s="9" t="inlineStr">
        <is>
          <t>과거 단계로 돌아가는 기능과 자동 저장을 MVP에서 전부 제거했다. F-NAV-02~06·08과 NFR-07·11을 should로 내렸다. MVP는 S1→S8 전진 이동만 지원한다. F-NAV-01(단계 표시)과 F-NAV-07(결과물 유형 탭)은 표시·구조 기능이므로 must로 유지한다. ※ 검토 과정에서 F-NAV-08(단계 이동 시 자동 저장)을 must로 신설했다가 본 변경으로 함께 12월 이월했다. 05_상태_정책의 되돌림 판정표와 PL-13은 12월 적용으로 표기한다.</t>
        </is>
      </c>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58.5" customHeight="1">
      <c r="A57" s="4" t="inlineStr">
        <is>
          <t>변경 10 보충</t>
        </is>
      </c>
      <c r="B57" s="5" t="inlineStr">
        <is>
          <t>F-LST-05(저장 후 수정)·F-LST-08(미완료 작업 저장)도 12월로 이월하고, F-ACC-01의 세션 만료 시 임시 저장·복원 조항을 삭제했다. MVP는 S1→S8을 단일 세션에서 한 번에 완주하는 범위로 확정된다. 중단·재개·수정 진입은 전부 12월이며, 브라우저 종료 시 작업이 소실되는 것은 시연 전제상 허용한다.</t>
        </is>
      </c>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31.5" customHeight="1">
      <c r="A58" s="4" t="inlineStr">
        <is>
          <t>★변경 11 · 되돌림 전파 반영</t>
        </is>
      </c>
      <c r="B58" s="9" t="inlineStr">
        <is>
          <t>변경 10이 02_기능명세에만 반영되어 있던 것을 다른 시트로 전파했다. ① 08_릴리스로드맵의 MVP 테마 '단계 이동·미완료 저장'을 12월로 이동 ② 03_화면정의서 S0를 표시 전용으로 재정의(이동 버튼·되돌림 모달 제거) ③ S7의 M1 수정 진입과 단계 이동 초기화 문구 삭제 ④ M1의 [수정] 버튼·미완료 카드 제거 ⑤ NFR-09를 '세션 내 20단계 보존'으로 축소하고 단계 이동 초기화 조항 삭제 ⑥ F-NAV-01·F-CFM-03 본문 수정.</t>
        </is>
      </c>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31.5" customHeight="1">
      <c r="A59" s="4" t="inlineStr">
        <is>
          <t>★변경 12 · 브랜드 중복 등록 방지</t>
        </is>
      </c>
      <c r="B59" s="5" t="inlineStr">
        <is>
          <t>F-ACC-02a를 must로 신설했다. 동일 셀러 계정 안에서 같은 브랜드를 두 번 등록할 수 없다. 브랜드명(한글·영문)을 정규화해 비교하며, DB 유니크 제약(seller_id + 정규화명)으로 강제한다. 03_화면정의서 M2에 반영했다.</t>
        </is>
      </c>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45" customHeight="1">
      <c r="A60" s="15" t="inlineStr">
        <is>
          <t>★v1.7 변경 1 · 렌더링 방식 확정</t>
        </is>
      </c>
      <c r="B60" s="5" t="inlineStr">
        <is>
          <t>HTML/Playwright로 확정했다. 편집 레이어와 출력 렌더러 모두 HTML 기준이며, Pillow 비교는 종료한다. F-INP-03·F-TXT-01·F-CFM-02·F-FIN-01·01a·F-LST-06의 전제가 확정되어 백엔드 API 명세와 ERD가 진행 가능해진다. OI-34 종결.</t>
        </is>
      </c>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45" customHeight="1">
      <c r="A61" s="15" t="inlineStr">
        <is>
          <t>★v1.7 변경 2 · 내부 카테고리 7종 확정</t>
        </is>
      </c>
      <c r="B61" s="5" t="inlineStr">
        <is>
          <t>Amazon Beauty &amp; Personal Care &gt; Skin Care 하위 7종으로 확정했다: Body · Eyes · Face · Lip Care · Maternity · Sets, Kits · Sunscreens &amp; Tanning Products. F-SRC-04a(표시 마스터)·F-SRC-04b(내부 매핑)에 반영했다. 기존 문서가 모두 스킨케어 전제이므로 개발계획서·데이터 수집 계획서의 도메인 정의는 그대로 유효하다. OI-32 종결.</t>
        </is>
      </c>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45" customHeight="1">
      <c r="A62" s="15" t="inlineStr">
        <is>
          <t>★v1.7 변경 3 · 용어집 강제/참고 구분</t>
        </is>
      </c>
      <c r="B62" s="9" t="inlineStr">
        <is>
          <t>용어집 항목에 enforcement(강제/참고)를 도입했다. 강제는 성분명(INCI)·브랜드명·인증 공식 명칭으로 F-TRN-02c의 검사 대상이며, 참고는 마케팅 표현으로 RAG 예시로만 주입한다. v1.6 변경 6이 용어집을 '참고 사례'로 규정하면서 F-TRN-02c가 전량 검사하던 모순을 해소한다. PL-20 신설.</t>
        </is>
      </c>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58.5" customHeight="1">
      <c r="A63" s="15" t="inlineStr">
        <is>
          <t>★v1.7 변경 4 · 수정 신호 수집 승격</t>
        </is>
      </c>
      <c r="B63" s="5" t="inlineStr">
        <is>
          <t>A-QA-01을 could→must로 올리되 범위를 '수집만'으로 한정했다. F-CFM-02a가 이미 수정 사실을 기록하므로 전후 텍스트만 추가하면 되어 비용이 거의 없고, 반대로 안 넣으면 12월 품질 개선 착수 시 데이터가 0이 된다. job_event·edit_signal 테이블을 MVP ERD에 포함한다. 조회·라벨링(A-QA-02, O5)은 12월 이후 유지. OI-35 종결.</t>
        </is>
      </c>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45" customHeight="1">
      <c r="A64" s="15" t="inlineStr">
        <is>
          <t>★v1.7 변경 5 · 작업 상태 9종 확정</t>
        </is>
      </c>
      <c r="B64" s="9" t="inlineStr">
        <is>
          <t>되돌림이 12월로 이월되어 전이가 단순해진 것을 반영해 10종을 9종으로 정리했다: 생성됨·배치중·전처리중·원문확인·번역중·번역문확인·완료·오류·취소. 구버전의 '크롭 대기'는 '생성됨'으로 개명했고(전진만 하므로 대기가 발생하지 않음), '최종 확정'은 '완료'와 중복이라 통합했다. 비동기 상태는 전처리중·번역중 둘이다. 12월 되돌림 도입 시 역방향 전이만 추가한다. OI-05 종결.</t>
        </is>
      </c>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58.5" customHeight="1">
      <c r="A65" s="15" t="inlineStr">
        <is>
          <t>v1.7 변경 6 · 스키마 제공 3단계 분리</t>
        </is>
      </c>
      <c r="B65" s="5" t="inlineStr">
        <is>
          <t>API Ready를 스키마 확정 / Mock / 실기능 3단계로 분리했다. 8/23 전체 API 목록 → 8/26 S1~S3 → 8/31 S4 → 9/7 S6 → 9/11 S8. 프론트는 스키마·Mock까지만 있으면 선행 작업이 가능하다. S4·S6 스키마는 AI 출력 규격과 동일하므로 백엔드·AI가 함께 확정한다. Mock에 에러·부분실패·진행중 상태를 포함한다(F-JOB-05·06). OI-40 종결.</t>
        </is>
      </c>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72.75" customHeight="1">
      <c r="A66" s="15" t="inlineStr">
        <is>
          <t>v1.7 변경 7 · 잔여 결정 반영</t>
        </is>
      </c>
      <c r="B66" s="9" t="inlineStr">
        <is>
          <t>① 번역문 직접 수정 시 자동 재검증 없이 경고만(F-CFM-02, OI-19 종결) ② 텍스트 추출 실패 조각은 S5에서 직접 입력 가능(F-INP-02·F-TXT-04, OI-20 종결) ③ 마스터 데이터 시드 적재는 강다희, DB 구조는 김도연(OI-41 종결) ④ 개발계획서 6.1 스키마에 fragment_id·module_coords·role·block_merge_id 추가(OI-38 종결). ※ block_merge_id는 v2.0에서 철회 — 텍스트블록.source_lines(jsonb)로 대체(v2.0 변경 4 참조)</t>
        </is>
      </c>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45" customHeight="1">
      <c r="A67" s="15" t="inlineStr">
        <is>
          <t>★v1.8 변경 1 · 결과물 1종으로 축소</t>
        </is>
      </c>
      <c r="B67" s="5" t="inlineStr">
        <is>
          <t>MVP 결과물을 상세페이지(Basic A+ 970×300) 1종으로 좁히고 썸네일(1:1)을 12월로 이월했다. 이에 따라 F-NAV-07(결과물 유형 탭)·F-PLC-01a(모듈 용도 구분)·F-CH-06(대표이미지 텍스트 금지)·F-INP-04(대표이미지 텍스트 제거) 4건이 함께 이월된다. 건수는 4건이지만 S3·S5·S7 세 화면에서 탭 구조와 완료 판정이 사라지고 번역 순서(F-TRN-02a)의 최상위 기준도 단순해져, 프론트 부하 절감 효과가 건수보다 크다. 서비스 정의가 '상세페이지 로컬라이제이션'이고 페인포인트 1번이 세로 스크롤 상세페이지의 규격 변환이므로 발표 서사는 손상되지 않는다.</t>
        </is>
      </c>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45" customHeight="1">
      <c r="A68" s="15" t="inlineStr">
        <is>
          <t>★v1.8 변경 2 · 시연 비노출 기능 이월</t>
        </is>
      </c>
      <c r="B68" s="9" t="inlineStr">
        <is>
          <t>시연 화면에 나타나지 않는 8건을 12월로 이월했다. F-ACC-05(소셜 로그인) · F-ACC-02·02a(셀러:브랜드 1:N과 중복 방지, MVP는 1:1로 운용) · F-LST-03·04·07(카드 선택·삭제·신규 등록) · F-CH-08(모듈 개수 상한) · A-CFG-06(마스터 조회, 시드 확인은 DB 직접 조회로 대체). A-CFG-06 이월로 O3 화면이 MVP에서 사라져 화면 수가 13→11이 된다.</t>
        </is>
      </c>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45" customHeight="1">
      <c r="A69" s="15" t="inlineStr">
        <is>
          <t>v1.8 산정 근거</t>
        </is>
      </c>
      <c r="B69" s="5" t="inlineStr">
        <is>
          <t>8/19~9/23 실근무일 26일(추석 9/24~25 제외), 구현 인원 3명 기준 78 person-day. must 95건이면 건당 0.82일로 인페인팅 PoC·좌표 변환 규칙이 미확정인 상태에서는 성립하지 않는다. 83건으로 줄이면 건당 0.94일이 된다. 여전히 여유는 없으므로 8/28 PoC 게이트에서 3단계 축소(F-PLC-02e·02h, F-TXT-08, F-INP-01b, F-TRN-02c, F-CFM-05, F-JOB-06)를 재검토한다.</t>
        </is>
      </c>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72.75" customHeight="1">
      <c r="A70" s="15" t="inlineStr">
        <is>
          <t>v1.8 유지 원칙</t>
        </is>
      </c>
      <c r="B70" s="9" t="inlineStr">
        <is>
          <t>다음은 축소 대상에서 제외한다. F-CH-05·05a(규격 준수 검증 — 시연의 증명 장면이자 NFR-17의 유일한 측정 수단) · F-CFM-04(로컬라이징 근거 — 일반 번역기와의 차이를 보이는 유일한 화면) · F-TRN-03·03a(규제 검증 — 페인포인트 2번의 직접 답) · A-ACC-03·A-QA-01·NFR-29(소급 불가능한 기록).</t>
        </is>
      </c>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45" customHeight="1">
      <c r="A71" s="15" t="inlineStr">
        <is>
          <t>★v1.9 변경 1 · 텍스트 블록 소유 구조 확정</t>
        </is>
      </c>
      <c r="B71" s="9" t="inlineStr">
        <is>
          <t>한 조각을 여러 모듈에 배치할 수 있으므로(F-PLC-02b) 텍스트 블록의 소유자를 배치(placement)로 확정했다. 조각 캐시(fragment_id 키)는 인페인팅 결과·마스크·추출 원문·폰트 속성을 담아 1회만 생성되고, 텍스트 블록(placement_id 키)은 모듈 좌표·배율·번역문·블록 상태를 담아 배치마다 생성된다. 생성 시점은 S3 배치 확정 후 S4 실행 시다. 근거: ① 모듈이 둘이면 좌표가 두 벌 필요 ② 배치 배율이 다르면 폰트 크기가 달라야 함(F-PLC-02d) ③ 한쪽 배너 문구 수정이 다른 배너에 전파되면 사용자 기대에 어긋남. 중복 번역은 원문 해시 기준 번역 캐시로 방지한다. F-INP-01c·F-INP-02c·F-CFM-02a에 반영하고 PL-21을 신설했다.</t>
        </is>
      </c>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31.5" customHeight="1">
      <c r="A72" s="15" t="inlineStr">
        <is>
          <t>★v1.9 변경 2 · 상태값 정합 정정</t>
        </is>
      </c>
      <c r="B72" s="5" t="inlineStr">
        <is>
          <t>F-JOB-04에 남아 있던 구버전 10종(크롭 대기·최종 확정 포함)을 확정된 9종으로 정정하고, F-SRC-10 수용 기준의 '크롭 대기'를 '생성됨'으로 고쳤다. 05_상태_정책에 DB 매핑표(status 6종 + current_step 조합, 백엔드 설계 채택)를 추가하고 취소 행 중복을 삭제했다. API 응답은 사용자용 9종으로 통일한다.</t>
        </is>
      </c>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7.25" customHeight="1">
      <c r="A73" s="15" t="inlineStr">
        <is>
          <t>v1.9 변경 3 · F-ACC-02 복원</t>
        </is>
      </c>
      <c r="B73" s="5" t="inlineStr">
        <is>
          <t>v1.8.1 편집 과정에서 소실된 F-ACC-02(셀러:브랜드 1:N 구조, should)를 복원했다. F-ACC-02a·PL-06·화면정의서 M2가 이 기능을 참조하고 있어 목록에서 빠지면 12월 범위 근거가 사라진다. 전 시트 행 단위 대조로 다른 소실·중복이 없음을 확인했다.</t>
        </is>
      </c>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7.25" customHeight="1">
      <c r="A74" s="15" t="inlineStr">
        <is>
          <t>v1.9 변경 4 · 표기 정리</t>
        </is>
      </c>
      <c r="B74" s="9" t="inlineStr">
        <is>
          <t>기능명세 L열 헤더를 '변경 (v1.6)'에서 '변경 이력'으로 바꾸고, 전 시트 제목을 v1.9로 통일했다.</t>
        </is>
      </c>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45" customHeight="1">
      <c r="A75" s="15" t="inlineStr">
        <is>
          <t>v1.7 종결</t>
        </is>
      </c>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45" customHeight="1">
      <c r="A76" s="15" t="inlineStr">
        <is>
          <t>★v2.0 변경 1 · 편집 데이터 3층 구조 확정</t>
        </is>
      </c>
      <c r="B76" s="9" t="inlineStr">
        <is>
          <t>백엔드 검토를 반영해 크롭 · 배치 · 텍스트 블록 3층으로 확정했다. 한 조각 안에 제목·본문·가격 등 글자 덩어리가 여럿이고 각각 역할·번역상태·번역문을 따로 가지며 개별 삭제·이동되므로(F-INP-02b·F-CFM-02a·F-TXT-08) 배치 밑에 블록 층이 필요하다. PL-21에 반영했다.</t>
        </is>
      </c>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45" customHeight="1">
      <c r="A77" s="15" t="inlineStr">
        <is>
          <t>★v2.0 변경 2 · 텍스트 블록의 출처와 표시 위치 분리</t>
        </is>
      </c>
      <c r="B77" s="9" t="inlineStr">
        <is>
          <t>텍스트 블록에 module_id를 신설해 출처(placement_id)와 표시 위치(module_id)를 분리했다. 다른 모듈로 옮겨도 출처는 바뀌지 않으므로, 원 조각을 삭제하면 옮겨간 블록도 함께 사라진다. '삭제한 조각의 텍스트가 다른 배너에 남는' 상황이 원천 차단된다. F-TXT-08의 수용 기준 ③('원 조각 삭제 시에도 이동한 블록은 유지')이 이 원칙과 정반대였으므로 수정했다.</t>
        </is>
      </c>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45" customHeight="1">
      <c r="A78" s="15" t="inlineStr">
        <is>
          <t>★v2.0 변경 3 · 삭제·무효화 규칙 확정 (PL-22 신설)</t>
        </is>
      </c>
      <c r="B78" s="9" t="inlineStr">
        <is>
          <t>블록의 생명주기를 배치에 종속시켰다. 조각 삭제 → 배치·블록 전부 삭제 / 배치에서 빼기 → 해당 배치의 블록만 삭제(조각은 남음) / 크롭 영역 수정 → 캐시 무효화 후 S4 재실행 시 블록 재생성(사전 경고). 동작 용어를 「배치에서 빼기」(S3)와 「조각 삭제」(S2)로 정리했다. ※ v2.1에서 조각 삭제를 S2 전용으로 한정했다.</t>
        </is>
      </c>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58.5" customHeight="1">
      <c r="A79" s="15" t="inlineStr">
        <is>
          <t>★v2.0 변경 4 · 줄→문단 병합 방식 확정</t>
        </is>
      </c>
      <c r="B79" s="9" t="inlineStr">
        <is>
          <t>줄 단위 레코드를 별도 테이블로 두지 않고 텍스트 블록의 source_lines(jsonb)로 관리한다. 줄 원본은 크롭의 OCR 캐시에 이미 있어 중복이며, 블록이 배치마다 복제되므로 줄 테이블을 두면 행이 배수로 늘어난다. 개발계획서 6.1의 block_id·block_merge_id 두 필드는 source_lines로 대체한다.</t>
        </is>
      </c>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58.5" customHeight="1">
      <c r="A80" s="15" t="inlineStr">
        <is>
          <t>★v2.1 변경 1 · 크롭 목록 재정의</t>
        </is>
      </c>
      <c r="B80" s="5" t="inlineStr">
        <is>
          <t>F-PLC-06을 「미사용 조각 보관함」에서 「크롭 목록 패널」로 개명·재정의했다. 한 조각을 여러 모듈에 재사용할 수 있으므로(F-PLC-02b) 배치했다고 목록에서 사라지면 안 되며, 배치 여부와 무관하게 전체 조각을 표시하고 조각별 배치 횟수를 함께 보여준다. 배치 횟수는 배치 기록에서 집계하므로 별도 컬럼이 필요 없다. F-PLC-02b는 목록 표시를 F-PLC-06으로 넘기고 드래그·드롭 동작만 담당한다. F-PLC-05의 '미선별 조각은 보관함 유지' 표현도 함께 정정했다.</t>
        </is>
      </c>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86.25" customHeight="1">
      <c r="A81" s="15" t="inlineStr">
        <is>
          <t>★v2.1 변경 2 · 조각 삭제는 S2 전용</t>
        </is>
      </c>
      <c r="B81" s="9" t="inlineStr">
        <is>
          <t>배치 화면에서 조각을 삭제하는 것은 부자연스럽다. 쓰지 않으면 그만이고, 조각의 추가·삭제는 크롭 단계의 일이다. F-PLC-02e에서 「조각 삭제」를 제거하고 「배치에서 빼기」만 남겼으며, F-CRP-02를 조각 추가·삭제의 유일한 창구로 명시했다. 그 결과 MVP에서는 '조각 삭제로 인한 배치·블록 연쇄 삭제'가 발생하지 않는다 — 전진 이동만 지원해 S3 이후 S2로 갈 수 없고, S2 체류 중에는 배치·블록이 아직 없기 때문이다. ERD의 CASCADE 제약은 12월 되돌림 도입에 대비해 유지한다. PL-22에 반영했다.</t>
        </is>
      </c>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72.75" customHeight="1">
      <c r="A82" s="15" t="inlineStr">
        <is>
          <t>★v2.1 변경 3 · 검증 규칙 단일 소스 (PL-23 신설)</t>
        </is>
      </c>
      <c r="B82" s="5" t="inlineStr">
        <is>
          <t>F-CH-05a는 '검증 항목을 규격 데이터로 보유'와 '판정 결과를 결과물에 저장' 둘 다를 요구하는데 v2.0은 결과만 정의했다. channel_specs.validation_rules를 신설해 규칙을 담고, 결과물.validation_result와 항목 key로 대응시킨다. 아울러 channel_specs의 검증 기준 스칼라 컬럼(resolution·aspect_ratio·background_rule·max_text_length)을 validation_rules로 통합해 단일 소스로 만든다. 안내(F-CH-03)와 검증(F-CH-05)이 다른 데이터를 읽으면 '1600px 권장이라 안내하고 500px로 통과'시키는 불일치가 조용히 발생하기 때문이다. image_count는 성격이 달라 module_spec으로 이동했다. NFR-22(코드 수정 없이 채널 확장)의 근거이며 12월 다규격 확장에서 값을 한다.</t>
        </is>
      </c>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58.5" customHeight="1">
      <c r="A83" s="15" t="inlineStr">
        <is>
          <t>★v2.2 변경 1 · 검증 규칙 적용 범위(scope) 필수화</t>
        </is>
      </c>
      <c r="B83" s="5" t="inlineStr">
        <is>
          <t>F-CH-05a가 상품 이미지 규정(짧은 변 최소 500px)과 A+ 규정을 한 목록에 담고 있어, 정상적으로 만든 970×300 A+ 배너가 짧은 변 300px로 항상 위반 판정되는 오류가 있었다. Amazon 공식 자료상 500px은 기본 등록(상품 이미지) 규정이고 Basic A+는 '명시 없음(모듈별 상이)'이다. 모든 검증 규칙에 scope(detail / thumbnail_main / thumbnail_sub / all)를 필수로 두고 결과물 용도와 일치하는 규칙만 적용한다. scope 없는 규칙은 등록을 금지해 같은 실수가 반복되지 않게 했다. MVP는 A+ 단독이므로 thumbnail 계열 규칙은 시드에 두되 발동하지 않는다. PL-23에 반영.</t>
        </is>
      </c>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58.5" customHeight="1">
      <c r="A84" s="15" t="inlineStr">
        <is>
          <t>★v2.2 변경 2 · S3와 S4의 시점 정합</t>
        </is>
      </c>
      <c r="B84" s="5" t="inlineStr">
        <is>
          <t>MVP는 전진 이동만 지원하므로 S3 시점에는 OCR이 실행되지 않아 텍스트 블록이 존재하지 않는다. 그런데 F-PLC-02c(텍스트 좌표 재계산)·02h(잘린 텍스트 블록 수 표시)가 S3에서 동작하는 것처럼 기재돼 있어 12월 조건으로 정정했다. F-PLC-02d는 성격이 달라 '조각 배율은 S4에서 텍스트 좌표를 변환할 때 곱해지는 값'으로 재작성했다 — S3의 실시간 반응이 아니라 S4 생성 규칙이다.</t>
        </is>
      </c>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72.75" customHeight="1">
      <c r="A85" s="15" t="inlineStr">
        <is>
          <t>★v2.2 변경 3 · 인페인팅 실패 정책 (PL-24 신설)</t>
        </is>
      </c>
      <c r="B85" s="9" t="inlineStr">
        <is>
          <t>재시도 상한 도달 시 마지막 결과를 그대로 표시하고 조각을 숨기지 않는다. 인페인팅 실패는 원본 텍스트가 남은 상태이므로 노출해야 사용자가 상황을 이해한다. 사용자용 재시도 버튼은 제공하지 않는다 — 인페인팅은 결정적이라 조건을 바꾸지 않은 재실행은 같은 결과를 내고, 그것이 오히려 신뢰를 떨어뜨린다. 경고 배지를 처리 실패와 품질 주의 두 종류로 구분했다. 조건을 바꾸는 재실행은 F-INP-01d·01e(12월)로 신설했다.</t>
        </is>
      </c>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31.5" customHeight="1">
      <c r="A86" s="15" t="inlineStr">
        <is>
          <t>★v2.3 변경 1 · 재시도 정책 정정</t>
        </is>
      </c>
      <c r="B86" s="5" t="inlineStr">
        <is>
          <t>v2.2에서 인페인팅의 성질(결정적)을 근거로 사용자 재시도 버튼을 전부 없앴는데, 이는 과잉 일반화였다. 재시도 가능 여부는 조각/작업 단위가 아니라 실패가 결정적이냐 일시적이냐로 갈린다. 번역(API 타임아웃·레이트 리밋)과 렌더링(캡처 타임아웃·폰트 로드 실패)은 같은 입력으로도 성공할 수 있으므로 실패 항목 개별 재시도를 제공한다. 인페인팅만 재시도 버튼을 두지 않는다. 일괄 재시도는 두지 않되, 실패 5건 초과 시 개별 재시도를 반복하게 두지 않고 잠시 후 재시도하도록 안내한다. F-JOB-06·F-INP-01b와 PL-24가 서로 어긋나 있던 것도 함께 정합시켰다.</t>
        </is>
      </c>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58.5" customHeight="1">
      <c r="A87" s="15" t="inlineStr">
        <is>
          <t>★v2.3 변경 2 · 실패 표시를 인라인 배지로</t>
        </is>
      </c>
      <c r="B87" s="9" t="inlineStr">
        <is>
          <t>실패 항목을 별도 목록으로 보여주던 것을 사용자가 보는 모듈 위 해당 조각·블록의 인라인 경고 배지로 바꿨다. 목록은 조각이 어디 있는지 찾아가야 하지만 배지는 위치 자체가 정보다. 목록 형태는 운영자 화면(A-OPS-03 실패 원인 분석 뷰)에만 남긴다.</t>
        </is>
      </c>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31.5" customHeight="1">
      <c r="A88" s="15" t="inlineStr">
        <is>
          <t>★v2.3 변경 3 · 재인페인팅 진입 지점 정의</t>
        </is>
      </c>
      <c r="B88" s="5" t="inlineStr">
        <is>
          <t>F-INP-01d·01e가 어디서 열리는지 정의되지 않아 S4 화면 레이아웃을 잡을 수 없었다. 조각을 클릭하면 우측 패널이 열려 원본과 처리 결과를 나란히 보여주고, 그 안에 배경 유형 토글이 들어간다. 마스크 조정은 정밀 작업이라 패널의 버튼으로 전체 편집 모드에 진입한다. S5·S7이 이미 우측 패널 패턴이라 일관성도 맞는다. 우측 패널의 원본·결과 비교는 MVP에도 넣는다 — 고칠 수 없더라도 지금 알면 취소하고 다시 시작할 수 있어, 번역까지 마친 뒤 S8에서 발견하는 것보다 낫기 때문이다.</t>
        </is>
      </c>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58.5" customHeight="1">
      <c r="A89" s="15" t="inlineStr">
        <is>
          <t>v2.3 변경 4 · F-PLC-02e 문장 명확화</t>
        </is>
      </c>
      <c r="B89" s="9" t="inlineStr">
        <is>
          <t>「배치에서 빼기」의 텍스트 블록 연쇄 삭제가 MVP에서 일어나는 것처럼 읽혀 12월 조건으로 명시했다. MVP는 S3 시점에 텍스트 블록이 아직 생성되지 않는다. v2.2에서 F-PLC-02c·02h를 같은 이유로 고쳤는데 02e를 빠뜨렸던 것이다.</t>
        </is>
      </c>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58.5" customHeight="1">
      <c r="A90" s="15" t="inlineStr">
        <is>
          <t>v2.3 변경 5 · F-PLC-02i 신설</t>
        </is>
      </c>
      <c r="B90" s="9" t="inlineStr">
        <is>
          <t>배치된 조각을 다른 모듈로 옮기는 기능을 should로 신설했다. DB는 placements.module_id 변경만으로 지원되어 추가 컬럼이 없으나, 모듈 간 드래그가 단일 캔버스 내 이동보다 UI 비용이 커 12월로 둔다. MVP는 「배치에서 빼기」 후 다시 놓는 방식으로 대체한다. 이동 시 기본 상태의 텍스트 블록은 따라가고 사용자가 옮겨둔 블록은 남는데, 블록의 표시 모듈과 배치의 모듈이 같은지로 판정하므로 별도 플래그가 필요 없다.</t>
        </is>
      </c>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58.5" customHeight="1">
      <c r="A91" s="15" t="inlineStr">
        <is>
          <t>★v2.4 변경 1 · 인페인팅 단일 경로 확정 (F-INP-01d 폐기)</t>
        </is>
      </c>
      <c r="B91" s="9" t="inlineStr">
        <is>
          <t>배경 유형(단색/사진) 판정과 분기 처리를 폐지하고 모든 조각을 단일 인페인팅 경로로 처리한다. 단색 배경은 인페인팅 모델이 잘 처리하는 영역이라 품질 손실이 낮고, 판정 오류로 인한 오처리와 F-INP-01d(배경 유형 수동 지정)의 필요 자체가 사라진다. F-INP-01d를 폐기하고 F-INP-02의 배경 유형 판정을 삭제했다. 모든 조각이 GPU를 사용하므로 NFR-01 성립 여부를 PoC 확인 항목에 추가했다(OI-26). ※ 배경 가공(F-BG-01·02·06 — 모듈 여백 채움)은 별개 기능으로 이 폐지와 무관하다.</t>
        </is>
      </c>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58.5" customHeight="1">
      <c r="A92" s="15" t="inlineStr">
        <is>
          <t>★v2.4 변경 2 · 마스크 형식·재시도 방식 확정</t>
        </is>
      </c>
      <c r="B92" s="9" t="inlineStr">
        <is>
          <t>마스크를 조각과 동일 해상도의 이진 마스크 이미지(1채널, 픽셀별 지움/보존)로 확정했다. 검출 bbox는 생성 입력일 뿐이며 마스크 형태를 사각형으로 제한하지 않는다. 자동 재시도는 마스크 팽창 폭을 단계적으로 키워 수행한다 — 같은 조건의 재실행이 아니므로 재시도가 의미를 갖고, PL-24의 재시도 버튼 미제공 근거도 「모델 결정성」에서 「시도 조건 소진」으로 바꿔 모델 선택(OI-26, Nano Banana 후보 유지)에 비종속으로 만들었다.</t>
        </is>
      </c>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58.5" customHeight="1">
      <c r="A93" s="15" t="inlineStr">
        <is>
          <t>★v2.4 변경 3 · OCR 1회 원칙 · 마스크 조정과 OCR 분리</t>
        </is>
      </c>
      <c r="B93" s="16" t="inlineStr">
        <is>
          <t>OCR은 조각당 1회만 추출하며 재추출 경로를 두지 않는다. 마스크 조정 재실행(F-INP-01e)은 인페인팅만 갱신하고 OCR 캐시·텍스트 블록은 보존한다. 마스크 변경으로 생기는 화면-블록 불일치는 블록 자동 생성·삭제 없이 사용자가 직접 수정한다(F-TXT-02·07). 01e는 마지막 사용 마스크(자동 재시도로 팽창된 경우 그 마스크)를 편집 대상으로 하며, 마스크 오버레이 표시도 12월이다(MVP 미제공).</t>
        </is>
      </c>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45" customHeight="1">
      <c r="A94" s="15" t="inlineStr">
        <is>
          <t>★v2.4 변경 4 · 작업 취소 확인 신설 (F-JOB-07)</t>
        </is>
      </c>
      <c r="B94" s="9" t="inlineStr">
        <is>
          <t>취소에 기능 ID가 없어 확인 다이얼로그를 정의할 자리가 없었다. F-JOB-07을 신설해 [X] 취소 시 삭제 대상을 항목별로 열거하는 확인 다이얼로그를 필수화했다. 처리 중(S4·S6) 취소는 진행 중 비동기 작업을 중단하고 작업 전체를 취소하며, 처리만 멈추고 화면에 머무는 상태는 두지 않는다. F-INP-01b·F-JOB-06의 「선택지는 진행 또는 작업 취소」 문구와 「제외하고 진행할지 선택」(v2.3 정합 누락 잔재)을 함께 정리했다.</t>
        </is>
      </c>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45" customHeight="1">
      <c r="A95" s="15" t="inlineStr">
        <is>
          <t>★v2.4 변경 5 · 보관함 액션 정리</t>
        </is>
      </c>
      <c r="B95" s="9" t="inlineStr">
        <is>
          <t>다운로드·삭제는 카드 선택(F-LST-03)을 거치는 단일 경로로 확정했다. 카드 상세의 단건 다운로드와 개별 카드 즉석 삭제 UI를 제거했고, 선택 0건이면 액션 버튼을 비활성한다. F-LST-06(다운로드)은 MVP에서 제외해 12월로 이월했다(P1·should) — MVP는 완료 결과물의 조회까지만 지원한다. 이에 따라 OI-29(HTML 패키징)도 12월 과제가 된다.</t>
        </is>
      </c>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45" customHeight="1">
      <c r="A96" s="15" t="inlineStr">
        <is>
          <t>★v2.4 변경 6 · S8 렌더 실패 복귀·완료 조건</t>
        </is>
      </c>
      <c r="B96" s="9" t="inlineStr">
        <is>
          <t>오류 상태의 다음 가능 상태에 최종합성(S8)이 없어 렌더 실패 시 돌아갈 자리가 없었다. 상태표에 S8 복귀를 추가하고, F-FIN-03에 「모든 모듈 렌더 성공 시에만 완료 전환」을 명시했다. 렌더 실패는 일시적 원인(캡처 타임아웃·폰트 로드)이 대부분이라 시간을 두고 S8을 재시도하면 해결된다. 부분 결과물 다운로드는 도입하지 않되 12월 재검토 항목으로 남겼다(OI-45).</t>
        </is>
      </c>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14" customHeight="1">
      <c r="A97" s="15" t="inlineStr">
        <is>
          <t>★v2.4 변경 7 · 세션 이탈 처리 명시</t>
        </is>
      </c>
      <c r="B97" s="16" t="inlineStr">
        <is>
          <t>MVP는 세션 이탈을 감지하지 않고 재진입 경로도 제공하지 않는다. 진행 중 비동기 처리는 완료까지 수행하고 결과를 저장하되 이탈 작업은 어떤 목록에도 노출하지 않는다(F-JOB-05). 12월 재진입(F-LST-08)의 이음새 3건을 미리 명시했다 — 텍스트 블록 수정의 즉시 서버 반영(저장 시점 없음), 비동기 처리 중 이탈 작업의 재진입 시 완료 상태 반영, 실행취소 스택 미복원 고지.</t>
        </is>
      </c>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72.75" customHeight="1">
      <c r="A98" s="15" t="inlineStr">
        <is>
          <t>★v2.5 변경 1 · 규제 분류 축 신설 (F-LNG-03)</t>
        </is>
      </c>
      <c r="B98" s="9" t="inlineStr">
        <is>
          <t>미국 FDA는 선크림·여드름 치료제를 화장품이 아닌 OTC 의약품으로 규제하며, 내부 카테고리 7종에 Sunscreens &amp; Tanning이 포함되어 MVP 범위에 OTC 제품이 존재한다. 화장품은 네거티브 규제(금지만 회피), OTC는 포지티브 규제(모노그래프 열거 용도만 허용)라 구조가 반대이므로, 규제 분류(regulatory_class) 없이 검증하면 OTC 정상 문구를 전부 오탐한다. S5에서 국가 선택 후 분류 체계가 정의된 국가만 셀렉터를 노출하며 선택지는 국가별 데이터로 관리한다. 미국은 화장품 / OTC 의약품 / 화장품+OTC 복합 / 잘 모름 4개. 복합(21 CFR 701.3(d))은 문구별로 규칙이 갈려 제품 단위 선택으로 처리되지 않으므로 MVP는 OTC와 동일 처리하고 한계를 고지한다(OI-46). '잘 모름'은 화장품 기준으로 검증하되 상시 경고 배지와 확인 필요 신호(F-CFM-05)를 단다 — OTC 규칙을 무차별 적용하면 오탐 홍수로 PL-20을 위반하므로 합집합 검증은 불가하고, 네거티브 규제가 어느 분류에도 유효한 최소 기준이기 때문. 판정 책임은 셀러에게 있다(F-ACC-04·PL-02). 카테고리 축(F-SRC-04)과 완전 독립. OI-42 종결.</t>
        </is>
      </c>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72.75" customHeight="1">
      <c r="A99" s="15" t="inlineStr">
        <is>
          <t>★v2.5 변경 2 · 검증 파이프라인에 규제 분류 반영</t>
        </is>
      </c>
      <c r="B99" s="9" t="inlineStr">
        <is>
          <t>규제 사전 조회 키를 (target_country, regulatory_class)로 확장했다(F-TRN-03a). LLM 판정 프롬프트에는 규제 분류를 반드시 전달한다 — 누락 시 OTC 모노그래프 허용 문구가 화장품 기준으로 전부 위반 판정된다(F-TRN-03). 해당 분류 항목이 없으면 국가 공통(common) 계층으로 폴백하고 폴백 사실을 표시한다(기본안 — OI-47). S5 삭제 키워드 제안(F-TXT-05)도 분류 축으로 조회하며 선택·변경 시 갱신된다. 대체 표현 제안(F-TRN-03b, 12월)은 분류별 분기 — 화장품은 자유 제안, OTC는 모노그래프 허용 목록 내로 한정(21 CFR 333.350(b)).</t>
        </is>
      </c>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58.5" customHeight="1">
      <c r="A100" s="15" t="inlineStr">
        <is>
          <t>★v2.5 변경 3 · 규제 사전 마스터 신설 (F-TRN-07)</t>
        </is>
      </c>
      <c r="B100" s="9" t="inlineStr">
        <is>
          <t>규제 사전을 데이터 자산으로 정의했다. 용어집 마스터(F-TRN-06)와 나란한 F-TRN-07로 편입하고 F-CH-01과 동일 패턴을 적용한다 — P0 · should · X, 스키마·시드는 MVP부터 사용(PL-16·NFR-28), 편집 콘솔은 A-CFG-02(12월). 항목: 출발 표현·변형 표현·타겟 국가·규제 분류·판정 상태(규제/조건부/허용 — 기존 용어 체계로 통일)·대체 표현·사유·근거 출처 유형(FDA 공식 문서/Warning Letter/OTC 모노그래프)·근거 문서·조문·URL·확인일자. 근거 강도 필드는 척도 미정의로 제외하고 근거 출처 유형으로 갈음한다.</t>
        </is>
      </c>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72.75" customHeight="1">
      <c r="A101" s="15" t="inlineStr">
        <is>
          <t>★v2.5 변경 4 · 정책·연쇄 규칙 정합</t>
        </is>
      </c>
      <c r="B101" s="16" t="inlineStr">
        <is>
          <t>PL-18을 국가·언어·규제분류 독립 원칙으로 개정하고, PL-17의 「규제 사전은 국가만 따른다」를 「국가·규제 분류만 따른다」로 수정했다. 분류 변경은 국가 변경과 동일하게 번역·규제 검증만 재실행하며 규격·배치·인페인팅은 유지된다. 국가를 변경하면 분류 선택값은 무효화되어 재선택한다(분류 체계가 국가 종속 — F-LNG-01). 다른 국가 버전 생성(F-VER-01, 12월) 시에도 분류를 재선택한다.</t>
        </is>
      </c>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5.75" customHeight="1">
      <c r="A102" s="15" t="inlineStr">
        <is>
          <t>v2.5 변경 5 · 명명·번호 정리</t>
        </is>
      </c>
      <c r="B102" s="9" t="inlineStr">
        <is>
          <t>이 축의 정식 명칭을 '제품 유형(product_type)'에서 '규제 분류(regulatory_class)'로 확정했다 — 이커머스 문맥에서 제품 유형은 카테고리로 오독되며, 이 축의 정체는 규제 사전을 결정하는 법적 분류이기 때문. 화면 라벨은 질문형(「이 제품은 미국에서 어떤 분류로 판매되나요?」)으로 별도 운용하며 문구는 03_화면정의서 S5에 둔다. 신설 이슈는 v2.4의 OI-45(부분 결과물 다운로드)에 이어 OI-46(복합 제품)·OI-47(폴백 정책)로 번호를 부여했다. 골든 샘플 기준에 선크림 계열(OTC) 1건 포함을 추가했다(OI-37).</t>
        </is>
      </c>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5.75" customHeight="1"/>
    <row r="104" ht="15.75" customHeight="1">
      <c r="A104" t="inlineStr">
        <is>
          <t>9/1 결정 · 화면 체계와 용어 확정 (항목 4-1~4-10)</t>
        </is>
      </c>
    </row>
    <row r="105" ht="15.75" customHeight="1">
      <c r="A105" t="inlineStr">
        <is>
          <t>4-1 · 원본 언어 미탐지 확정</t>
        </is>
      </c>
      <c r="B105" t="inlineStr">
        <is>
          <t>업로드 시 원본 언어를 탐지하지 않는다. 출발어는 한국어 고정이며 비한국어 원본도 경고 없이 진행하고, OCR·번역 품질 책임은 셀러에게 있다(F-SRC-01, 화면정의서 N1). 폐기된 F-SRC-05를 되살리지 않는다.</t>
        </is>
      </c>
    </row>
    <row r="106" ht="15.75" customHeight="1">
      <c r="A106" t="inlineStr">
        <is>
          <t>4-2 · 「다른 번역 보기」 개칭</t>
        </is>
      </c>
      <c r="B106" t="inlineStr">
        <is>
          <t>화면에 노출하는 말은 「다른 번역」, 명세·API·로그의 내부 용어는 「번역 후보」로 분리(F-TRN-08·F-CFM-11, 화면정의서 N5, PL-26, NFR-30, 용어집 신설 항목).</t>
        </is>
      </c>
    </row>
    <row r="107" ht="15.75" customHeight="1">
      <c r="A107" t="inlineStr">
        <is>
          <t>4-3 · 단위 용어 섹션 통일</t>
        </is>
      </c>
      <c r="B107" t="inlineStr">
        <is>
          <t>삭제되지 않은 기능·정책·용어집에 남아 있던 「조각」을 전수 섹션으로 교체(F-NAV-02·08, F-INP-01·01a·01b·01c·01e·02, F-BG-01, F-CFM-02a, F-LST-08·09, F-VER-03, F-JOB-04·05·06·07, PL-07, 용어집 9항목). 삭제 행·구버전 변경 이력·용어집의 폐기 개념 정의는 이력이므로 보존.</t>
        </is>
      </c>
    </row>
    <row r="108" ht="15.75" customHeight="1">
      <c r="A108" t="inlineStr">
        <is>
          <t>4-4 · 검수 화면 경로별 구조 명시</t>
        </is>
      </c>
      <c r="B108" t="inlineStr">
        <is>
          <t>03_화면정의서 N5를 F-CFM-01 정의대로 재작성 — 9월은 상단 원본/제자리 렌더 + 하단 원문/1차 번역, 12월은 상단 원본/템플릿 렌더 + 하단 원문/2차 번역(1차 번역 접힘).</t>
        </is>
      </c>
    </row>
    <row r="109" ht="15.75" customHeight="1">
      <c r="A109" t="inlineStr">
        <is>
          <t>4-5 · N1 비활성 규격 배지 삭제</t>
        </is>
      </c>
      <c r="B109" t="inlineStr">
        <is>
          <t>사이트별·커스텀 규격은 배지 없이 비활성 노출만 한다(F-CH-02·02b, 화면정의서 N1). 판정 티저(N3 채널 정책 배지)는 유지.</t>
        </is>
      </c>
    </row>
    <row r="110" ht="15.75" customHeight="1">
      <c r="A110" t="inlineStr">
        <is>
          <t>4-6 · 잔여 구용어·집계 정리</t>
        </is>
      </c>
      <c r="B110" t="inlineStr">
        <is>
          <t>F-SRC-01 수용기준의 크롭 화면 참조 삭제 · 잔존 기능의 화면 열 구 S번호를 N번호로 일괄 교체(S1·S5→N1, S4·S6→N4, S7→N5, S8→N6 — S0 프로세스 바는 유효 ID로 유지) · MVP 완주 표현 S1→S8을 N1→N6으로(F-LST-08, PL 주석, 로드맵, OI-37). 집계 셀(전체·must·should·could·신설·수정·삭제)은 COUNTIF 수식이라 자동 반영된다. 잔존 162 / must 83 / should 69 / could 9 / won't 1 · v3.0 신설 32 (9/1 이후 F-CFM-13·14·F-JOB-08·F-EXP-07 신설, F-CFM-03·F-TRN-02d must→should 반영).</t>
        </is>
      </c>
    </row>
    <row r="111" ht="15.75" customHeight="1">
      <c r="A111" t="inlineStr">
        <is>
          <t>4-7 · 인페인팅 결과 확인 지점 확정 (C안)</t>
        </is>
      </c>
      <c r="B111" t="inlineStr">
        <is>
          <t>N4가 자동 전환 처리 화면이 되어 인페인팅 경고 배지를 볼 지점이 사라진 문제를 C안으로 해소. ① F-CFM-05 신호 목록에 인페인팅 잔존율(처리 실패·품질 주의) 추가 — N5 응답 스키마에 실려야 하므로 9/7 N4·N5 명세 확정 전 반영 필요 ② 배지 클릭 시 상단 뷰어가 해당 섹션으로 이동(확대 비교 UI는 만들지 않음 — 뷰어의 기본 스크롤·확대로 대체) ③ F-INP-01e(마스크 조정) 진입점을 소멸한 우측 패널에서 N5 배지로 재정의하고 12월 범위임을 명시, 릴리스 로드맵에서도 삭제 행(에디터 자유도)에서 분리해 12월 살아있는 행으로 이동. 9월은 발견까지, 수정 수단(마스크 조정)은 12월 — A안으로의 확장은 배지에 상호작용을 얹는 것이라 데이터·API 변경 없음.</t>
        </is>
      </c>
    </row>
    <row r="112" ht="15.75" customHeight="1">
      <c r="A112" t="inlineStr">
        <is>
          <t>4-8 · N5 레이아웃 확정 (좌우 2분할)</t>
        </is>
      </c>
      <c r="B112" t="inlineStr">
        <is>
          <t>초장축은 폭보다 높이가 중요하므로 상단 뷰어+하단 표를 좌우 2분할로 전환 — 좌 뷰어(세로 전체) / 우 블록 표(섹션별 그룹 헤더). 9월은 원본↔결과를 나란히 놓지 않고 한 뷰에서 슬라이더로 겹쳐 본다(제자리 번역이라 레이아웃이 동일). 12월 규격 변경은 좌측을 상하 2단으로 — 위 템플릿 렌더(가로 970 모듈이 폭을 온전히 씀, 주역) / 아래 원본 세로(보조·기본 접힘). ★검수는 결과물에 포함되는 섹션만 다루며 제외 섹션은 좌·우 어디에도 표시하지 않는다(PM 확정 9/1) — 원본도 제외분을 뺀 스택 상태이므로 두 결과의 높이가 같아지고, 앞서 논의한 스크롤 위치 매핑(제외 구간 처리) 문제 자체가 소멸해 F-CRP-01a의 동기 스크롤이 슬라이더 겹쳐 보기로 대체됐다. 삭제 내역은 N3·content.csv·manifest로 계속 노출(F-SEC-05·NFR-31).</t>
        </is>
      </c>
    </row>
    <row r="113" ht="15.75" customHeight="1">
      <c r="A113" t="inlineStr">
        <is>
          <t>4-9 · 블록↔섹션 연동 선택 신설 (F-CFM-13, must)</t>
        </is>
      </c>
      <c r="B113" t="inlineStr">
        <is>
          <t>좌측 뷰어와 우측 표가 선택 상태 하나를 공유해 양방향 이동. 표 행 → 뷰어 이동·블록 하이라이트 / 섹션 → 표 그룹 스크롤. 우측 표는 섹션별 그룹 헤더로 묶는다. 인페인팅 배지 점프와 같은 상태를 쓰므로 추가 데이터·API 없음. 12월에는 같은 상태를 섹션↔모듈 하이라이트로 확장하되, 연결은 문자열 비교가 아니라 manifest의 origin_block_ids로 조회한다 — 2차 번역이 선별→압축으로 파생되어 문장이 잘리고 합쳐지므로 텍스트 매칭이 성립하지 않기 때문. 필드 자리는 9월 스키마 확정 시 함께 잡아 12월에 manifest를 다시 열지 않는다(F-EXP-03·F-TRN-10, OI-48 비고 갱신).</t>
        </is>
      </c>
    </row>
    <row r="114" ht="15.75" customHeight="1">
      <c r="A114" t="inlineStr">
        <is>
          <t>4-10 · 중간 공유 하루 순연</t>
        </is>
      </c>
      <c r="B114" t="inlineStr">
        <is>
          <t>2026-09-30(수) → 2026-10-01(목). 실행계획 M3 구간(09/24~10/01, 근무일 3.0→4.0)·M4 시작(10/02, 22.0→21.0)·W6 일정·게이트 5 표기를 함께 갱신. 9/28 통합 완료(게이트 5)와 리허설은 날짜를 유지하므로 준비 시간이 하루 늘어난다.</t>
        </is>
      </c>
    </row>
    <row r="115" ht="15.75" customHeight="1"/>
    <row r="116" ht="15.75" customHeight="1">
      <c r="A116" t="inlineStr">
        <is>
          <t>9/1 결정 · N5 검수 · 조판 · 산출물 (항목 5-1~5-12)</t>
        </is>
      </c>
    </row>
    <row r="117" ht="15.75" customHeight="1">
      <c r="A117" t="inlineStr">
        <is>
          <t>5-1 · 조판 조정에서 줄 추가·자간 삭제</t>
        </is>
      </c>
      <c r="B117" t="inlineStr">
        <is>
          <t>9월 경로의 조판 조정을 폰트 축소(−10% 상한)와 줄바꿈 위치로 한정. 줄을 늘리면 원본 좌표 절대 배치(F-INP-03)와 슬라이더 대조 전제(F-CRP-01a ③ 같은 높이)가 양립하지 않는다. 폰트 하한으로도 안 들어가면 넘치게 두고 경고 — 잘라내면 규제 단서 조항이 먼저 사라져 우리가 만든 위반이 된다. 폰트 하한의 절대값 전환은 V4 실측 후로 예고만(−10%는 잠정 유지 — 하한 값이 없는 채로 상한을 지우면 F-TRN-04 수용기준 ③이 검증 불가가 되고, 24px은 아마존 A+ 기준이라 9월 원본 규격에 적용할 근거가 없다).</t>
        </is>
      </c>
    </row>
    <row r="118" ht="15.75" customHeight="1">
      <c r="A118" t="inlineStr">
        <is>
          <t>5-2 · 폴백 ⑥ — 폭 초과 번역 제시</t>
        </is>
      </c>
      <c r="B118" t="inlineStr">
        <is>
          <t>통과 후보가 0개일 때 빈칸을 주던 것을 폭 초과·규제 통과 후보 제시로 개정(F-TRN-08 ⑥·F-CFM-11). 규제 위반 후보는 응답에 싣지 않고 폐기. 초과량은 상대 표시만. 이미 생성·측정한 데이터라 추가 호출·렌더 없음. N5 응답에 초과 사유 필드 필요(9/7 명세 확정 전). 실행계획 3단계 축소안의 "후보 선택 UI 제외"에서 이 폴백은 제외 대상이 아니다.</t>
        </is>
      </c>
    </row>
    <row r="119" ht="15.75" customHeight="1">
      <c r="A119" t="inlineStr">
        <is>
          <t>5-3 · 12월 후보 생성 · 용어</t>
        </is>
      </c>
      <c r="B119" t="inlineStr">
        <is>
          <t>F-TRN-10에 슬롯별 후보 생성 추가 — 화면정의서 N5의 [다른 번역 보기]가 12월에 채울 데이터가 없던 모순 해소. 빈 슬롯에는 1차 번역을 후보로 제시. "선별 탈락" 용어 금지, 미사용 문장은 N5 미표시(F-SEC-05가 요구하는 것은 판정으로 뺀 것이지 용량으로 담지 못한 것이 아니다).</t>
        </is>
      </c>
    </row>
    <row r="120" ht="15.75" customHeight="1">
      <c r="A120" t="inlineStr">
        <is>
          <t>5-4 · F-CFM-14 신설 — 검수 중 섹션 제외 (must)</t>
        </is>
      </c>
      <c r="B120" t="inlineStr">
        <is>
          <t>인페인팅 실패 섹션 하나 때문에 작업 전체를 버려야 하던 문제의 9월 해법. 제외해도 사라지지 않고 회색 오버레이 + [되돌리기]로 자리에 남는다 — 높이가 변하지 않아 슬라이더가 유지되고 검수 중 재렌더가 발생하지 않으며(스택은 N6 최종 렌더에서만), 사유 코드도 user_manual 재사용이라 스키마 변경이 없다. N3 제외는 여전히 N5에 표시하지 않는다 — "이 화면에서 한 일은 이 화면에서 되돌린다".</t>
        </is>
      </c>
    </row>
    <row r="121" ht="15.75" customHeight="1">
      <c r="A121" t="inlineStr">
        <is>
          <t>5-5 · F-JOB-08 신설 — 처리 중단 및 복귀 (must)</t>
        </is>
      </c>
      <c r="B121" t="inlineStr">
        <is>
          <t>구 F-JOB-07의 "처리 중 취소 = 작업 전체 취소"를 분리. N2 중단은 N1로, N4 중단은 N3으로 복귀하며 작업은 남는다. [X] 작업 취소는 S0 프로세스 바에 전 화면 고정(N1은 「보관함으로 나가기」 + 미저장 확인 모달). 9월 MVP의 후퇴 수단이 [X] 전체 취소뿐이던 문제를 F-CFM-14와 함께 해소.</t>
        </is>
      </c>
    </row>
    <row r="122" ht="15.75" customHeight="1">
      <c r="A122" t="inlineStr">
        <is>
          <t>5-6 · F-CFM-03 실행 취소 — MVP 무동작 (PM 확정 9/1)</t>
        </is>
      </c>
      <c r="B122" t="inlineStr">
        <is>
          <t>must→should. 버튼은 N5에 노출하되 동작하지 않고 툴팁으로 12월 기능임을 안내한다(F-NAV-01 프로세스 바와 같은 방식) — 화면 버튼 구성을 지금 확정해 12월에 다시 짜지 않기 위함. NFR-09도 12월 적용으로 한정.</t>
        </is>
      </c>
    </row>
    <row r="123" ht="15.75" customHeight="1">
      <c r="A123" t="inlineStr">
        <is>
          <t>5-7 · content.csv 경로별 행 단위</t>
        </is>
      </c>
      <c r="B123" t="inlineStr">
        <is>
          <t>규격 그대로는 행=텍스트 블록·trans_1, 규격 변경(A+)은 행=모듈 슬롯·trans_2+origin_block_ids. A+ CSV는 셀러가 아마존 폼에 입력할 값이라 슬롯 단위가 아니면 쓸 수 없다. 규격 변경 경로에서 제외 섹션이 어느 슬롯에도 안 들어가 행이 사라지므로, 슬롯 행 아래에 제외 섹션 행 그룹을 붙여 NFR-31(content.csv·manifest 양쪽 누락 0건)을 충족한다.</t>
        </is>
      </c>
    </row>
    <row r="124" ht="15.75" customHeight="1">
      <c r="A124" t="inlineStr">
        <is>
          <t>5-8 · F-EXP-07 신설 — baked 산출물 (should·12월)</t>
        </is>
      </c>
      <c r="B124" t="inlineStr">
        <is>
          <t>텍스트가 구워진 모듈 이미지를 산출물 구성요소로 추가. 확인용이 아니라 셀러가 고르는 결과물이며 분리형과 함께 제공된다. 아마존 이미지 슬롯 규격에 정확히 맞춰 렌더하고, 텍스트 필드가 이미지 밖인 모듈 모양도 단일 슬롯 안에 조판해 만든다. 템플릿 슬롯을 아마존 글자수 상한이 들어가는 크기로 설계해야 분리형과 같은 2차 번역을 공유한다(F-CH-07). 모바일 축소·스크린리더 미인식·아마존 정책은 선택 시 고지(단정 금지).</t>
        </is>
      </c>
    </row>
    <row r="125" ht="15.75" customHeight="1">
      <c r="A125" t="inlineStr">
        <is>
          <t>5-9 · 결과물 분할 규칙</t>
        </is>
      </c>
      <c r="B125" t="inlineStr">
        <is>
          <t>섹션 분해를 원본 1장 단위로 명시(F-SEC-01)해 파일 경계에 걸친 섹션이 생기지 않게 하고, 결과물은 원본 업로드 단위를 유지해 분할한다. 검수(N5)는 통짜, 분할은 N6, 순서는 렌더 → 분할 → 규격 검증(용량은 파일당 기준이라 통짜로 재면 항상 위반).</t>
        </is>
      </c>
    </row>
    <row r="126" ht="15.75" customHeight="1">
      <c r="A126" t="inlineStr">
        <is>
          <t>5-10 · 9월 규격 검증 기준 · NFR-12 한정</t>
        </is>
      </c>
      <c r="B126" t="inlineStr">
        <is>
          <t>9월 원본 규격용 최소 channel_spec을 두고 포맷·색공간만 검증, 용량은 미검사(OI-53 신설) — 근거 없는 기준값을 만들지 않는다. NFR-12는 적용 범위를 우리가 렌더하는 산출물(제자리 렌더·baked·html·psd)로 한정하고, 아마존이 그리는 12월 분리형은 요구사항이 아니라 셀러 고지 대상으로 옮긴다.</t>
        </is>
      </c>
    </row>
    <row r="127" ht="15.75" customHeight="1">
      <c r="A127" t="inlineStr">
        <is>
          <t>5-11 · F-CFM-13 확장 · 12월 표 그룹</t>
        </is>
      </c>
      <c r="B127" t="inlineStr">
        <is>
          <t>좌측 뷰어의 블록 클릭 → 우측 표 셀 포커스 추가(인라인 편집은 두지 않으며 근거는 PL-26·F-CFM-02의 기존 정책을 유지). 겹치는 bbox는 최소 우선, 12월 모듈 슬롯 클릭은 전부 하이라이트+첫 행 포커스. 우측 표 그룹 헤더는 9월 섹션별·12월 모듈별.</t>
        </is>
      </c>
    </row>
    <row r="128" ht="15.75" customHeight="1">
      <c r="A128" t="inlineStr">
        <is>
          <t>5-12 · 12월 준비 항목</t>
        </is>
      </c>
      <c r="B128" t="inlineStr">
        <is>
          <t>field_type→A+ 슬롯 타입 변환 규칙을 Rule Engine에 정의(F-CH-10) · module_spec 시드 신설(F-CH-07 — 모듈명·슬롯 규격·필드 종류·글자수 상한·baked 가능 여부·출처 URL·확인일자, 12월 W9 착수 전 필수) · A+ 글자수 초과 경고 문구 강화는 module_spec 확정 후로 연기(미확인 값을 근거로 단정하지 않는다).</t>
        </is>
      </c>
    </row>
    <row r="129" ht="15.75" customHeight="1"/>
    <row r="130" ht="15.75" customHeight="1">
      <c r="A130" t="inlineStr">
        <is>
          <t>9/1 결정 · 텍스트 블록 단위 정리 (항목 6-1~6-2)</t>
        </is>
      </c>
    </row>
    <row r="131" ht="15.75" customHeight="1">
      <c r="A131" t="inlineStr">
        <is>
          <t>6-1 · 선별 단위를 블록(문단)으로 확정</t>
        </is>
      </c>
      <c r="B131" t="inlineStr">
        <is>
          <t>F-INP-02a는 "텍스트 블록 1건 = 문단 1개"인데 F-TRN-10·F-CH-10·OI-48·용어집의 산문은 선별을 "문장" 단위로 서술해 어긋나 있었다(변경안 §3-3의 표현이 블록 정의 확정 전에 쓰인 잔재). 선별 = 블록 단위(블록을 쪼개 여러 슬롯에 담지 않음), 압축 = 선별한 블록 안에서 문장 단위로 확정하고 네 곳의 용어를 통일했다. 이로써 origin_block_ids가 출처를 완전히 표현하므로 스키마를 열 이유가 없고, 별도 문장 계층(콘텐츠 4층)은 도입하지 않는다 — 문장에는 직사각형 bbox가 없어 폭 제약이 성립하지 않고, 규제 검증이 문장으로 내려가면 F-TRN-08의 "통과 후보"가 이진성을 잃으며, 번역이 문장 수를 보존하지 않아 검수 표 행 대응이 깨진다. 미사용 블록을 화면에 표시하지 않기로 한 결정(F-TRN-10 — 미사용 문장 N5 미표시)과도 짝이 맞는다 — 보여주지 않을 것을 추적할 이유가 없다.</t>
        </is>
      </c>
    </row>
    <row r="132" ht="15.75" customHeight="1">
      <c r="A132" t="inlineStr">
        <is>
          <t>6-2 · 남긴 것</t>
        </is>
      </c>
      <c r="B132" t="inlineStr">
        <is>
          <t>규제 검출 해상도(F-TRN-03a 수용 ②가 "블록 단위")는 선별 단위와 무관한 별건이므로 이번에 손대지 않았다. V7(9/3, 초장축 OCR 실측)에 "문단당 문장 수 분포"를 측정 항목으로 얹어, 1~2문장이 대부분이면 종결하고 3문장 이상이 흔하면 금지표현 매칭 offset을 화면 표시까지 올릴지 그때 판단한다. OI-48은 단위만 좁혀졌을 뿐 로직은 미해결로 유지.</t>
        </is>
      </c>
    </row>
    <row r="133" ht="15.75" customHeight="1"/>
    <row r="134" ht="15.75" customHeight="1">
      <c r="A134" t="inlineStr">
        <is>
          <t>9/1 결정 · 산출물 배포 범위 (항목 7-1~7-3)</t>
        </is>
      </c>
    </row>
    <row r="135" ht="15.75" customHeight="1">
      <c r="A135" t="inlineStr">
        <is>
          <t>7-1 · manifest.json을 셀러 배포 대상에서 제외</t>
        </is>
      </c>
      <c r="B135" t="inlineStr">
        <is>
          <t>최종 산출물은 셀러에게 가는 것이라는 기준으로 export.zip과 보관함 다운로드 목록에서 manifest.json을 뺐다(구성요소 선택지로도 두지 않는다 — 아무도 켤 이유가 없는 선택지는 노이즈). 셀러가 열어도 의미가 없고, 고쳐서 되돌릴 경로가 없으며(F-EXP-05는 content.csv 재업로드만), 서비스 밖 재생성도 불가능하다(Rule Engine·템플릿·폰트 매핑·인페인팅 배경이 모두 서비스 안, 배경 자산 패키징은 OI-29 미해결). manifest 자체는 그대로 생성·보관하며 F-EXP-03은 must를 유지한다 — PL-21 3층의 산출물 층이자 F-CH-10·F-VER-01·02·F-CFM-13의 근거이고, 생성 확인은 서버에서 한다. 대분류는 산출물 내보내기로 유지했다(N6에서 export와 함께 생성되는 형제이므로).</t>
        </is>
      </c>
    </row>
    <row r="136" ht="15.75" customHeight="1">
      <c r="A136" t="inlineStr">
        <is>
          <t>7-2 · 항목별 개별 다운로드 (should·9월)</t>
        </is>
      </c>
      <c r="B136" t="inlineStr">
        <is>
          <t>N6 저장 화면에 두 경로를 둔다 — 체크한 항목을 묶는 [선택 항목 export.zip 다운로드]와, 각 행의 [↓]로 체크와 무관하게 그것만 즉시 받는 개별 다운로드. 단일 파일 항목(content.csv·html·psd)은 파일 그대로, 복수 파일 항목(images/·baked/)은 그 항목만 묶은 zip. 생성 실패·12월 비활성 항목의 버튼은 비활성. 항목 목록이 곧 "셀러에게 주는 것"의 정의가 되어 manifest 제외가 화면으로 드러난다. F-LST-06(보관함, 12월)에도 같은 방식으로 구현하도록 비고를 남겼다.</t>
        </is>
      </c>
    </row>
    <row r="137" ht="15.75" customHeight="1">
      <c r="A137" t="inlineStr">
        <is>
          <t>7-3 · 삭제 내역 증빙의 단독 담당</t>
        </is>
      </c>
      <c r="B137" t="inlineStr">
        <is>
          <t>manifest가 배포에서 빠지면서 셀러 쪽 삭제 내역 증빙은 content.csv가 단독으로 담당한다(F-SEC-05·NFR-31에 역할 구분 명시). 다만 F-SEC-05가 화면에 요구하는 5개 항목 중 "근거(조문)"를 CSV의 verdict_basis가 어느 수준으로 담는지(전문/요약/조문 식별자+링크)는 정의되어 있지 않다 — 9/7 content.csv 스키마 확정 시 함께 정한다.</t>
        </is>
      </c>
    </row>
    <row r="138" ht="15.75" customHeight="1"/>
    <row r="139" ht="15.75" customHeight="1">
      <c r="A139" t="inlineStr">
        <is>
          <t>★문서 작성 규칙 (2026-09-02 확정 · 이후 모든 개정에 적용)</t>
        </is>
      </c>
    </row>
    <row r="140" ht="15.75" customHeight="1">
      <c r="A140" t="inlineStr">
        <is>
          <t>열 — 상세 요구사항</t>
        </is>
      </c>
      <c r="B140" t="inlineStr">
        <is>
          <t>무엇을 만드는가. 수용기준으로 검증 가능한 문장만. 왜 그렇게 정했는지·무엇을 기각했는지·언제까지 누가는 담지 않는다</t>
        </is>
      </c>
    </row>
    <row r="141" ht="15.75" customHeight="1">
      <c r="A141" t="inlineStr">
        <is>
          <t>열 — 수용 기준</t>
        </is>
      </c>
      <c r="B141" t="inlineStr">
        <is>
          <t>판정 가능한 조건. 결과를 쓰고 방법은 쓰지 않는다. 구현 절차는 담지 않는다</t>
        </is>
      </c>
    </row>
    <row r="142" ht="15.75" customHeight="1">
      <c r="A142" t="inlineStr">
        <is>
          <t>열 — 예외 처리</t>
        </is>
      </c>
      <c r="B142" t="inlineStr">
        <is>
          <t>실패·경계 상황에서의 동작. 근거 서술은 담지 않는다</t>
        </is>
      </c>
    </row>
    <row r="143" ht="15.75" customHeight="1">
      <c r="A143" t="inlineStr">
        <is>
          <t>열 — 의존성</t>
        </is>
      </c>
      <c r="B143" t="inlineStr">
        <is>
          <t>다른 기능·데이터·정책과의 관계. 릴리스 범위 맥락(v1.8 이월·12월 확장). 근거와 작업 지시는 담지 않는다</t>
        </is>
      </c>
    </row>
    <row r="144" ht="15.75" customHeight="1">
      <c r="A144" t="inlineStr">
        <is>
          <t>열 — 근거 · 기각 기록</t>
        </is>
      </c>
      <c r="B144" t="inlineStr">
        <is>
          <t>왜 그렇게 정했는가 · 무엇을 기각했는가. 작업 지시는 담지 않는다</t>
        </is>
      </c>
    </row>
    <row r="145" ht="15.75" customHeight="1">
      <c r="A145" t="inlineStr">
        <is>
          <t>규칙 1 · 작업 지시 이관</t>
        </is>
      </c>
      <c r="B145" t="inlineStr">
        <is>
          <t>「누가 언제」는 실행계획 02_주간일정표로, 미확정 사항은 09_오픈이슈로. PRD 비고에 중복해서 쓰지 않는다</t>
        </is>
      </c>
    </row>
    <row r="146" ht="15.75" customHeight="1">
      <c r="A146" t="inlineStr">
        <is>
          <t>규칙 2 · 미확정 값</t>
        </is>
      </c>
      <c r="B146" t="inlineStr">
        <is>
          <t>숫자를 비우고 확정 조건만 쓴다(NFR-01·NFR-30 방식). 임의 확정 금지</t>
        </is>
      </c>
    </row>
    <row r="147" ht="15.75" customHeight="1">
      <c r="A147" s="263" t="inlineStr">
        <is>
          <t>규칙 3 · 요건은 결과로</t>
        </is>
      </c>
      <c r="B147" s="263" t="inlineStr">
        <is>
          <t>결과를 요건으로 쓰고 방법은 구현에 넘긴다. 본보기: F-TRN-08(2026-09-02 · v3.2.1에서 폐기 — 문장은 F-TRN-04로 이관) — "측정 필수"를 "폭 안에 들어감이 확인된 것이어야 한다 — 확인 방법은 구현이 정한다"로</t>
        </is>
      </c>
    </row>
    <row r="148" ht="15.75" customHeight="1">
      <c r="A148" t="inlineStr">
        <is>
          <t>규칙 4 · 상세 요구사항이 담는 것 (2026-09-02 재작성)</t>
        </is>
      </c>
      <c r="B148" t="inlineStr">
        <is>
          <t>상세 요구사항에 담는 것은 둘뿐이다 — ① 무엇을 만드는가 ② 어떤 조건에서 그렇게 동작하는가. 반드시 현재형으로 쓴다. 다음은 한 글자도 넣지 않는다: 버전 언급(v1.x~v3.x) · 과거 대비("~이 아니라 ~", "~였던 것을") · 폐기 기록 · 출처(변경안 §, 방향재정의 §, 보완안 §, 예람 문서) · 도구·모델·라이브러리 이름 · 공수·실측 수치 · 담당자·기한. 소유자 — 버전·과거 대비·폐기 기록 → 변경 이력 / 출처·타 기능 참조 → 의존성 / 왜·무엇을 기각했나·도구·수치 → 근거 · 기각 기록 / 누가 언제 → 실행계획·오픈이슈. 남기는 것 = 괄호 안 짧은 이유, 기능 ID·정책 ID 참조, 요건절과 한 문장에 묶인 이유절. 옮길 때 문장을 고쳐 쓰지 않는다. 중복(다른 곳이 이미 소유한 내용)은 옮기지 않고 지운다 — 지워도 정보가 사라지지 않는 것이 삭제해도 되는지의 유일한 판정 기준이다.</t>
        </is>
      </c>
    </row>
    <row r="149" ht="15.75" customHeight="1">
      <c r="A149" t="inlineStr">
        <is>
          <t>★v3.1 개편 기록 (2026-09-02)</t>
        </is>
      </c>
      <c r="B149" t="inlineStr">
        <is>
          <t>① 작성 규칙 신설 ② 상세·예외에서 근거 분리 9행 ③ 구현 고정 해제 5건 — F-JOB-05(조회 방식·주기→API 명세) · F-INP-02a(저장 형식→ERD) · F-STY-02(폰트 크기 추정법→구현) · F-INP-01a(마스크 형식·검출법→구현) · F-FIN-01a(폰트 종 수→구현). 김도연 확인 9/2 ④ ★비고 열을 「의존성」·「근거 · 기각 기록」 두 열로 분리(L 신설, 변경 이력 L→M). 00_문서정보 B23·B24 수식 참조를 M으로 옮기고 B23을 와일드카드로 바꿔 신설 32행의 변경 이력에도 덧붙일 수 있게 했다 ⑤ 작업 지시 이관 — F-CH-07·F-TRN-08·F-CFM-05는 실행계획에 이미 있어 PRD에서 삭제(중복), F-CH-07 종횡비→OI-57 · F-SEC-05 verdict_basis→OI-58 신설 ⑥ 규칙 4 재작성(담을 것만 정의) · 규칙 5 신설(시트 간 소유자) · 상세·수용 기준의 규칙 4 위반 0건을 검사식으로 확인 ⑦ 시트 간 정합성 — 03_화면정의서 O5의 「전량 12월 이후」를 정정(A-QA-01 수집은 MVP must), 08_릴리스로드맵에 릴리스 소유자 주석, 12_폐기기능에 v3.0 이전 폐기 ID 소유자 명시 ⑧ 미착수: F-TRN-04 −10% 상한(V4 실측 후) · 상세 요건/근거 분리 잔여(기각 서술 38행·근거 접속 35행) · 썸네일 별도 작업(별건)</t>
        </is>
      </c>
    </row>
    <row r="150" ht="15.75" customHeight="1">
      <c r="A150" t="inlineStr">
        <is>
          <t>★v3.2 변경 기록 (2026-09-02)</t>
        </is>
      </c>
      <c r="B150" t="inlineStr">
        <is>
          <t>① 썸네일 처리 대분류 신설 — F-THM-01~05(입력 유형 선택 · 섹션 분해 미수행 · 원본 개별 표시 · 대표이미지 지정 · 대표이미지 텍스트·로고 제거), 전부 should(12월). 썸네일은 입력 유형(축 A)과 출력 규격(축 B) 두 축으로 나뉘며 서로 독립 ② 결과물 분할 규칙 교체 — 원본 업로드 단위 유지에서 규격 높이·용량 상한 기준 섹션 경계 균등 분할로(F-FIN-01 · 01 최종 렌더 · 03 N6 · OI-53). 썸네일 입력은 원본 장 단위 유지, 상한 미정 규격은 나누지 않음 ③ 정정 — F-SRC-01(입력 유형은 F-THM-01이 결정) · F-SEC-03(액션 2개를 결과물이 썸네일이 아닌 경우로 조건화, 재정렬 불가 근거를 근거 열로 이관) · 01 r21 ④ 보완 — F-CH-07 시드 항목 usage_type · F-CH-05a [thumbnail] 종횡비 항목(OI-57 종결)과 결과물 용도 판정 규칙 · F-LOC-03 근거 강도를 대표이미지(Amazon MAIN 규정·Error 18027 확인)/그 외로 분리 ⑤ OI-59 신설 — 대표이미지 텍스트 제거 품질, 기존 V1에 케이스 2개 추가 ⑥ 용어집 「대표이미지」 부활(v3.0 삭제 → v3.2 부활) ⑦ 03 N1·N2·N3·N5·N6 반영, 로고 제거 토글은 N3 대표 지정 옆 ⑧ 색상 — 중파랑 = v3.2 신규, 수정은 v3.0과 중노랑 공용</t>
        </is>
      </c>
    </row>
    <row r="151" ht="15.75" customHeight="1">
      <c r="A151" s="263" t="inlineStr">
        <is>
          <t>★v3.2.1 변경 기록 (2026-09-03)</t>
        </is>
      </c>
      <c r="B151" s="263" t="inlineStr">
        <is>
          <t>① 번역 후보 다중 생성·선택 폐기 — F-TRN-08(공간 제약 번역 루프)·F-CFM-11(번역 후보 선택)을 12_폐기기능으로 이관. 근거: 재번역이 문장을 바꿔 규제 재검증을 유발하고 길이 압축이 단서 조항을 지운다 · 후보 수만큼 늘어나는 렌더 폭 측정이 가장 비싼 부하다 ② 요건 이관 — 렌더 폭 실측·폭 초과 판정을 F-TRN-04가 흡수했다. 폭 수렴 수단은 조판 조정(폰트 −10%·줄바꿈)뿐이며, 상한 안에서 수렴하지 않으면 문장을 자르지 않고 폭을 넘긴 채 렌더한 뒤 검수로 넘긴다 ③ 신호 소유자 이관 — 폭 초과를 F-CFM-05 확인 필요 신호에 추가 · F-CFM-02에 셀 수정 후 폭 재측정·조판 재조정을 명시(수정해도 초과 표시가 갱신되지 않던 공백) ④ 12월 정합 — F-TRN-10의 슬롯별 후보 생성 삭제. 빈 슬롯은 1차 번역으로 채우고 초과 표시로 대체한다(폴백은 유지) ⑤ 연쇄 — F-TRN-09 블록당 1건 명시 · PL-26 「다른 번역 고르기」 삭제 · NFR-30 완화책 4종→2종 축소, V6를 조판 조정 수렴률 측정으로 재정의 · OI-28 부하 규모 하향 · 08 r7·r8 관련 ID · 11 「공간 제약 번역」 정의 수정, 「번역 후보」 폐기 ⑥ must 83 → 81 (실행계획 v3.2.1 반영) ⑦ 색 규칙 변경 — 이전 개정의 변경 표시 색을 전 시트에서 해제하고 v3.2.1 수정분만 연하늘로 표시한다 ⑧ 반전된 이전 결정 — 9/1 항목 4-2(「다른 번역 보기」 개칭)·5-2(폴백 ⑥ 폭 초과 후보 제시)·5-3(12월 슬롯별 후보)은 이 개정으로 무효다. 이력이므로 행은 보존한다</t>
        </is>
      </c>
    </row>
    <row r="152" ht="15.75" customHeight="1">
      <c r="A152" t="inlineStr">
        <is>
          <t>규칙 5 · 시트 간 소유자 (2026-09-02 신설)</t>
        </is>
      </c>
      <c r="B152" t="inlineStr">
        <is>
          <t>같은 사실을 두 시트가 소유하면 반드시 어긋난다. 소유자를 하나로 둔다 — ★릴리스(must/should)는 02_기능명세 릴리스 열 / 기능의 정의는 02_기능명세 / 화면 구성은 03_화면정의서 / 정책은 05_상태_정책 / 비기능 목표는 07_비기능요구사항 / 테마·마일스톤 귀속은 08_릴리스로드맵 / 미결은 09_오픈이슈 / 용어의 뜻은 11_용어집 / v3.0 폐기 ID는 12_폐기기능(그 이전 폐기 ID는 11_용어집). 다른 시트는 소유자를 참조만 하고 값을 복제하지 않는다.</t>
        </is>
      </c>
    </row>
    <row r="153" ht="15.75" customHeight="1">
      <c r="A153" t="inlineStr">
        <is>
          <t>규칙 5 보충 · 「화면」 열과 「관련 기능 ID」 열은 뜻이 다르다</t>
        </is>
      </c>
      <c r="B153" t="inlineStr">
        <is>
          <t>02_기능명세의 「화면」 = 그 기능이 정의되는 주 화면(한 곳). 03_화면정의서의 「관련 기능 ID」 = 그 화면에서 관여하는 기능(다른 화면에 소속된 것을 포함). 둘이 다른 것은 불일치가 아니다 — 예: F-JOB-05(주 화면 M3)는 N2·N4가 진행률을 그릴 때 관여하고, F-INP-01b(주 화면 N4)의 경고 배지는 N5에 노출된다.</t>
        </is>
      </c>
    </row>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4" ht="15" customHeight="1"/>
    <row r="1015" ht="15" customHeight="1"/>
    <row r="1016" ht="15" customHeight="1"/>
    <row r="1017" ht="15" customHeight="1"/>
    <row r="1018" ht="15" customHeight="1"/>
    <row r="1019" ht="15" customHeight="1"/>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H104"/>
  <sheetViews>
    <sheetView showGridLines="0" workbookViewId="0">
      <pane ySplit="5" topLeftCell="A6" activePane="bottomLeft" state="frozen"/>
      <selection pane="bottomLeft" activeCell="A1" sqref="A1"/>
    </sheetView>
  </sheetViews>
  <sheetFormatPr baseColWidth="8" defaultRowHeight="15"/>
  <cols>
    <col width="13" customWidth="1" min="1" max="1"/>
    <col width="20" customWidth="1" min="2" max="2"/>
    <col width="22" customWidth="1" min="3" max="3"/>
    <col width="17" customWidth="1" min="4" max="4"/>
    <col width="44" customWidth="1" min="5" max="5"/>
    <col width="58" customWidth="1" min="6" max="6"/>
    <col width="9" customWidth="1" min="7" max="7"/>
    <col width="22" customWidth="1" min="8" max="8"/>
  </cols>
  <sheetData>
    <row r="1" ht="18.75" customHeight="1">
      <c r="A1" s="207" t="inlineStr">
        <is>
          <t>01. 기능 정의서 (요약) — v3.2.1</t>
        </is>
      </c>
    </row>
    <row r="2">
      <c r="A2" s="208" t="inlineStr">
        <is>
          <t>화면·영역 단위로 서비스 전체를 훑는 요약본. 정확한 정의·수용 기준·예외 처리는 02_기능명세가 권위이며, 이 시트는 기능 ID로 그쪽을 가리킨다. 두 시트가 어긋나면 02_기능명세가 맞다.</t>
        </is>
      </c>
    </row>
    <row r="3">
      <c r="A3" s="208" t="inlineStr">
        <is>
          <t>릴리스 — 9월: MVP(must) / 9월 should: 9월 목표이나 여유 시 / 12월: 최종발표 범위 / 이후: 12월 이후 검토</t>
        </is>
      </c>
    </row>
    <row r="5">
      <c r="A5" s="209" t="inlineStr">
        <is>
          <t>대메뉴</t>
        </is>
      </c>
      <c r="B5" s="209" t="inlineStr">
        <is>
          <t>Depth 1</t>
        </is>
      </c>
      <c r="C5" s="209" t="inlineStr">
        <is>
          <t>Depth 2</t>
        </is>
      </c>
      <c r="D5" s="209" t="inlineStr">
        <is>
          <t>Depth 3</t>
        </is>
      </c>
      <c r="E5" s="209" t="inlineStr">
        <is>
          <t>정의</t>
        </is>
      </c>
      <c r="F5" s="209" t="inlineStr">
        <is>
          <t>정책</t>
        </is>
      </c>
      <c r="G5" s="209" t="inlineStr">
        <is>
          <t>릴리스</t>
        </is>
      </c>
      <c r="H5" s="209" t="inlineStr">
        <is>
          <t>기능 ID</t>
        </is>
      </c>
    </row>
    <row r="6">
      <c r="A6" s="210" t="inlineStr">
        <is>
          <t>계정 · 공통</t>
        </is>
      </c>
      <c r="B6" s="210" t="n"/>
      <c r="C6" s="210" t="n"/>
      <c r="D6" s="210" t="n"/>
      <c r="E6" s="211" t="n"/>
      <c r="F6" s="211" t="n"/>
      <c r="G6" s="212" t="n"/>
      <c r="H6" s="213" t="n"/>
    </row>
    <row r="7">
      <c r="A7" s="214" t="n"/>
      <c r="B7" s="214" t="inlineStr">
        <is>
          <t>로그인 · 회원가입 (G1)</t>
        </is>
      </c>
      <c r="C7" s="214" t="n"/>
      <c r="D7" s="214" t="n"/>
      <c r="E7" s="215" t="n"/>
      <c r="F7" s="215" t="n"/>
      <c r="G7" s="216" t="n"/>
      <c r="H7" s="217" t="n"/>
    </row>
    <row r="8" ht="25.5" customHeight="1">
      <c r="A8" s="218" t="n"/>
      <c r="B8" s="218" t="n"/>
      <c r="C8" s="218" t="inlineStr">
        <is>
          <t>이메일 로그인</t>
        </is>
      </c>
      <c r="D8" s="218" t="n"/>
      <c r="E8" s="219" t="inlineStr">
        <is>
          <t>Cognito 기반 인증 · JWT 발급·검증</t>
        </is>
      </c>
      <c r="F8" s="219" t="inlineStr">
        <is>
          <t>세션 만료 시 재로그인. MVP는 임시 저장·복원이 없어 진행 중이던 작업이 유지되지 않음을 사전 안내</t>
        </is>
      </c>
      <c r="G8" s="220" t="inlineStr">
        <is>
          <t>9월</t>
        </is>
      </c>
      <c r="H8" s="221" t="inlineStr">
        <is>
          <t>F-ACC-01</t>
        </is>
      </c>
    </row>
    <row r="9" ht="25.5" customHeight="1">
      <c r="A9" s="218" t="n"/>
      <c r="B9" s="218" t="n"/>
      <c r="C9" s="218" t="inlineStr">
        <is>
          <t>소셜 로그인</t>
        </is>
      </c>
      <c r="D9" s="218" t="n"/>
      <c r="E9" s="219" t="inlineStr">
        <is>
          <t>카카오·구글 OAuth</t>
        </is>
      </c>
      <c r="F9" s="219" t="inlineStr">
        <is>
          <t>제공자+제공자 회원번호로 식별. 같은 이메일이라도 제공자가 다르면 별개 계정</t>
        </is>
      </c>
      <c r="G9" s="220" t="inlineStr">
        <is>
          <t>12월</t>
        </is>
      </c>
      <c r="H9" s="221" t="inlineStr">
        <is>
          <t>F-ACC-05</t>
        </is>
      </c>
    </row>
    <row r="10">
      <c r="A10" s="218" t="n"/>
      <c r="B10" s="218" t="n"/>
      <c r="C10" s="218" t="inlineStr">
        <is>
          <t>계정 성격 · 기업 연동</t>
        </is>
      </c>
      <c r="D10" s="218" t="n"/>
      <c r="E10" s="219" t="inlineStr">
        <is>
          <t>개인/기업 구분, 직원–기업 코드 연동</t>
        </is>
      </c>
      <c r="F10" s="219" t="inlineStr">
        <is>
          <t>12월 이후 검토 범위</t>
        </is>
      </c>
      <c r="G10" s="220" t="inlineStr">
        <is>
          <t>이후</t>
        </is>
      </c>
      <c r="H10" s="221" t="inlineStr">
        <is>
          <t>F-ACC-06·07·08</t>
        </is>
      </c>
    </row>
    <row r="11" ht="25.5" customHeight="1">
      <c r="A11" s="218" t="n"/>
      <c r="B11" s="218" t="n"/>
      <c r="C11" s="218" t="inlineStr">
        <is>
          <t>책임 한계 동의</t>
        </is>
      </c>
      <c r="D11" s="218" t="n"/>
      <c r="E11" s="219" t="inlineStr">
        <is>
          <t>인증·시험 정보의 최종 확인 책임을 셀러가 진다는 고지</t>
        </is>
      </c>
      <c r="F11" s="219" t="inlineStr">
        <is>
          <t>상시 노출 + 동의 시점을 이력으로 저장</t>
        </is>
      </c>
      <c r="G11" s="220" t="inlineStr">
        <is>
          <t>9월</t>
        </is>
      </c>
      <c r="H11" s="221" t="inlineStr">
        <is>
          <t>F-ACC-04</t>
        </is>
      </c>
    </row>
    <row r="12">
      <c r="A12" s="214" t="n"/>
      <c r="B12" s="214" t="inlineStr">
        <is>
          <t>브랜드 컨텍스트 (전역)</t>
        </is>
      </c>
      <c r="C12" s="214" t="n"/>
      <c r="D12" s="214" t="n"/>
      <c r="E12" s="215" t="n"/>
      <c r="F12" s="215" t="n"/>
      <c r="G12" s="216" t="n"/>
      <c r="H12" s="217" t="n"/>
    </row>
    <row r="13">
      <c r="A13" s="218" t="n"/>
      <c r="B13" s="218" t="n"/>
      <c r="C13" s="218" t="inlineStr">
        <is>
          <t>셀러 : 브랜드</t>
        </is>
      </c>
      <c r="D13" s="218" t="n"/>
      <c r="E13" s="219" t="inlineStr">
        <is>
          <t>1 계정이 복수 브랜드 보유·전환</t>
        </is>
      </c>
      <c r="F13" s="219" t="inlineStr">
        <is>
          <t>MVP는 1:1로 운용. 브랜드 간 데이터 미노출</t>
        </is>
      </c>
      <c r="G13" s="220" t="inlineStr">
        <is>
          <t>12월</t>
        </is>
      </c>
      <c r="H13" s="221" t="inlineStr">
        <is>
          <t>F-ACC-02 · 02a</t>
        </is>
      </c>
    </row>
    <row r="14">
      <c r="A14" s="218" t="n"/>
      <c r="B14" s="218" t="n"/>
      <c r="C14" s="218" t="inlineStr">
        <is>
          <t>권한 구분</t>
        </is>
      </c>
      <c r="D14" s="218" t="n"/>
      <c r="E14" s="219" t="inlineStr">
        <is>
          <t>일반 / 팀 관리자</t>
        </is>
      </c>
      <c r="F14" s="219" t="inlineStr">
        <is>
          <t>일반은 보관함까지, 관리자는 작업관리 접근</t>
        </is>
      </c>
      <c r="G14" s="220" t="inlineStr">
        <is>
          <t>이후</t>
        </is>
      </c>
      <c r="H14" s="221" t="inlineStr">
        <is>
          <t>F-ACC-03</t>
        </is>
      </c>
    </row>
    <row r="15">
      <c r="A15" s="214" t="n"/>
      <c r="B15" s="214" t="inlineStr">
        <is>
          <t>프로세스 바 (S0 · 전 화면 상단 고정)</t>
        </is>
      </c>
      <c r="C15" s="214" t="n"/>
      <c r="D15" s="214" t="n"/>
      <c r="E15" s="215" t="n"/>
      <c r="F15" s="215" t="n"/>
      <c r="G15" s="216" t="n"/>
      <c r="H15" s="217" t="n"/>
    </row>
    <row r="16" ht="25.5" customHeight="1">
      <c r="A16" s="218" t="n"/>
      <c r="B16" s="218" t="n"/>
      <c r="C16" s="218" t="inlineStr">
        <is>
          <t>단계 표시</t>
        </is>
      </c>
      <c r="D16" s="218" t="n"/>
      <c r="E16" s="219" t="inlineStr">
        <is>
          <t>N1 입력 → N2 분석 → N3 섹션 확인 → N4 번역 → N5 검수 → N6 저장</t>
        </is>
      </c>
      <c r="F16" s="219" t="inlineStr">
        <is>
          <t>MVP는 표시 전용 — 단계를 눌러도 동작하지 않고 툴팁으로 12월 기능임을 안내</t>
        </is>
      </c>
      <c r="G16" s="220" t="inlineStr">
        <is>
          <t>9월</t>
        </is>
      </c>
      <c r="H16" s="221" t="inlineStr">
        <is>
          <t>F-NAV-01</t>
        </is>
      </c>
    </row>
    <row r="17" ht="25.5" customHeight="1">
      <c r="A17" s="218" t="n"/>
      <c r="B17" s="218" t="n"/>
      <c r="C17" s="218" t="inlineStr">
        <is>
          <t>작업 취소 [X]</t>
        </is>
      </c>
      <c r="D17" s="218" t="n"/>
      <c r="E17" s="219" t="inlineStr">
        <is>
          <t>작업 전체를 종료하고 리소스 정리</t>
        </is>
      </c>
      <c r="F17" s="219" t="inlineStr">
        <is>
          <t>전 화면 고정(N1 제외). 삭제 대상을 항목별로 열거하며 되돌릴 수 없음. 포괄 문구 금지</t>
        </is>
      </c>
      <c r="G17" s="220" t="inlineStr">
        <is>
          <t>9월</t>
        </is>
      </c>
      <c r="H17" s="221" t="inlineStr">
        <is>
          <t>F-JOB-07</t>
        </is>
      </c>
    </row>
    <row r="18" ht="25.5" customHeight="1">
      <c r="A18" s="218" t="n"/>
      <c r="B18" s="218" t="n"/>
      <c r="C18" s="218" t="inlineStr">
        <is>
          <t>단계 되돌림</t>
        </is>
      </c>
      <c r="D18" s="218" t="n"/>
      <c r="E18" s="219" t="inlineStr">
        <is>
          <t>이전 단계로 이동</t>
        </is>
      </c>
      <c r="F18" s="219" t="inlineStr">
        <is>
          <t>진행 상태만 되돌리고 섹션 단위 산출물은 보존. 실행취소 스택은 항상 초기화</t>
        </is>
      </c>
      <c r="G18" s="220" t="inlineStr">
        <is>
          <t>12월</t>
        </is>
      </c>
      <c r="H18" s="221" t="inlineStr">
        <is>
          <t>F-NAV-02~06 · 08</t>
        </is>
      </c>
    </row>
    <row r="19">
      <c r="A19" s="210" t="inlineStr">
        <is>
          <t>작업 파이프라인</t>
        </is>
      </c>
      <c r="B19" s="210" t="n"/>
      <c r="C19" s="210" t="n"/>
      <c r="D19" s="210" t="n"/>
      <c r="E19" s="211" t="n"/>
      <c r="F19" s="211" t="n"/>
      <c r="G19" s="212" t="n"/>
      <c r="H19" s="213" t="n"/>
    </row>
    <row r="20">
      <c r="A20" s="214" t="n"/>
      <c r="B20" s="214" t="inlineStr">
        <is>
          <t>N1 입력</t>
        </is>
      </c>
      <c r="C20" s="214" t="n"/>
      <c r="D20" s="214" t="n"/>
      <c r="E20" s="215" t="inlineStr">
        <is>
          <t>원본 업로드와 작업 조건을 한 화면에서 확정</t>
        </is>
      </c>
      <c r="F20" s="215" t="n"/>
      <c r="G20" s="216" t="n"/>
      <c r="H20" s="217" t="n"/>
    </row>
    <row r="21" ht="25.5" customHeight="1">
      <c r="A21" s="218" t="n"/>
      <c r="B21" s="218" t="n"/>
      <c r="C21" s="218" t="inlineStr">
        <is>
          <t>원본 업로드</t>
        </is>
      </c>
      <c r="D21" s="218" t="n"/>
      <c r="E21" s="219" t="inlineStr">
        <is>
          <t>원본 이미지 다중 업로드 · 업로드 순서 = 원본 순서</t>
        </is>
      </c>
      <c r="F21" s="219" t="inlineStr">
        <is>
          <t>원본 언어를 탐지하지 않음 — 비한국어 원본도 경고 없이 진행하며 품질 책임은 셀러</t>
        </is>
      </c>
      <c r="G21" s="220" t="inlineStr">
        <is>
          <t>9월</t>
        </is>
      </c>
      <c r="H21" s="221" t="inlineStr">
        <is>
          <t>F-SRC-01 · 03</t>
        </is>
      </c>
    </row>
    <row r="22">
      <c r="A22" s="218" t="n"/>
      <c r="B22" s="218" t="n"/>
      <c r="C22" s="218" t="n"/>
      <c r="D22" s="218" t="inlineStr">
        <is>
          <t>파일 사전 검증</t>
        </is>
      </c>
      <c r="E22" s="219" t="inlineStr">
        <is>
          <t>업로드 파일의 형식·용량 검사</t>
        </is>
      </c>
      <c r="F22" s="219" t="inlineStr">
        <is>
          <t>미달 시 업로드 차단</t>
        </is>
      </c>
      <c r="G22" s="220" t="inlineStr">
        <is>
          <t>12월</t>
        </is>
      </c>
      <c r="H22" s="221" t="inlineStr">
        <is>
          <t>F-CH-04</t>
        </is>
      </c>
    </row>
    <row r="23">
      <c r="A23" s="218" t="n"/>
      <c r="B23" s="218" t="n"/>
      <c r="C23" s="218" t="inlineStr">
        <is>
          <t>타겟 국가</t>
        </is>
      </c>
      <c r="D23" s="218" t="n"/>
      <c r="E23" s="219" t="inlineStr">
        <is>
          <t>판매 대상 국가 선택 — 규제 사전을 결정</t>
        </is>
      </c>
      <c r="F23" s="219" t="inlineStr">
        <is>
          <t>규제 사전 보유 국가만 목록에 노출. MVP 미국 / 12월 일본·UAE</t>
        </is>
      </c>
      <c r="G23" s="220" t="inlineStr">
        <is>
          <t>9월</t>
        </is>
      </c>
      <c r="H23" s="221" t="inlineStr">
        <is>
          <t>F-LNG-01</t>
        </is>
      </c>
    </row>
    <row r="24" ht="25.5" customHeight="1">
      <c r="A24" s="218" t="n"/>
      <c r="B24" s="218" t="n"/>
      <c r="C24" s="218" t="inlineStr">
        <is>
          <t>규제 분류</t>
        </is>
      </c>
      <c r="D24" s="218" t="n"/>
      <c r="E24" s="219" t="inlineStr">
        <is>
          <t>국가별 법적 분류 선택</t>
        </is>
      </c>
      <c r="F24" s="219" t="inlineStr">
        <is>
          <t>미국 4종 — 화장품 / OTC 의약품 / 복합 / 잘 모름. 미선택 차단이며 "잘 모름"이 탈출구. 복합은 OTC 기준 검증 + 한계 고지</t>
        </is>
      </c>
      <c r="G24" s="220" t="inlineStr">
        <is>
          <t>9월</t>
        </is>
      </c>
      <c r="H24" s="221" t="inlineStr">
        <is>
          <t>F-LNG-03</t>
        </is>
      </c>
    </row>
    <row r="25" ht="25.5" customHeight="1">
      <c r="A25" s="218" t="n"/>
      <c r="B25" s="218" t="n"/>
      <c r="C25" s="218" t="inlineStr">
        <is>
          <t>도착어</t>
        </is>
      </c>
      <c r="D25" s="218" t="n"/>
      <c r="E25" s="219" t="inlineStr">
        <is>
          <t>번역 대상 언어 — 용어집을 결정</t>
        </is>
      </c>
      <c r="F25" s="219" t="inlineStr">
        <is>
          <t>출발어는 한국어 고정으로 선택 UI 없음. MVP 영어 / 12월 일본어. 국가와 독립</t>
        </is>
      </c>
      <c r="G25" s="220" t="inlineStr">
        <is>
          <t>9월</t>
        </is>
      </c>
      <c r="H25" s="221" t="inlineStr">
        <is>
          <t>F-LNG-02</t>
        </is>
      </c>
    </row>
    <row r="26" ht="25.5" customHeight="1">
      <c r="A26" s="218" t="n"/>
      <c r="B26" s="218" t="n"/>
      <c r="C26" s="218" t="inlineStr">
        <is>
          <t>입력 유형</t>
        </is>
      </c>
      <c r="D26" s="218" t="n"/>
      <c r="E26" s="219" t="inlineStr">
        <is>
          <t>업로드한 원본의 유형을 선택 — 상세페이지 / 썸네일</t>
        </is>
      </c>
      <c r="F26" s="219" t="inlineStr">
        <is>
          <t>한 작업의 입력 유형은 하나. 규격 선택과 독립이며 규격 선택보다 앞. 원본이 선택한 유형과 맞는지는 검사하지 않음</t>
        </is>
      </c>
      <c r="G26" s="220" t="inlineStr">
        <is>
          <t>12월</t>
        </is>
      </c>
      <c r="H26" s="221" t="inlineStr">
        <is>
          <t>F-THM-01</t>
        </is>
      </c>
    </row>
    <row r="27">
      <c r="A27" s="218" t="n"/>
      <c r="B27" s="218" t="n"/>
      <c r="C27" s="218" t="inlineStr">
        <is>
          <t>규격 선택</t>
        </is>
      </c>
      <c r="D27" s="218" t="n"/>
      <c r="E27" s="219" t="inlineStr">
        <is>
          <t>원본 규격 / 사이트별 / 커스텀</t>
        </is>
      </c>
      <c r="F27" s="219" t="inlineStr">
        <is>
          <t>9월은 원본 규격만 활성. 나머지는 비활성 노출이며 배지를 달지 않음</t>
        </is>
      </c>
      <c r="G27" s="220" t="inlineStr">
        <is>
          <t>9월</t>
        </is>
      </c>
      <c r="H27" s="221" t="inlineStr">
        <is>
          <t>F-CH-02 · 02a · 02b · 02c</t>
        </is>
      </c>
    </row>
    <row r="28" ht="25.5" customHeight="1">
      <c r="A28" s="218" t="n"/>
      <c r="B28" s="218" t="n"/>
      <c r="C28" s="218" t="inlineStr">
        <is>
          <t>카테고리</t>
        </is>
      </c>
      <c r="D28" s="218" t="n"/>
      <c r="E28" s="219" t="inlineStr">
        <is>
          <t>Amazon 트리에 준하는 표시 카테고리</t>
        </is>
      </c>
      <c r="F28" s="219" t="inlineStr">
        <is>
          <t>내부 카테고리 7종으로 환산해 용어집을 분기. 규제 사전은 카테고리로 분기하지 않음</t>
        </is>
      </c>
      <c r="G28" s="220" t="inlineStr">
        <is>
          <t>9월</t>
        </is>
      </c>
      <c r="H28" s="221" t="inlineStr">
        <is>
          <t>F-SRC-04 · 04a · 04b</t>
        </is>
      </c>
    </row>
    <row r="29">
      <c r="A29" s="218" t="n"/>
      <c r="B29" s="218" t="n"/>
      <c r="C29" s="218" t="inlineStr">
        <is>
          <t>핵심 키워드</t>
        </is>
      </c>
      <c r="D29" s="218" t="n"/>
      <c r="E29" s="219" t="inlineStr">
        <is>
          <t>이번 상품에서 강조할 키워드 태그</t>
        </is>
      </c>
      <c r="F29" s="219" t="inlineStr">
        <is>
          <t>번역 프롬프트에 반영. 금지표현과 충돌 시 경고</t>
        </is>
      </c>
      <c r="G29" s="220" t="inlineStr">
        <is>
          <t>9월</t>
        </is>
      </c>
      <c r="H29" s="221" t="inlineStr">
        <is>
          <t>F-SRC-06</t>
        </is>
      </c>
    </row>
    <row r="30" ht="25.5" customHeight="1">
      <c r="A30" s="218" t="n"/>
      <c r="B30" s="218" t="n"/>
      <c r="C30" s="218" t="inlineStr">
        <is>
          <t>인증 뱃지 업로드</t>
        </is>
      </c>
      <c r="D30" s="218" t="n"/>
      <c r="E30" s="219" t="inlineStr">
        <is>
          <t>셀러가 보유한 인증 로고</t>
        </is>
      </c>
      <c r="F30" s="219" t="inlineStr">
        <is>
          <t>12월 이월(배치 지점 소멸). 진위는 검증하지 않으며 사용권 확인은 업로드 시점에</t>
        </is>
      </c>
      <c r="G30" s="220" t="inlineStr">
        <is>
          <t>12월</t>
        </is>
      </c>
      <c r="H30" s="221" t="inlineStr">
        <is>
          <t>F-SRC-08 · 09</t>
        </is>
      </c>
    </row>
    <row r="31" ht="25.5" customHeight="1">
      <c r="A31" s="218" t="n"/>
      <c r="B31" s="218" t="n"/>
      <c r="C31" s="218" t="inlineStr">
        <is>
          <t>[다음] / 나가기</t>
        </is>
      </c>
      <c r="D31" s="218" t="n"/>
      <c r="E31" s="219" t="inlineStr">
        <is>
          <t>필수값 검증 후 작업 생성 → N2 자동 시작</t>
        </is>
      </c>
      <c r="F31" s="219" t="inlineStr">
        <is>
          <t>N1에는 [X] 대신 「보관함으로 나가기」. 나가면 입력값과 업로드 이미지가 저장되지 않음을 확인 모달로 안내</t>
        </is>
      </c>
      <c r="G31" s="220" t="inlineStr">
        <is>
          <t>9월</t>
        </is>
      </c>
      <c r="H31" s="221" t="inlineStr">
        <is>
          <t>F-SRC-10 · F-JOB-07</t>
        </is>
      </c>
    </row>
    <row r="32">
      <c r="A32" s="214" t="n"/>
      <c r="B32" s="214" t="inlineStr">
        <is>
          <t>N2 분석 (처리 화면)</t>
        </is>
      </c>
      <c r="C32" s="214" t="n"/>
      <c r="D32" s="214" t="n"/>
      <c r="E32" s="215" t="inlineStr">
        <is>
          <t>전체 OCR → 섹션 분해 → 규제·현지 판정</t>
        </is>
      </c>
      <c r="F32" s="215" t="n"/>
      <c r="G32" s="216" t="n"/>
      <c r="H32" s="217" t="n"/>
    </row>
    <row r="33">
      <c r="A33" s="218" t="n"/>
      <c r="B33" s="218" t="n"/>
      <c r="C33" s="218" t="inlineStr">
        <is>
          <t>진행 표시</t>
        </is>
      </c>
      <c r="D33" s="218" t="n"/>
      <c r="E33" s="219" t="inlineStr">
        <is>
          <t>진행률 + 현재 단계</t>
        </is>
      </c>
      <c r="F33" s="219" t="inlineStr">
        <is>
          <t>초장축이라 필수. 완료 시 N3으로 자동 전환</t>
        </is>
      </c>
      <c r="G33" s="220" t="inlineStr">
        <is>
          <t>9월</t>
        </is>
      </c>
      <c r="H33" s="221" t="inlineStr">
        <is>
          <t>F-TRN-01</t>
        </is>
      </c>
    </row>
    <row r="34">
      <c r="A34" s="218" t="n"/>
      <c r="B34" s="218" t="n"/>
      <c r="C34" s="218" t="inlineStr">
        <is>
          <t>전체 OCR</t>
        </is>
      </c>
      <c r="D34" s="218" t="n"/>
      <c r="E34" s="219" t="inlineStr">
        <is>
          <t>원본 전체의 텍스트·스타일 인식</t>
        </is>
      </c>
      <c r="F34" s="219" t="inlineStr">
        <is>
          <t>원본 해상도에서 수행. OCR은 원본당 1회만</t>
        </is>
      </c>
      <c r="G34" s="220" t="inlineStr">
        <is>
          <t>9월</t>
        </is>
      </c>
      <c r="H34" s="221" t="inlineStr">
        <is>
          <t>F-SEC-01(OCR) · F-INP-02(스타일)</t>
        </is>
      </c>
    </row>
    <row r="35" ht="25.5" customHeight="1">
      <c r="A35" s="218" t="n"/>
      <c r="B35" s="218" t="n"/>
      <c r="C35" s="218" t="inlineStr">
        <is>
          <t>섹션 자동 분해</t>
        </is>
      </c>
      <c r="D35" s="218" t="n"/>
      <c r="E35" s="219" t="inlineStr">
        <is>
          <t>상세페이지를 의미 단위 구간(섹션)으로 분해</t>
        </is>
      </c>
      <c r="F35" s="219" t="inlineStr">
        <is>
          <t>원본 1장 단위로 수행 — 장 경계를 넘는 섹션은 생기지 않음. 실패 시 전체를 단일 섹션으로</t>
        </is>
      </c>
      <c r="G35" s="220" t="inlineStr">
        <is>
          <t>9월</t>
        </is>
      </c>
      <c r="H35" s="221" t="inlineStr">
        <is>
          <t>F-SEC-01</t>
        </is>
      </c>
    </row>
    <row r="36" ht="25.5" customHeight="1">
      <c r="A36" s="218" t="n"/>
      <c r="B36" s="218" t="n"/>
      <c r="C36" s="218" t="inlineStr">
        <is>
          <t>줄 · 문단 병합</t>
        </is>
      </c>
      <c r="D36" s="218" t="n"/>
      <c r="E36" s="219" t="inlineStr">
        <is>
          <t>OCR 줄을 문단으로 병합해 텍스트 블록을 만듦</t>
        </is>
      </c>
      <c r="F36" s="219" t="inlineStr">
        <is>
          <t>텍스트 블록 1건 = 문단 1개. 병합이 모호하면 병합하지 않는 보수적 동작</t>
        </is>
      </c>
      <c r="G36" s="220" t="inlineStr">
        <is>
          <t>9월</t>
        </is>
      </c>
      <c r="H36" s="221" t="inlineStr">
        <is>
          <t>F-INP-02a · 02b</t>
        </is>
      </c>
    </row>
    <row r="37">
      <c r="A37" s="218" t="n"/>
      <c r="B37" s="218" t="n"/>
      <c r="C37" s="218" t="inlineStr">
        <is>
          <t>규제 · 현지 판정</t>
        </is>
      </c>
      <c r="D37" s="218" t="n"/>
      <c r="E37" s="219" t="inlineStr">
        <is>
          <t>위험 표현과 현지 부적합 요소를 검출</t>
        </is>
      </c>
      <c r="F37" s="219" t="inlineStr">
        <is>
          <t>판정 결과를 N3의 배지로 공급</t>
        </is>
      </c>
      <c r="G37" s="220" t="inlineStr">
        <is>
          <t>9월</t>
        </is>
      </c>
      <c r="H37" s="221" t="inlineStr">
        <is>
          <t>F-TXT-05 · F-LOC-01 · 02</t>
        </is>
      </c>
    </row>
    <row r="38">
      <c r="A38" s="218" t="n"/>
      <c r="B38" s="218" t="n"/>
      <c r="C38" s="218" t="inlineStr">
        <is>
          <t>[중단]</t>
        </is>
      </c>
      <c r="D38" s="218" t="n"/>
      <c r="E38" s="219" t="inlineStr">
        <is>
          <t>처리를 멈추고 N1 입력으로 복귀</t>
        </is>
      </c>
      <c r="F38" s="219" t="inlineStr">
        <is>
          <t>작업은 삭제되지 않고 입력값이 보존됨. [X] 작업 취소와 다른 동작</t>
        </is>
      </c>
      <c r="G38" s="220" t="inlineStr">
        <is>
          <t>9월</t>
        </is>
      </c>
      <c r="H38" s="221" t="inlineStr">
        <is>
          <t>F-JOB-08</t>
        </is>
      </c>
    </row>
    <row r="39">
      <c r="A39" s="214" t="n"/>
      <c r="B39" s="214" t="inlineStr">
        <is>
          <t>N3 섹션 확인</t>
        </is>
      </c>
      <c r="C39" s="214" t="n"/>
      <c r="D39" s="214" t="n"/>
      <c r="E39" s="215" t="inlineStr">
        <is>
          <t>판정을 확인하고 섹션을 되살리거나 제외</t>
        </is>
      </c>
      <c r="F39" s="215" t="n"/>
      <c r="G39" s="216" t="n"/>
      <c r="H39" s="217" t="n"/>
    </row>
    <row r="40">
      <c r="A40" s="218" t="n"/>
      <c r="B40" s="218" t="n"/>
      <c r="C40" s="218" t="inlineStr">
        <is>
          <t>버킷 2개</t>
        </is>
      </c>
      <c r="D40" s="218" t="n"/>
      <c r="E40" s="219" t="inlineStr">
        <is>
          <t>⚠ 제외 버킷(펼침) / ✓ 포함 버킷(접힘)</t>
        </is>
      </c>
      <c r="F40" s="219" t="inlineStr">
        <is>
          <t>순서 재정렬 불가 — 원본 세로 순서 고정</t>
        </is>
      </c>
      <c r="G40" s="220" t="inlineStr">
        <is>
          <t>9월</t>
        </is>
      </c>
      <c r="H40" s="221" t="inlineStr">
        <is>
          <t>F-SEC-02</t>
        </is>
      </c>
    </row>
    <row r="41" ht="25.5" customHeight="1">
      <c r="A41" s="218" t="n"/>
      <c r="B41" s="218" t="n"/>
      <c r="C41" s="218" t="inlineStr">
        <is>
          <t>액션 2개</t>
        </is>
      </c>
      <c r="D41" s="218" t="n"/>
      <c r="E41" s="219" t="inlineStr">
        <is>
          <t>[되살리기] · [제외하기]</t>
        </is>
      </c>
      <c r="F41" s="219" t="inlineStr">
        <is>
          <t>결과물이 썸네일이 아니면 액션은 이 둘뿐(썸네일이면 대표이미지 지정 F-THM-04가 더해짐). 되살리기 시 원래 판정을 함께 기록</t>
        </is>
      </c>
      <c r="G41" s="220" t="inlineStr">
        <is>
          <t>9월</t>
        </is>
      </c>
      <c r="H41" s="221" t="inlineStr">
        <is>
          <t>F-SEC-03</t>
        </is>
      </c>
    </row>
    <row r="42">
      <c r="A42" s="218" t="n"/>
      <c r="B42" s="218" t="n"/>
      <c r="C42" s="218" t="inlineStr">
        <is>
          <t>판정 배지</t>
        </is>
      </c>
      <c r="D42" s="218" t="inlineStr">
        <is>
          <t>규제</t>
        </is>
      </c>
      <c r="E42" s="219" t="inlineStr">
        <is>
          <t>규제 위반 — 조문 근거 포함</t>
        </is>
      </c>
      <c r="F42" s="219" t="inlineStr">
        <is>
          <t>차단이 아니라 권고. 판정 책임은 셀러</t>
        </is>
      </c>
      <c r="G42" s="220" t="inlineStr">
        <is>
          <t>9월</t>
        </is>
      </c>
      <c r="H42" s="221" t="inlineStr">
        <is>
          <t>F-SEC-04 · F-TXT-05</t>
        </is>
      </c>
    </row>
    <row r="43">
      <c r="A43" s="218" t="n"/>
      <c r="B43" s="218" t="n"/>
      <c r="C43" s="218" t="n"/>
      <c r="D43" s="218" t="inlineStr">
        <is>
          <t>채널 정책</t>
        </is>
      </c>
      <c r="E43" s="219" t="inlineStr">
        <is>
          <t>아마존 등 채널 정책 위반</t>
        </is>
      </c>
      <c r="F43" s="219" t="inlineStr">
        <is>
          <t>9월은 티저 표시만, 12월 실판정 승격</t>
        </is>
      </c>
      <c r="G43" s="220" t="inlineStr">
        <is>
          <t>9월(티저)</t>
        </is>
      </c>
      <c r="H43" s="221" t="inlineStr">
        <is>
          <t>F-LOC-03</t>
        </is>
      </c>
    </row>
    <row r="44">
      <c r="A44" s="218" t="n"/>
      <c r="B44" s="218" t="n"/>
      <c r="C44" s="218" t="n"/>
      <c r="D44" s="218" t="inlineStr">
        <is>
          <t>현지 무의미</t>
        </is>
      </c>
      <c r="E44" s="219" t="inlineStr">
        <is>
          <t>도착 시장에서 의미 없는 요소(원화·카카오톡 등)</t>
        </is>
      </c>
      <c r="F44" s="219" t="inlineStr">
        <is>
          <t>제외 버킷으로 자동 분류</t>
        </is>
      </c>
      <c r="G44" s="220" t="inlineStr">
        <is>
          <t>9월</t>
        </is>
      </c>
      <c r="H44" s="221" t="inlineStr">
        <is>
          <t>F-LOC-02</t>
        </is>
      </c>
    </row>
    <row r="45">
      <c r="A45" s="218" t="n"/>
      <c r="B45" s="218" t="n"/>
      <c r="C45" s="218" t="n"/>
      <c r="D45" s="218" t="inlineStr">
        <is>
          <t>수정 필요</t>
        </is>
      </c>
      <c r="E45" s="219" t="inlineStr">
        <is>
          <t>원본에 그려진 국내 인증마크 등</t>
        </is>
      </c>
      <c r="F45" s="219" t="inlineStr">
        <is>
          <t>🏷 배지로 표시</t>
        </is>
      </c>
      <c r="G45" s="220" t="inlineStr">
        <is>
          <t>9월</t>
        </is>
      </c>
      <c r="H45" s="221" t="inlineStr">
        <is>
          <t>F-SEC-04</t>
        </is>
      </c>
    </row>
    <row r="46">
      <c r="A46" s="218" t="n"/>
      <c r="B46" s="218" t="n"/>
      <c r="C46" s="218" t="inlineStr">
        <is>
          <t>판정 근거 [보기]</t>
        </is>
      </c>
      <c r="D46" s="218" t="n"/>
      <c r="E46" s="219" t="inlineStr">
        <is>
          <t>조문·사유를 읽기 전용으로 표시</t>
        </is>
      </c>
      <c r="F46" s="219" t="inlineStr">
        <is>
          <t>로컬라이징 판단 자체는 수정 불가</t>
        </is>
      </c>
      <c r="G46" s="220" t="inlineStr">
        <is>
          <t>9월</t>
        </is>
      </c>
      <c r="H46" s="221" t="inlineStr">
        <is>
          <t>F-SEC-05 · F-CFM-04</t>
        </is>
      </c>
    </row>
    <row r="47" ht="25.5" customHeight="1">
      <c r="A47" s="218" t="n"/>
      <c r="B47" s="218" t="n"/>
      <c r="C47" s="218" t="inlineStr">
        <is>
          <t>삭제 내역 노출</t>
        </is>
      </c>
      <c r="D47" s="218" t="n"/>
      <c r="E47" s="219" t="inlineStr">
        <is>
          <t>어느 섹션 / 무엇 때문에 / 어느 기준 / 근거 / 되돌리기</t>
        </is>
      </c>
      <c r="F47" s="219" t="inlineStr">
        <is>
          <t>화면(N3)은 확인·되살리기, content.csv는 셀러 배포 증빙, manifest는 서버 내부 — 세 곳 역할이 다름 (NFR-31)</t>
        </is>
      </c>
      <c r="G47" s="220" t="inlineStr">
        <is>
          <t>9월</t>
        </is>
      </c>
      <c r="H47" s="221" t="inlineStr">
        <is>
          <t>F-SEC-05</t>
        </is>
      </c>
    </row>
    <row r="48" ht="38.25" customHeight="1">
      <c r="A48" s="218" t="n"/>
      <c r="B48" s="218" t="n"/>
      <c r="C48" s="218" t="inlineStr">
        <is>
          <t>제외 사유 코드</t>
        </is>
      </c>
      <c r="D48" s="218" t="n"/>
      <c r="E48" s="219" t="inlineStr">
        <is>
          <t>auto_regulatory / auto_channel / auto_local_irrelevant / user_manual / restored_by_user</t>
        </is>
      </c>
      <c r="F48" s="219" t="inlineStr">
        <is>
          <t>user_manual은 N3와 N5(검수 중 제외)에 공통으로 사용</t>
        </is>
      </c>
      <c r="G48" s="220" t="inlineStr">
        <is>
          <t>9월</t>
        </is>
      </c>
      <c r="H48" s="221" t="inlineStr">
        <is>
          <t>F-SEC-06</t>
        </is>
      </c>
    </row>
    <row r="49">
      <c r="A49" s="218" t="n"/>
      <c r="B49" s="218" t="n"/>
      <c r="C49" s="218" t="inlineStr">
        <is>
          <t>[이대로 진행]</t>
        </is>
      </c>
      <c r="D49" s="218" t="n"/>
      <c r="E49" s="219" t="inlineStr">
        <is>
          <t>무조작 통과 — 권고 그대로 진행</t>
        </is>
      </c>
      <c r="F49" s="219" t="inlineStr">
        <is>
          <t>전 섹션 제외 시 진행 차단</t>
        </is>
      </c>
      <c r="G49" s="220" t="inlineStr">
        <is>
          <t>9월</t>
        </is>
      </c>
      <c r="H49" s="221" t="inlineStr">
        <is>
          <t>F-SEC-03</t>
        </is>
      </c>
    </row>
    <row r="50">
      <c r="A50" s="218" t="n"/>
      <c r="B50" s="218" t="n"/>
      <c r="C50" s="218" t="inlineStr">
        <is>
          <t>수평 절단 + 스택</t>
        </is>
      </c>
      <c r="D50" s="218" t="n"/>
      <c r="E50" s="219" t="inlineStr">
        <is>
          <t>제외된 섹션 자리를 아래가 위로 당겨 메움</t>
        </is>
      </c>
      <c r="F50" s="219" t="inlineStr">
        <is>
          <t>구멍 없이 전체 높이만 감소. 적용은 N6 최종 렌더에서</t>
        </is>
      </c>
      <c r="G50" s="220" t="inlineStr">
        <is>
          <t>9월</t>
        </is>
      </c>
      <c r="H50" s="221" t="inlineStr">
        <is>
          <t>F-SEC-07</t>
        </is>
      </c>
    </row>
    <row r="51">
      <c r="A51" s="214" t="n"/>
      <c r="B51" s="214" t="inlineStr">
        <is>
          <t>N4 번역 (처리 화면)</t>
        </is>
      </c>
      <c r="C51" s="214" t="n"/>
      <c r="D51" s="214" t="n"/>
      <c r="E51" s="215" t="inlineStr">
        <is>
          <t>인페인팅 ∥ 1차 번역 ∥ 규제 검증 병렬 → 조판·렌더</t>
        </is>
      </c>
      <c r="F51" s="215" t="n"/>
      <c r="G51" s="216" t="n"/>
      <c r="H51" s="217" t="n"/>
    </row>
    <row r="52" ht="25.5" customHeight="1">
      <c r="A52" s="218" t="n"/>
      <c r="B52" s="218" t="n"/>
      <c r="C52" s="218" t="inlineStr">
        <is>
          <t>인페인팅</t>
        </is>
      </c>
      <c r="D52" s="218" t="n"/>
      <c r="E52" s="219" t="inlineStr">
        <is>
          <t>원문 텍스트 제거와 배경 복원</t>
        </is>
      </c>
      <c r="F52" s="219" t="inlineStr">
        <is>
          <t>단색 = 배경색 채우기 / 사진 = LaMa. 섹션 단위로 캐시하며 다른 규격 생성 시 재사용</t>
        </is>
      </c>
      <c r="G52" s="220" t="inlineStr">
        <is>
          <t>9월</t>
        </is>
      </c>
      <c r="H52" s="221" t="inlineStr">
        <is>
          <t>F-INP-01 · 01a · 01c</t>
        </is>
      </c>
    </row>
    <row r="53" ht="25.5" customHeight="1">
      <c r="A53" s="218" t="n"/>
      <c r="B53" s="218" t="n"/>
      <c r="C53" s="218" t="n"/>
      <c r="D53" s="218" t="inlineStr">
        <is>
          <t>결과 검증</t>
        </is>
      </c>
      <c r="E53" s="219" t="inlineStr">
        <is>
          <t>잔존율 산출 후 마스크를 넓혀 자동 재시도</t>
        </is>
      </c>
      <c r="F53" s="219" t="inlineStr">
        <is>
          <t>상한 도달 시 배지 2종(처리 실패 / 품질 주의). 사용자 재시도 버튼 없음. 배지는 N5에서 노출</t>
        </is>
      </c>
      <c r="G53" s="220" t="inlineStr">
        <is>
          <t>9월</t>
        </is>
      </c>
      <c r="H53" s="221" t="inlineStr">
        <is>
          <t>F-INP-01b</t>
        </is>
      </c>
    </row>
    <row r="54">
      <c r="A54" s="218" t="n"/>
      <c r="B54" s="218" t="n"/>
      <c r="C54" s="218" t="inlineStr">
        <is>
          <t>스타일 추출</t>
        </is>
      </c>
      <c r="D54" s="218" t="n"/>
      <c r="E54" s="219" t="inlineStr">
        <is>
          <t>색 · 크기 · 정렬 · 굵기 추정</t>
        </is>
      </c>
      <c r="F54" s="219" t="inlineStr">
        <is>
          <t>폰트 패밀리는 식별을 포기하고 역할 기반 2~3종 매핑</t>
        </is>
      </c>
      <c r="G54" s="220" t="inlineStr">
        <is>
          <t>9월</t>
        </is>
      </c>
      <c r="H54" s="221" t="inlineStr">
        <is>
          <t>F-STY-01~05</t>
        </is>
      </c>
    </row>
    <row r="55" ht="25.5" customHeight="1">
      <c r="A55" s="218" t="n"/>
      <c r="B55" s="218" t="n"/>
      <c r="C55" s="218" t="inlineStr">
        <is>
          <t>RAG 번역</t>
        </is>
      </c>
      <c r="D55" s="218" t="n"/>
      <c r="E55" s="219" t="inlineStr">
        <is>
          <t>용어집을 검색 주입해 번역</t>
        </is>
      </c>
      <c r="F55" s="219" t="inlineStr">
        <is>
          <t>강제 용어는 적용 여부를 검사, 참고 용어는 예시로만 주입. 브랜드 톤 반영</t>
        </is>
      </c>
      <c r="G55" s="220" t="inlineStr">
        <is>
          <t>9월</t>
        </is>
      </c>
      <c r="H55" s="221" t="inlineStr">
        <is>
          <t>F-TRN-02 · 02b · 02c</t>
        </is>
      </c>
    </row>
    <row r="56" ht="25.5" customHeight="1">
      <c r="A56" s="264" t="n"/>
      <c r="B56" s="264" t="n"/>
      <c r="C56" s="264" t="inlineStr">
        <is>
          <t>공간 제약 번역</t>
        </is>
      </c>
      <c r="D56" s="264" t="n"/>
      <c r="E56" s="265" t="inlineStr">
        <is>
          <t>원본 박스 폭에 맞춘 번역 → 렌더 폭 실측 → 조판 조정</t>
        </is>
      </c>
      <c r="F56" s="265" t="inlineStr">
        <is>
          <t>폴백은 폰트 축소(−10% 상한)와 줄바꿈뿐 — 줄 추가·자간은 하지 않음. 상한 안에서 수렴하지 않으면 폭을 넘긴 채 렌더하고 검수로 이관</t>
        </is>
      </c>
      <c r="G56" s="266" t="inlineStr">
        <is>
          <t>9월</t>
        </is>
      </c>
      <c r="H56" s="267" t="inlineStr">
        <is>
          <t>F-TRN-04</t>
        </is>
      </c>
    </row>
    <row r="57">
      <c r="A57" s="218" t="n"/>
      <c r="B57" s="218" t="n"/>
      <c r="C57" s="218" t="inlineStr">
        <is>
          <t>규제 검증</t>
        </is>
      </c>
      <c r="D57" s="218" t="n"/>
      <c r="E57" s="219" t="inlineStr">
        <is>
          <t>LLM 판정 + 금지표현 사전 룰 매칭</t>
        </is>
      </c>
      <c r="F57" s="219" t="inlineStr">
        <is>
          <t>차단이 아니라 경고. 검수에서 셀 수정 시 사전 매칭 자동 재실행</t>
        </is>
      </c>
      <c r="G57" s="220" t="inlineStr">
        <is>
          <t>9월</t>
        </is>
      </c>
      <c r="H57" s="221" t="inlineStr">
        <is>
          <t>F-TRN-03 · 03a</t>
        </is>
      </c>
    </row>
    <row r="58" ht="25.5" customHeight="1">
      <c r="A58" s="218" t="n"/>
      <c r="B58" s="218" t="n"/>
      <c r="C58" s="218" t="inlineStr">
        <is>
          <t>1차 번역</t>
        </is>
      </c>
      <c r="D58" s="218" t="n"/>
      <c r="E58" s="219" t="inlineStr">
        <is>
          <t>원본 박스 폭 기준 번역 — 항상 생성</t>
        </is>
      </c>
      <c r="F58" s="219" t="inlineStr">
        <is>
          <t>규격 그대로는 최종 산출물, 규격 변경은 2차 번역의 입력. content.csv trans_1</t>
        </is>
      </c>
      <c r="G58" s="220" t="inlineStr">
        <is>
          <t>9월</t>
        </is>
      </c>
      <c r="H58" s="221" t="inlineStr">
        <is>
          <t>F-TRN-09</t>
        </is>
      </c>
    </row>
    <row r="59" ht="25.5" customHeight="1">
      <c r="A59" s="218" t="n"/>
      <c r="B59" s="218" t="n"/>
      <c r="C59" s="218" t="inlineStr">
        <is>
          <t>2차 번역</t>
        </is>
      </c>
      <c r="D59" s="218" t="n"/>
      <c r="E59" s="219" t="inlineStr">
        <is>
          <t>1차 번역에서 선별 → 압축으로 파생</t>
        </is>
      </c>
      <c r="F59" s="219" t="inlineStr">
        <is>
          <t>선별은 블록(문단) 단위로 블록을 쪼개지 않음. 압축은 선별한 블록 안에서 문장 단위</t>
        </is>
      </c>
      <c r="G59" s="220" t="inlineStr">
        <is>
          <t>12월</t>
        </is>
      </c>
      <c r="H59" s="221" t="inlineStr">
        <is>
          <t>F-TRN-10</t>
        </is>
      </c>
    </row>
    <row r="60">
      <c r="A60" s="218" t="n"/>
      <c r="B60" s="218" t="n"/>
      <c r="C60" s="218" t="inlineStr">
        <is>
          <t>조판 · 렌더</t>
        </is>
      </c>
      <c r="D60" s="218" t="n"/>
      <c r="E60" s="219" t="inlineStr">
        <is>
          <t>인페인팅 배경 위에 원본 좌표로 절대 배치</t>
        </is>
      </c>
      <c r="F60" s="219" t="inlineStr">
        <is>
          <t>모듈 좌표 변환 없음. 수평 절단+스택 오프셋 반영. HTML/Playwright</t>
        </is>
      </c>
      <c r="G60" s="220" t="inlineStr">
        <is>
          <t>9월</t>
        </is>
      </c>
      <c r="H60" s="221" t="inlineStr">
        <is>
          <t>F-INP-03 · F-TRN-04</t>
        </is>
      </c>
    </row>
    <row r="61">
      <c r="A61" s="218" t="n"/>
      <c r="B61" s="218" t="n"/>
      <c r="C61" s="218" t="inlineStr">
        <is>
          <t>[중단]</t>
        </is>
      </c>
      <c r="D61" s="218" t="n"/>
      <c r="E61" s="219" t="inlineStr">
        <is>
          <t>처리를 멈추고 N3 섹션 확인으로 복귀</t>
        </is>
      </c>
      <c r="F61" s="219" t="inlineStr">
        <is>
          <t>버킷 선택이 보존되고 완료된 섹션 산출물은 재사용</t>
        </is>
      </c>
      <c r="G61" s="220" t="inlineStr">
        <is>
          <t>9월</t>
        </is>
      </c>
      <c r="H61" s="221" t="inlineStr">
        <is>
          <t>F-JOB-08</t>
        </is>
      </c>
    </row>
    <row r="62">
      <c r="A62" s="214" t="n"/>
      <c r="B62" s="214" t="inlineStr">
        <is>
          <t>N5 검수</t>
        </is>
      </c>
      <c r="C62" s="214" t="n"/>
      <c r="D62" s="214" t="n"/>
      <c r="E62" s="215" t="inlineStr">
        <is>
          <t>좌우 2분할 — 좌 초장축 뷰어 / 우 블록 표</t>
        </is>
      </c>
      <c r="F62" s="215" t="n"/>
      <c r="G62" s="216" t="n"/>
      <c r="H62" s="217" t="n"/>
    </row>
    <row r="63" ht="25.5" customHeight="1">
      <c r="A63" s="218" t="n"/>
      <c r="B63" s="218" t="n"/>
      <c r="C63" s="218" t="inlineStr">
        <is>
          <t>좌 · 뷰어</t>
        </is>
      </c>
      <c r="D63" s="218" t="inlineStr">
        <is>
          <t>9월</t>
        </is>
      </c>
      <c r="E63" s="219" t="inlineStr">
        <is>
          <t>원본 ↔ 제자리 렌더 결과를 한 뷰에서 슬라이더로 겹쳐 보기</t>
        </is>
      </c>
      <c r="F63" s="219" t="inlineStr">
        <is>
          <t>제자리 번역이라 레이아웃이 같아 겹쳐 보기가 차이를 정확히 드러냄</t>
        </is>
      </c>
      <c r="G63" s="220" t="inlineStr">
        <is>
          <t>9월</t>
        </is>
      </c>
      <c r="H63" s="221" t="inlineStr">
        <is>
          <t>F-CFM-01 · F-CRP-01a</t>
        </is>
      </c>
    </row>
    <row r="64" ht="25.5" customHeight="1">
      <c r="A64" s="218" t="n"/>
      <c r="B64" s="218" t="n"/>
      <c r="C64" s="218" t="n"/>
      <c r="D64" s="218" t="inlineStr">
        <is>
          <t>12월</t>
        </is>
      </c>
      <c r="E64" s="219" t="inlineStr">
        <is>
          <t>상하 2단 — 위 템플릿 렌더(주역) / 아래 원본 세로(보조·기본 접힘)</t>
        </is>
      </c>
      <c r="F64" s="219" t="inlineStr">
        <is>
          <t>레이아웃이 달라 슬라이더가 성립하지 않음</t>
        </is>
      </c>
      <c r="G64" s="220" t="inlineStr">
        <is>
          <t>12월</t>
        </is>
      </c>
      <c r="H64" s="221" t="inlineStr">
        <is>
          <t>F-CFM-01</t>
        </is>
      </c>
    </row>
    <row r="65" ht="25.5" customHeight="1">
      <c r="A65" s="218" t="n"/>
      <c r="B65" s="218" t="n"/>
      <c r="C65" s="218" t="inlineStr">
        <is>
          <t>우 · 블록 표</t>
        </is>
      </c>
      <c r="D65" s="218" t="n"/>
      <c r="E65" s="219" t="inlineStr">
        <is>
          <t>원문 / 번역 대조 · 셀 수정</t>
        </is>
      </c>
      <c r="F65" s="219" t="inlineStr">
        <is>
          <t>대조는 경로별 1회 — 9월 원문/1차, 12월 원문/2차(1차 번역은 접기). 3단 대조 미채택</t>
        </is>
      </c>
      <c r="G65" s="220" t="inlineStr">
        <is>
          <t>9월</t>
        </is>
      </c>
      <c r="H65" s="221" t="inlineStr">
        <is>
          <t>F-CFM-01</t>
        </is>
      </c>
    </row>
    <row r="66">
      <c r="A66" s="264" t="n"/>
      <c r="B66" s="264" t="n"/>
      <c r="C66" s="264" t="n"/>
      <c r="D66" s="264" t="inlineStr">
        <is>
          <t>셀 수정</t>
        </is>
      </c>
      <c r="E66" s="265" t="inlineStr">
        <is>
          <t>번역문을 표에서 직접 수정</t>
        </is>
      </c>
      <c r="F66" s="265" t="inlineStr">
        <is>
          <t>수정 시 재렌더 + 금지표현 사전 재실행 + 폭 재측정·조판 재조정. 캔버스 인라인 편집은 없음</t>
        </is>
      </c>
      <c r="G66" s="266" t="inlineStr">
        <is>
          <t>9월</t>
        </is>
      </c>
      <c r="H66" s="267" t="inlineStr">
        <is>
          <t>F-CFM-02 · 02a</t>
        </is>
      </c>
    </row>
    <row r="67">
      <c r="A67" s="264" t="n"/>
      <c r="B67" s="264" t="n"/>
      <c r="C67" s="264" t="n"/>
      <c r="D67" s="264" t="inlineStr">
        <is>
          <t>확인 필요 표시</t>
        </is>
      </c>
      <c r="E67" s="265" t="inlineStr">
        <is>
          <t>규제·미적용 강제 용어·낮은 OCR 신뢰도·번역 실패·인페인팅 잔존율·인식 실패(빈 블록)·로고 매칭 실패·폭 초과</t>
        </is>
      </c>
      <c r="F67" s="265" t="inlineStr">
        <is>
          <t>점수를 산출하지 않고 이미 생성되는 신호를 재사용</t>
        </is>
      </c>
      <c r="G67" s="266" t="inlineStr">
        <is>
          <t>9월</t>
        </is>
      </c>
      <c r="H67" s="267" t="inlineStr">
        <is>
          <t>F-CFM-05</t>
        </is>
      </c>
    </row>
    <row r="68" ht="25.5" customHeight="1">
      <c r="A68" s="218" t="n"/>
      <c r="B68" s="218" t="n"/>
      <c r="C68" s="218" t="n"/>
      <c r="D68" s="218" t="inlineStr">
        <is>
          <t>로컬라이징 근거</t>
        </is>
      </c>
      <c r="E68" s="219" t="inlineStr">
        <is>
          <t>왜 그렇게 번역·치환했는지</t>
        </is>
      </c>
      <c r="F68" s="219" t="inlineStr">
        <is>
          <t>읽기 전용. 판단 자체는 수정 불가</t>
        </is>
      </c>
      <c r="G68" s="220" t="inlineStr">
        <is>
          <t>9월</t>
        </is>
      </c>
      <c r="H68" s="221" t="inlineStr">
        <is>
          <t>F-CFM-04</t>
        </is>
      </c>
    </row>
    <row r="69">
      <c r="A69" s="218" t="n"/>
      <c r="B69" s="218" t="n"/>
      <c r="C69" s="218" t="n"/>
      <c r="D69" s="218" t="inlineStr">
        <is>
          <t>자동 조정 알림</t>
        </is>
      </c>
      <c r="E69" s="219" t="inlineStr">
        <is>
          <t>"ℹ 자동 조정됨 (폰트 −8%)"</t>
        </is>
      </c>
      <c r="F69" s="219" t="inlineStr">
        <is>
          <t>알림만 표시하고 조작 UI를 두지 않음</t>
        </is>
      </c>
      <c r="G69" s="220" t="inlineStr">
        <is>
          <t>9월</t>
        </is>
      </c>
      <c r="H69" s="221" t="inlineStr">
        <is>
          <t>F-CFM-12</t>
        </is>
      </c>
    </row>
    <row r="70">
      <c r="A70" s="218" t="n"/>
      <c r="B70" s="218" t="n"/>
      <c r="C70" s="218" t="n"/>
      <c r="D70" s="218" t="inlineStr">
        <is>
          <t>[실행 취소]</t>
        </is>
      </c>
      <c r="E70" s="219" t="inlineStr">
        <is>
          <t>수정·삭제 되돌리기</t>
        </is>
      </c>
      <c r="F70" s="219" t="inlineStr">
        <is>
          <t>MVP는 버튼만 노출하고 동작하지 않음 — 툴팁으로 12월 기능임을 안내</t>
        </is>
      </c>
      <c r="G70" s="220" t="inlineStr">
        <is>
          <t>12월</t>
        </is>
      </c>
      <c r="H70" s="221" t="inlineStr">
        <is>
          <t>F-CFM-03</t>
        </is>
      </c>
    </row>
    <row r="71" ht="25.5" customHeight="1">
      <c r="A71" s="218" t="n"/>
      <c r="B71" s="218" t="n"/>
      <c r="C71" s="218" t="inlineStr">
        <is>
          <t>연동 선택</t>
        </is>
      </c>
      <c r="D71" s="218" t="n"/>
      <c r="E71" s="219" t="inlineStr">
        <is>
          <t>표 행 ↔ 뷰어 이동 · 블록 클릭 → 셀 포커스 · 섹션 클릭 → 표 그룹 스크롤</t>
        </is>
      </c>
      <c r="F71" s="219" t="inlineStr">
        <is>
          <t>표 그룹 헤더는 9월 섹션별 / 12월 모듈별</t>
        </is>
      </c>
      <c r="G71" s="220" t="inlineStr">
        <is>
          <t>9월</t>
        </is>
      </c>
      <c r="H71" s="221" t="inlineStr">
        <is>
          <t>F-CFM-13</t>
        </is>
      </c>
    </row>
    <row r="72" ht="25.5" customHeight="1">
      <c r="A72" s="218" t="n"/>
      <c r="B72" s="218" t="n"/>
      <c r="C72" s="218" t="inlineStr">
        <is>
          <t>섹션 제외</t>
        </is>
      </c>
      <c r="D72" s="218" t="n"/>
      <c r="E72" s="219" t="inlineStr">
        <is>
          <t>검수 중 섹션을 결과물에서 뺌</t>
        </is>
      </c>
      <c r="F72" s="219" t="inlineStr">
        <is>
          <t>사라지지 않고 회색 오버레이 + [되돌리기]로 남음. 스택은 N6 렌더에서만 적용</t>
        </is>
      </c>
      <c r="G72" s="220" t="inlineStr">
        <is>
          <t>9월</t>
        </is>
      </c>
      <c r="H72" s="221" t="inlineStr">
        <is>
          <t>F-CFM-14</t>
        </is>
      </c>
    </row>
    <row r="73" ht="25.5" customHeight="1">
      <c r="A73" s="218" t="n"/>
      <c r="B73" s="218" t="n"/>
      <c r="C73" s="218" t="inlineStr">
        <is>
          <t>마스크 조정</t>
        </is>
      </c>
      <c r="D73" s="218" t="n"/>
      <c r="E73" s="219" t="inlineStr">
        <is>
          <t>인페인팅 마스크를 브러시로 보정</t>
        </is>
      </c>
      <c r="F73" s="219" t="inlineStr">
        <is>
          <t>경고 배지 → [마스크 조정]. 해당 섹션만 재실행하며 OCR·텍스트 블록은 보존</t>
        </is>
      </c>
      <c r="G73" s="220" t="inlineStr">
        <is>
          <t>12월</t>
        </is>
      </c>
      <c r="H73" s="221" t="inlineStr">
        <is>
          <t>F-INP-01e</t>
        </is>
      </c>
    </row>
    <row r="74" ht="25.5" customHeight="1">
      <c r="A74" s="218" t="n"/>
      <c r="B74" s="218" t="n"/>
      <c r="C74" s="218" t="inlineStr">
        <is>
          <t>[확정 → 저장]</t>
        </is>
      </c>
      <c r="D74" s="218" t="n"/>
      <c r="E74" s="219" t="inlineStr">
        <is>
          <t>N6 저장으로 이동</t>
        </is>
      </c>
      <c r="F74" s="219" t="inlineStr">
        <is>
          <t>미해결 규제 경고가 있으면 확인을 받고 이력 저장</t>
        </is>
      </c>
      <c r="G74" s="220" t="inlineStr">
        <is>
          <t>9월</t>
        </is>
      </c>
      <c r="H74" s="221" t="inlineStr">
        <is>
          <t>F-CFM-09</t>
        </is>
      </c>
    </row>
    <row r="75">
      <c r="A75" s="214" t="n"/>
      <c r="B75" s="214" t="inlineStr">
        <is>
          <t>N6 저장</t>
        </is>
      </c>
      <c r="C75" s="214" t="n"/>
      <c r="D75" s="214" t="n"/>
      <c r="E75" s="215" t="inlineStr">
        <is>
          <t>산출물 묶음 생성과 확정</t>
        </is>
      </c>
      <c r="F75" s="215" t="n"/>
      <c r="G75" s="216" t="n"/>
      <c r="H75" s="217" t="n"/>
    </row>
    <row r="76">
      <c r="A76" s="218" t="n"/>
      <c r="B76" s="218" t="n"/>
      <c r="C76" s="218" t="inlineStr">
        <is>
          <t>최종 렌더</t>
        </is>
      </c>
      <c r="D76" s="218" t="n"/>
      <c r="E76" s="219" t="inlineStr">
        <is>
          <t>HTML 조립 → 폰트 로딩 → Playwright 캡처</t>
        </is>
      </c>
      <c r="F76" s="219" t="inlineStr">
        <is>
          <t>결과물은 규격 상한에 맞춰 섹션 경계에서 분할. 순서는 렌더 → 분할 → 규격 검증</t>
        </is>
      </c>
      <c r="G76" s="220" t="inlineStr">
        <is>
          <t>9월</t>
        </is>
      </c>
      <c r="H76" s="221" t="inlineStr">
        <is>
          <t>F-FIN-01 · 01a · 01b</t>
        </is>
      </c>
    </row>
    <row r="77" ht="25.5" customHeight="1">
      <c r="A77" s="218" t="n"/>
      <c r="B77" s="218" t="n"/>
      <c r="C77" s="218" t="inlineStr">
        <is>
          <t>규격 검증</t>
        </is>
      </c>
      <c r="D77" s="218" t="n"/>
      <c r="E77" s="219" t="inlineStr">
        <is>
          <t>항목별 통과·위반을 실측값과 함께 표시</t>
        </is>
      </c>
      <c r="F77" s="219" t="inlineStr">
        <is>
          <t>셀러가 구성요소를 체크해 묶음으로 받거나, 항목별 [↓]로 개별 다운로드. 일부 생성 실패 시 성공분만 묶고 실패 명시</t>
        </is>
      </c>
      <c r="G77" s="220" t="inlineStr">
        <is>
          <t>9월</t>
        </is>
      </c>
      <c r="H77" s="221" t="inlineStr">
        <is>
          <t>F-CH-05 · 05a · F-FIN-02</t>
        </is>
      </c>
    </row>
    <row r="78" ht="25.5" customHeight="1">
      <c r="A78" s="218" t="n"/>
      <c r="B78" s="218" t="n"/>
      <c r="C78" s="218" t="inlineStr">
        <is>
          <t>export.zip</t>
        </is>
      </c>
      <c r="D78" s="218" t="n"/>
      <c r="E78" s="219" t="inlineStr">
        <is>
          <t>산출물 묶음 — 셀러가 구성요소를 선택해 받음</t>
        </is>
      </c>
      <c r="F78" s="219" t="inlineStr">
        <is>
          <t>일부 생성 실패 시 성공분만 묶고 실패를 명시</t>
        </is>
      </c>
      <c r="G78" s="220" t="inlineStr">
        <is>
          <t>9월</t>
        </is>
      </c>
      <c r="H78" s="221" t="inlineStr">
        <is>
          <t>F-EXP-01</t>
        </is>
      </c>
    </row>
    <row r="79">
      <c r="A79" s="218" t="n"/>
      <c r="B79" s="218" t="n"/>
      <c r="C79" s="218" t="n"/>
      <c r="D79" s="218" t="inlineStr">
        <is>
          <t>images/</t>
        </is>
      </c>
      <c r="E79" s="219" t="inlineStr">
        <is>
          <t>결과 이미지</t>
        </is>
      </c>
      <c r="F79" s="219" t="inlineStr">
        <is>
          <t>9월은 텍스트가 구워진 긴 세로 이미지. 12월 A+는 텍스트 없는 사진</t>
        </is>
      </c>
      <c r="G79" s="220" t="inlineStr">
        <is>
          <t>9월</t>
        </is>
      </c>
      <c r="H79" s="221" t="inlineStr">
        <is>
          <t>F-EXP-01</t>
        </is>
      </c>
    </row>
    <row r="80">
      <c r="A80" s="218" t="n"/>
      <c r="B80" s="218" t="n"/>
      <c r="C80" s="218" t="n"/>
      <c r="D80" s="218" t="inlineStr">
        <is>
          <t>content.csv</t>
        </is>
      </c>
      <c r="E80" s="219" t="inlineStr">
        <is>
          <t>블록/슬롯별 원문·번역·판정·제외 사유·자동 조정</t>
        </is>
      </c>
      <c r="F80" s="219" t="inlineStr">
        <is>
          <t>행 = 9월 텍스트 블록 / 12월 모듈 슬롯. 제외 섹션 행 그룹을 별도로 포함</t>
        </is>
      </c>
      <c r="G80" s="220" t="inlineStr">
        <is>
          <t>9월</t>
        </is>
      </c>
      <c r="H80" s="221" t="inlineStr">
        <is>
          <t>F-EXP-02</t>
        </is>
      </c>
    </row>
    <row r="81" ht="25.5" customHeight="1">
      <c r="A81" s="218" t="n"/>
      <c r="B81" s="218" t="n"/>
      <c r="C81" s="218" t="inlineStr">
        <is>
          <t>manifest.json (서버 전용)</t>
        </is>
      </c>
      <c r="D81" s="218" t="inlineStr">
        <is>
          <t>manifest.json</t>
        </is>
      </c>
      <c r="E81" s="219" t="inlineStr">
        <is>
          <t>bbox·스타일·판정·선택 상태 — 파이프라인 입력 포맷</t>
        </is>
      </c>
      <c r="F81" s="219" t="inlineStr">
        <is>
          <t>★셀러에게 배포하지 않음 — export.zip·보관함 다운로드 목록에 없음. 생성·보관은 유지하며 서버에서 확인</t>
        </is>
      </c>
      <c r="G81" s="220" t="inlineStr">
        <is>
          <t>9월</t>
        </is>
      </c>
      <c r="H81" s="221" t="inlineStr">
        <is>
          <t>F-EXP-03</t>
        </is>
      </c>
    </row>
    <row r="82" ht="25.5" customHeight="1">
      <c r="A82" s="218" t="n"/>
      <c r="B82" s="218" t="n"/>
      <c r="C82" s="218" t="n"/>
      <c r="D82" s="218" t="inlineStr">
        <is>
          <t>html</t>
        </is>
      </c>
      <c r="E82" s="219" t="inlineStr">
        <is>
          <t>재조판 결과</t>
        </is>
      </c>
      <c r="F82" s="219" t="inlineStr">
        <is>
          <t>축 B(비주얼 수정)의 유일한 탈출구 (PSD 전까지)</t>
        </is>
      </c>
      <c r="G82" s="220" t="inlineStr">
        <is>
          <t>9월 should</t>
        </is>
      </c>
      <c r="H82" s="221" t="inlineStr">
        <is>
          <t>F-EXP-04</t>
        </is>
      </c>
    </row>
    <row r="83">
      <c r="A83" s="218" t="n"/>
      <c r="B83" s="218" t="n"/>
      <c r="C83" s="218" t="n"/>
      <c r="D83" s="218" t="inlineStr">
        <is>
          <t>baked/</t>
        </is>
      </c>
      <c r="E83" s="219" t="inlineStr">
        <is>
          <t>텍스트가 구워진 모듈 이미지</t>
        </is>
      </c>
      <c r="F83" s="219" t="inlineStr">
        <is>
          <t>모듈 이미지 슬롯 규격에 맞춰 렌더. 모바일 축소·스크린리더 미인식·아마존 정책은 선택 시 고지</t>
        </is>
      </c>
      <c r="G83" s="220" t="inlineStr">
        <is>
          <t>12월</t>
        </is>
      </c>
      <c r="H83" s="221" t="inlineStr">
        <is>
          <t>F-EXP-07</t>
        </is>
      </c>
    </row>
    <row r="84" ht="25.5" customHeight="1">
      <c r="A84" s="218" t="n"/>
      <c r="B84" s="218" t="n"/>
      <c r="C84" s="218" t="n"/>
      <c r="D84" s="218" t="inlineStr">
        <is>
          <t>psd</t>
        </is>
      </c>
      <c r="E84" s="219" t="inlineStr">
        <is>
          <t>하이브리드 4레이어</t>
        </is>
      </c>
      <c r="F84" s="219" t="inlineStr">
        <is>
          <t>9월은 비활성 노출</t>
        </is>
      </c>
      <c r="G84" s="220" t="inlineStr">
        <is>
          <t>12월</t>
        </is>
      </c>
      <c r="H84" s="221" t="inlineStr">
        <is>
          <t>F-EXP-06</t>
        </is>
      </c>
    </row>
    <row r="85">
      <c r="A85" s="218" t="n"/>
      <c r="B85" s="218" t="n"/>
      <c r="C85" s="218" t="inlineStr">
        <is>
          <t>[저장]</t>
        </is>
      </c>
      <c r="D85" s="218" t="n"/>
      <c r="E85" s="219" t="inlineStr">
        <is>
          <t>보관함 카드 생성</t>
        </is>
      </c>
      <c r="F85" s="219" t="inlineStr">
        <is>
          <t>렌더 성공 시에만 완료 상태로 전환</t>
        </is>
      </c>
      <c r="G85" s="220" t="inlineStr">
        <is>
          <t>9월</t>
        </is>
      </c>
      <c r="H85" s="221" t="inlineStr">
        <is>
          <t>F-FIN-03</t>
        </is>
      </c>
    </row>
    <row r="86">
      <c r="A86" s="210" t="inlineStr">
        <is>
          <t>보관 · 브랜드</t>
        </is>
      </c>
      <c r="B86" s="210" t="n"/>
      <c r="C86" s="210" t="n"/>
      <c r="D86" s="210" t="n"/>
      <c r="E86" s="211" t="n"/>
      <c r="F86" s="211" t="n"/>
      <c r="G86" s="212" t="n"/>
      <c r="H86" s="213" t="n"/>
    </row>
    <row r="87">
      <c r="A87" s="214" t="n"/>
      <c r="B87" s="214" t="inlineStr">
        <is>
          <t>M1 보관함</t>
        </is>
      </c>
      <c r="C87" s="214" t="n"/>
      <c r="D87" s="214" t="n"/>
      <c r="E87" s="215" t="n"/>
      <c r="F87" s="215" t="n"/>
      <c r="G87" s="216" t="n"/>
      <c r="H87" s="217" t="n"/>
    </row>
    <row r="88">
      <c r="A88" s="218" t="n"/>
      <c r="B88" s="218" t="n"/>
      <c r="C88" s="218" t="inlineStr">
        <is>
          <t>카드 목록</t>
        </is>
      </c>
      <c r="D88" s="218" t="n"/>
      <c r="E88" s="219" t="inlineStr">
        <is>
          <t>완료 결과물을 카드로 조회</t>
        </is>
      </c>
      <c r="F88" s="219" t="inlineStr">
        <is>
          <t>MVP는 조회만 지원</t>
        </is>
      </c>
      <c r="G88" s="220" t="inlineStr">
        <is>
          <t>9월</t>
        </is>
      </c>
      <c r="H88" s="221" t="inlineStr">
        <is>
          <t>F-LST-02</t>
        </is>
      </c>
    </row>
    <row r="89">
      <c r="A89" s="218" t="n"/>
      <c r="B89" s="218" t="n"/>
      <c r="C89" s="218" t="inlineStr">
        <is>
          <t>검색·필터 / 선택 / 삭제 / 다운로드</t>
        </is>
      </c>
      <c r="D89" s="218" t="n"/>
      <c r="E89" s="219" t="inlineStr">
        <is>
          <t>카드 관리와 산출물 선택 다운로드</t>
        </is>
      </c>
      <c r="F89" s="219" t="inlineStr">
        <is>
          <t>다운로드·삭제는 선택 경유 단일 경로</t>
        </is>
      </c>
      <c r="G89" s="220" t="inlineStr">
        <is>
          <t>12월</t>
        </is>
      </c>
      <c r="H89" s="221" t="inlineStr">
        <is>
          <t>F-LST-01 · 03 · 04 · 06</t>
        </is>
      </c>
    </row>
    <row r="90">
      <c r="A90" s="218" t="n"/>
      <c r="B90" s="218" t="n"/>
      <c r="C90" s="218" t="inlineStr">
        <is>
          <t>저장 후 수정</t>
        </is>
      </c>
      <c r="D90" s="218" t="n"/>
      <c r="E90" s="219" t="inlineStr">
        <is>
          <t>완료 결과물을 다시 열어 마지막 단계로 복귀</t>
        </is>
      </c>
      <c r="F90" s="219" t="inlineStr">
        <is>
          <t>진입 단계 미정 (OI-24)</t>
        </is>
      </c>
      <c r="G90" s="220" t="inlineStr">
        <is>
          <t>12월</t>
        </is>
      </c>
      <c r="H90" s="221" t="inlineStr">
        <is>
          <t>F-LST-05</t>
        </is>
      </c>
    </row>
    <row r="91">
      <c r="A91" s="218" t="n"/>
      <c r="B91" s="218" t="n"/>
      <c r="C91" s="218" t="inlineStr">
        <is>
          <t>다른 버전 만들기</t>
        </is>
      </c>
      <c r="D91" s="218" t="n"/>
      <c r="E91" s="219" t="inlineStr">
        <is>
          <t>국가·언어·규격을 바꿔 재생성</t>
        </is>
      </c>
      <c r="F91" s="219" t="inlineStr">
        <is>
          <t>상시 재사용은 OCR·섹션 분해·인페인팅. 국가나 언어가 바뀌면 판정·1차 번역 재생성</t>
        </is>
      </c>
      <c r="G91" s="220" t="inlineStr">
        <is>
          <t>12월</t>
        </is>
      </c>
      <c r="H91" s="221" t="inlineStr">
        <is>
          <t>F-VER-01 · 02 · 03</t>
        </is>
      </c>
    </row>
    <row r="92" ht="25.5" customHeight="1">
      <c r="A92" s="218" t="n"/>
      <c r="B92" s="218" t="n"/>
      <c r="C92" s="218" t="inlineStr">
        <is>
          <t>미완료 작업 저장 / 보관 만료</t>
        </is>
      </c>
      <c r="D92" s="218" t="n"/>
      <c r="E92" s="219" t="inlineStr">
        <is>
          <t>이탈 작업 재진입과 보관 기간 정책</t>
        </is>
      </c>
      <c r="F92" s="219" t="inlineStr">
        <is>
          <t>완료 30일 / 미완료 90일 — 12월 확정</t>
        </is>
      </c>
      <c r="G92" s="220" t="inlineStr">
        <is>
          <t>12월</t>
        </is>
      </c>
      <c r="H92" s="221" t="inlineStr">
        <is>
          <t>F-LST-08 · 09</t>
        </is>
      </c>
    </row>
    <row r="93">
      <c r="A93" s="214" t="n"/>
      <c r="B93" s="214" t="inlineStr">
        <is>
          <t>M2 브랜드 정보</t>
        </is>
      </c>
      <c r="C93" s="214" t="n"/>
      <c r="D93" s="214" t="n"/>
      <c r="E93" s="215" t="n"/>
      <c r="F93" s="215" t="n"/>
      <c r="G93" s="216" t="n"/>
      <c r="H93" s="217" t="n"/>
    </row>
    <row r="94">
      <c r="A94" s="218" t="n"/>
      <c r="B94" s="218" t="n"/>
      <c r="C94" s="218" t="inlineStr">
        <is>
          <t>기본 정보</t>
        </is>
      </c>
      <c r="D94" s="218" t="n"/>
      <c r="E94" s="219" t="inlineStr">
        <is>
          <t>브랜드명(한글·영문) · 로고 업로드</t>
        </is>
      </c>
      <c r="F94" s="219" t="inlineStr">
        <is>
          <t>영문명 미등록 시 번역 결과에 한글명이 노출됨을 경고</t>
        </is>
      </c>
      <c r="G94" s="220" t="inlineStr">
        <is>
          <t>9월</t>
        </is>
      </c>
      <c r="H94" s="221" t="inlineStr">
        <is>
          <t>F-BRD-01</t>
        </is>
      </c>
    </row>
    <row r="95">
      <c r="A95" s="218" t="n"/>
      <c r="B95" s="218" t="n"/>
      <c r="C95" s="218" t="inlineStr">
        <is>
          <t>로고 비번역 처리</t>
        </is>
      </c>
      <c r="D95" s="218" t="n"/>
      <c r="E95" s="219" t="inlineStr">
        <is>
          <t>브랜드 화면에 등록한 로고를 원본에서 매칭</t>
        </is>
      </c>
      <c r="F95" s="219" t="inlineStr">
        <is>
          <t>OCR·번역·인페인팅 대상에서 제외. 매칭 실패 시 확인 필요 신호, 수동 지정은 12월</t>
        </is>
      </c>
      <c r="G95" s="220" t="inlineStr">
        <is>
          <t>9월</t>
        </is>
      </c>
      <c r="H95" s="221" t="inlineStr">
        <is>
          <t>F-BRD-02</t>
        </is>
      </c>
    </row>
    <row r="96" ht="25.5" customHeight="1">
      <c r="A96" s="218" t="n"/>
      <c r="B96" s="218" t="n"/>
      <c r="C96" s="218" t="inlineStr">
        <is>
          <t>브랜드 개요 · 핵심 고객층</t>
        </is>
      </c>
      <c r="D96" s="218" t="n"/>
      <c r="E96" s="219" t="inlineStr">
        <is>
          <t>번역 톤 프롬프트 입력값</t>
        </is>
      </c>
      <c r="F96" s="219" t="inlineStr">
        <is>
          <t>F-TRN-02b로 주입</t>
        </is>
      </c>
      <c r="G96" s="220" t="inlineStr">
        <is>
          <t>9월</t>
        </is>
      </c>
      <c r="H96" s="221" t="inlineStr">
        <is>
          <t>F-BRD-03 · 05 · 08</t>
        </is>
      </c>
    </row>
    <row r="97">
      <c r="A97" s="218" t="n"/>
      <c r="B97" s="218" t="n"/>
      <c r="C97" s="218" t="inlineStr">
        <is>
          <t>수정 · 적용 시점</t>
        </is>
      </c>
      <c r="D97" s="218" t="n"/>
      <c r="E97" s="219" t="inlineStr">
        <is>
          <t>변경 저장</t>
        </is>
      </c>
      <c r="F97" s="219" t="inlineStr">
        <is>
          <t>새로 시작되는 작업부터 적용, 기존 완료 작업에는 미반영</t>
        </is>
      </c>
      <c r="G97" s="220" t="inlineStr">
        <is>
          <t>9월</t>
        </is>
      </c>
      <c r="H97" s="221" t="inlineStr">
        <is>
          <t>F-BRD-07</t>
        </is>
      </c>
    </row>
    <row r="98">
      <c r="A98" s="214" t="n"/>
      <c r="B98" s="214" t="inlineStr">
        <is>
          <t>M3 작업관리</t>
        </is>
      </c>
      <c r="C98" s="214" t="n"/>
      <c r="D98" s="214" t="n"/>
      <c r="E98" s="215" t="inlineStr">
        <is>
          <t>셀러 관리자의 자사 작업 이력 조회</t>
        </is>
      </c>
      <c r="F98" s="215" t="inlineStr">
        <is>
          <t>권한 없는 계정 차단</t>
        </is>
      </c>
      <c r="G98" s="216" t="inlineStr">
        <is>
          <t>12월</t>
        </is>
      </c>
      <c r="H98" s="217" t="inlineStr">
        <is>
          <t>F-JOB-01~04</t>
        </is>
      </c>
    </row>
    <row r="99">
      <c r="A99" s="210" t="inlineStr">
        <is>
          <t>운영 (관리자 콘솔)</t>
        </is>
      </c>
      <c r="B99" s="210" t="n"/>
      <c r="C99" s="210" t="n"/>
      <c r="D99" s="210" t="n"/>
      <c r="E99" s="211" t="n"/>
      <c r="F99" s="211" t="n"/>
      <c r="G99" s="212" t="n"/>
      <c r="H99" s="213" t="n"/>
    </row>
    <row r="100">
      <c r="A100" s="214" t="n"/>
      <c r="B100" s="214" t="inlineStr">
        <is>
          <t>O1 대시보드</t>
        </is>
      </c>
      <c r="C100" s="214" t="n"/>
      <c r="D100" s="214" t="n"/>
      <c r="E100" s="215" t="inlineStr">
        <is>
          <t>핵심 지표·파이프라인·비용·품질 모니터</t>
        </is>
      </c>
      <c r="F100" s="215" t="inlineStr">
        <is>
          <t>12월</t>
        </is>
      </c>
      <c r="G100" s="216" t="n"/>
      <c r="H100" s="217" t="inlineStr">
        <is>
          <t>A-DSH-01~05</t>
        </is>
      </c>
    </row>
    <row r="101">
      <c r="A101" s="214" t="n"/>
      <c r="B101" s="214" t="inlineStr">
        <is>
          <t>O2 작업 운영</t>
        </is>
      </c>
      <c r="C101" s="214" t="n"/>
      <c r="D101" s="214" t="n"/>
      <c r="E101" s="215" t="inlineStr">
        <is>
          <t>전체 작업 조회·재시도·취소·실패 분석</t>
        </is>
      </c>
      <c r="F101" s="215" t="inlineStr">
        <is>
          <t>열람 사유 미입력 시 차단, 민감 정보 마스킹</t>
        </is>
      </c>
      <c r="G101" s="216" t="inlineStr">
        <is>
          <t>12월</t>
        </is>
      </c>
      <c r="H101" s="217" t="inlineStr">
        <is>
          <t>A-OPS-01~05</t>
        </is>
      </c>
    </row>
    <row r="102">
      <c r="A102" s="214" t="n"/>
      <c r="B102" s="214" t="inlineStr">
        <is>
          <t>O3 마스터 데이터</t>
        </is>
      </c>
      <c r="C102" s="214" t="n"/>
      <c r="D102" s="214" t="n"/>
      <c r="E102" s="215" t="inlineStr">
        <is>
          <t>규격·규제 사전·현지 부적합 사전·용어집·카테고리·module_spec</t>
        </is>
      </c>
      <c r="F102" s="215" t="inlineStr">
        <is>
          <t>MVP는 시드 스크립트 주입 — 화면 없이 DB 직접 조회. 편집 콘솔은 12월</t>
        </is>
      </c>
      <c r="G102" s="216" t="inlineStr">
        <is>
          <t>12월</t>
        </is>
      </c>
      <c r="H102" s="217" t="inlineStr">
        <is>
          <t>F-CH-01 · F-TRN-06 · 07 · A-CFG-01~06</t>
        </is>
      </c>
    </row>
    <row r="103" ht="25.5" customHeight="1">
      <c r="A103" s="214" t="n"/>
      <c r="B103" s="214" t="inlineStr">
        <is>
          <t>O4 계정 · 감사</t>
        </is>
      </c>
      <c r="C103" s="214" t="n"/>
      <c r="D103" s="214" t="n"/>
      <c r="E103" s="215" t="inlineStr">
        <is>
          <t>계정 관리 · 운영자 권한 · 감사 로그 조회</t>
        </is>
      </c>
      <c r="F103" s="215" t="inlineStr">
        <is>
          <t>감사 로그 기록(A-ACC-03)은 화면 없이 9월부터 동작. 로그 삭제 불가</t>
        </is>
      </c>
      <c r="G103" s="216" t="inlineStr">
        <is>
          <t>12월</t>
        </is>
      </c>
      <c r="H103" s="217" t="inlineStr">
        <is>
          <t>A-ACC-01~03a · F-ORG-01~03</t>
        </is>
      </c>
    </row>
    <row r="104">
      <c r="A104" s="214" t="n"/>
      <c r="B104" s="214" t="inlineStr">
        <is>
          <t>O5 품질 개선</t>
        </is>
      </c>
      <c r="C104" s="214" t="n"/>
      <c r="D104" s="214" t="n"/>
      <c r="E104" s="215" t="inlineStr">
        <is>
          <t>사용자 수정 신호 수집·라벨링·분석</t>
        </is>
      </c>
      <c r="F104" s="215" t="inlineStr">
        <is>
          <t>수집(A-QA-01)은 화면 없이 9월부터 동작 — 소급 불가</t>
        </is>
      </c>
      <c r="G104" s="216" t="inlineStr">
        <is>
          <t>12월</t>
        </is>
      </c>
      <c r="H104" s="217" t="inlineStr">
        <is>
          <t>A-QA-01~03</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170"/>
  <sheetViews>
    <sheetView showGridLines="0" tabSelected="1" zoomScale="55" zoomScaleNormal="55" workbookViewId="0">
      <pane ySplit="5" topLeftCell="A44" activePane="bottomLeft" state="frozen"/>
      <selection pane="bottomLeft" activeCell="K47" sqref="K47"/>
    </sheetView>
  </sheetViews>
  <sheetFormatPr baseColWidth="8" defaultColWidth="14.42578125" defaultRowHeight="15"/>
  <cols>
    <col width="12" customWidth="1" min="1" max="1"/>
    <col width="16.28515625" customWidth="1" min="2" max="2"/>
    <col width="8" customWidth="1" min="3" max="3"/>
    <col width="26" customWidth="1" min="4" max="4"/>
    <col width="65.42578125" customWidth="1" min="5" max="5"/>
    <col width="8" customWidth="1" min="6" max="7"/>
    <col width="10.140625" customWidth="1" style="247" min="8" max="8"/>
    <col width="46" customWidth="1" min="9" max="9"/>
    <col width="55.42578125" customWidth="1" min="10" max="10"/>
    <col width="34" customWidth="1" min="11" max="11"/>
    <col width="60" customWidth="1" min="12" max="12"/>
    <col width="35.140625" customWidth="1" min="13" max="13"/>
  </cols>
  <sheetData>
    <row r="1" ht="21" customHeight="1">
      <c r="A1" s="17" t="inlineStr">
        <is>
          <t>02. 기능 명세 (Functional Requirements) — v3.2.1</t>
        </is>
      </c>
      <c r="B1" s="2" t="n"/>
      <c r="C1" s="2" t="n"/>
      <c r="D1" s="2" t="n"/>
      <c r="E1" s="2" t="n"/>
      <c r="F1" s="2" t="n"/>
      <c r="G1" s="2" t="n"/>
      <c r="I1" s="2" t="n"/>
      <c r="J1" s="2" t="n"/>
      <c r="K1" s="2" t="n"/>
      <c r="M1" s="2" t="n"/>
      <c r="N1" s="2" t="n"/>
      <c r="O1" s="2" t="n"/>
      <c r="P1" s="2" t="n"/>
      <c r="Q1" s="2" t="n"/>
      <c r="R1" s="2" t="n"/>
      <c r="S1" s="2" t="n"/>
      <c r="T1" s="2" t="n"/>
      <c r="U1" s="2" t="n"/>
      <c r="V1" s="2" t="n"/>
      <c r="W1" s="2" t="n"/>
      <c r="X1" s="2" t="n"/>
      <c r="Y1" s="2" t="n"/>
      <c r="Z1" s="2" t="n"/>
      <c r="AA1" s="2" t="n"/>
    </row>
    <row r="2" ht="15" customHeight="1">
      <c r="A2" s="18" t="inlineStr">
        <is>
          <t>★ = 핵심 기능 · P0=MVP 필수 / P1=MVP 권장 / P2=Phase2 / P3=Phase3 · must=MVP(10/1) / should=12월(12/11) / could=여유 시 / won't=미구현</t>
        </is>
      </c>
      <c r="B2" s="2" t="n"/>
      <c r="C2" s="2" t="n"/>
      <c r="D2" s="2" t="n"/>
      <c r="E2" s="2" t="n"/>
      <c r="F2" s="2" t="n"/>
      <c r="G2" s="2" t="n"/>
      <c r="I2" s="2" t="n"/>
      <c r="J2" s="2" t="n"/>
      <c r="K2" s="2" t="n"/>
      <c r="M2" s="2" t="n"/>
      <c r="N2" s="2" t="n"/>
      <c r="O2" s="2" t="n"/>
      <c r="P2" s="2" t="n"/>
      <c r="Q2" s="2" t="n"/>
      <c r="R2" s="2" t="n"/>
      <c r="S2" s="2" t="n"/>
      <c r="T2" s="2" t="n"/>
      <c r="U2" s="2" t="n"/>
      <c r="V2" s="2" t="n"/>
      <c r="W2" s="2" t="n"/>
      <c r="X2" s="2" t="n"/>
      <c r="Y2" s="2" t="n"/>
      <c r="Z2" s="2" t="n"/>
      <c r="AA2" s="2" t="n"/>
    </row>
    <row r="3" ht="15" customHeight="1">
      <c r="A3" s="19" t="inlineStr">
        <is>
          <t>색상 범례 — [행 C~M열] ★연하늘 = v3.2.1 수정. v3.0·v3.2의 변경 표시 색은 v3.2.1에서 전부 해제했다 — 이전 개정의 변경 내역은 M열(변경 이력)이 소유한다 / [A~B열] 대분류 구분색(변경 표시 아님) · 폐기 행은 12_폐기기능 시트가 소유한다 / ※ 9/1: 잔존 행의 화면 열 구 S번호를 N번호로 일괄 교체(S1·S5→N1, S4·S6→N4, S7→N5, S8→N6). 표기 단순 갱신이므로 행별 변경 표시는 하지 않는다 — S0(프로세스 바)은 유효 ID로 유지.</t>
        </is>
      </c>
      <c r="B3" s="2" t="n"/>
      <c r="C3" s="2" t="n"/>
      <c r="D3" s="2" t="n"/>
      <c r="E3" s="2" t="n"/>
      <c r="F3" s="2" t="n"/>
      <c r="G3" s="2" t="n"/>
      <c r="I3" s="2" t="n"/>
      <c r="J3" s="2" t="n"/>
      <c r="K3" s="2" t="n"/>
      <c r="M3" s="2" t="n"/>
      <c r="N3" s="2" t="n"/>
      <c r="O3" s="2" t="n"/>
      <c r="P3" s="2" t="n"/>
      <c r="Q3" s="2" t="n"/>
      <c r="R3" s="2" t="n"/>
      <c r="S3" s="2" t="n"/>
      <c r="T3" s="2" t="n"/>
      <c r="U3" s="2" t="n"/>
      <c r="V3" s="2" t="n"/>
      <c r="W3" s="2" t="n"/>
      <c r="X3" s="2" t="n"/>
      <c r="Y3" s="2" t="n"/>
      <c r="Z3" s="2" t="n"/>
      <c r="AA3" s="2" t="n"/>
    </row>
    <row r="4" ht="17.25" customHeight="1">
      <c r="A4" s="6" t="n"/>
      <c r="B4" s="6" t="n"/>
      <c r="C4" s="6" t="n"/>
      <c r="D4" s="6" t="n"/>
      <c r="E4" s="6" t="n"/>
      <c r="F4" s="6" t="n"/>
      <c r="G4" s="6" t="n"/>
      <c r="H4" s="248" t="n"/>
      <c r="I4" s="6" t="n"/>
      <c r="J4" s="6" t="n"/>
      <c r="K4" s="6" t="n"/>
      <c r="M4" s="20" t="inlineStr">
        <is>
          <t>변경 이력</t>
        </is>
      </c>
      <c r="N4" s="6" t="n"/>
      <c r="O4" s="6" t="n"/>
      <c r="P4" s="6" t="n"/>
      <c r="Q4" s="6" t="n"/>
      <c r="R4" s="6" t="n"/>
      <c r="S4" s="6" t="n"/>
      <c r="T4" s="6" t="n"/>
      <c r="U4" s="6" t="n"/>
      <c r="V4" s="6" t="n"/>
      <c r="W4" s="6" t="n"/>
      <c r="X4" s="6" t="n"/>
      <c r="Y4" s="6" t="n"/>
      <c r="Z4" s="6" t="n"/>
      <c r="AA4" s="6" t="n"/>
    </row>
    <row r="5" ht="31.5" customHeight="1">
      <c r="A5" s="21" t="inlineStr">
        <is>
          <t>기능 ID</t>
        </is>
      </c>
      <c r="B5" s="22" t="inlineStr">
        <is>
          <t>대분류</t>
        </is>
      </c>
      <c r="C5" s="21" t="inlineStr">
        <is>
          <t>화면</t>
        </is>
      </c>
      <c r="D5" s="21" t="inlineStr">
        <is>
          <t>기능명</t>
        </is>
      </c>
      <c r="E5" s="21" t="inlineStr">
        <is>
          <t>상세 요구사항</t>
        </is>
      </c>
      <c r="F5" s="21" t="inlineStr">
        <is>
          <t>우선순위</t>
        </is>
      </c>
      <c r="G5" s="21" t="inlineStr">
        <is>
          <t>릴리스</t>
        </is>
      </c>
      <c r="H5" s="23" t="inlineStr">
        <is>
          <t>MVP</t>
        </is>
      </c>
      <c r="I5" s="21" t="inlineStr">
        <is>
          <t>수용 기준</t>
        </is>
      </c>
      <c r="J5" s="21" t="inlineStr">
        <is>
          <t>예외 처리</t>
        </is>
      </c>
      <c r="K5" s="21" t="inlineStr">
        <is>
          <t>의존성</t>
        </is>
      </c>
      <c r="L5" s="21" t="inlineStr">
        <is>
          <t>근거 · 기각 기록</t>
        </is>
      </c>
      <c r="M5" s="24" t="inlineStr">
        <is>
          <t>변경 이력</t>
        </is>
      </c>
      <c r="N5" s="6" t="n"/>
      <c r="O5" s="6" t="n"/>
      <c r="P5" s="6" t="n"/>
      <c r="Q5" s="6" t="n"/>
      <c r="R5" s="6" t="n"/>
      <c r="S5" s="6" t="n"/>
      <c r="T5" s="6" t="n"/>
      <c r="U5" s="6" t="n"/>
      <c r="V5" s="6" t="n"/>
      <c r="W5" s="6" t="n"/>
      <c r="X5" s="6" t="n"/>
      <c r="Y5" s="6" t="n"/>
      <c r="Z5" s="6" t="n"/>
      <c r="AA5" s="6" t="n"/>
    </row>
    <row r="6" ht="45" customHeight="1">
      <c r="A6" s="25" t="inlineStr">
        <is>
          <t>F-ACC-01</t>
        </is>
      </c>
      <c r="B6" s="26" t="inlineStr">
        <is>
          <t>공통·계정</t>
        </is>
      </c>
      <c r="C6" s="5" t="inlineStr">
        <is>
          <t>G1</t>
        </is>
      </c>
      <c r="D6" s="9" t="inlineStr">
        <is>
          <t>셀러 로그인 / 인증</t>
        </is>
      </c>
      <c r="E6" s="5" t="inlineStr">
        <is>
          <t>로그인과 세션을 관리하고 세션 만료 시 재인증을 요구한다 — 인증 수단은 구현이 정한다.</t>
        </is>
      </c>
      <c r="F6" s="31" t="inlineStr">
        <is>
          <t>P0</t>
        </is>
      </c>
      <c r="G6" s="31" t="inlineStr">
        <is>
          <t>must</t>
        </is>
      </c>
      <c r="H6" s="268" t="inlineStr">
        <is>
          <t>O</t>
        </is>
      </c>
      <c r="I6" s="9" t="inlineStr">
        <is>
          <t>① 로그인 시 인증 토큰 발급 ② 만료 토큰 호출 시 401 ③ 로그아웃 시 토큰 무효화</t>
        </is>
      </c>
      <c r="J6" s="9" t="inlineStr">
        <is>
          <t>세션 만료 시 재로그인을 요구한다. MVP는 임시 저장·복원을 지원하지 않으므로 진행 중이던 작업은 유지되지 않음을 사전에 안내한다</t>
        </is>
      </c>
      <c r="K6" s="5" t="inlineStr">
        <is>
          <t>v1.8 · 이메일 로그인만. 소셜 로그인(F-ACC-05)은 12월 · 셀러:브랜드는 MVP에서 1:1</t>
        </is>
      </c>
      <c r="L6" s="5" t="inlineStr">
        <is>
          <t>【근거】 인증 기반 — Amazon Cognito · JWT 발급·검증. 9/2 — 인증 수단을 요건에서 구현으로 이관</t>
        </is>
      </c>
      <c r="M6" s="31" t="n"/>
      <c r="N6" s="6" t="n"/>
      <c r="O6" s="6" t="n"/>
      <c r="P6" s="6" t="n"/>
      <c r="Q6" s="6" t="n"/>
      <c r="R6" s="6" t="n"/>
      <c r="S6" s="6" t="n"/>
      <c r="T6" s="6" t="n"/>
      <c r="U6" s="6" t="n"/>
      <c r="V6" s="6" t="n"/>
      <c r="W6" s="6" t="n"/>
      <c r="X6" s="6" t="n"/>
      <c r="Y6" s="6" t="n"/>
      <c r="Z6" s="6" t="n"/>
      <c r="AA6" s="6" t="n"/>
    </row>
    <row r="7" ht="72.75" customHeight="1">
      <c r="A7" s="25" t="inlineStr">
        <is>
          <t>F-ACC-05</t>
        </is>
      </c>
      <c r="B7" s="26" t="inlineStr">
        <is>
          <t>공통·계정</t>
        </is>
      </c>
      <c r="C7" s="5" t="inlineStr">
        <is>
          <t>G1</t>
        </is>
      </c>
      <c r="D7" s="9" t="inlineStr">
        <is>
          <t>소셜 회원가입 / 로그인</t>
        </is>
      </c>
      <c r="E7" s="9" t="inlineStr">
        <is>
          <t>카카오·구글 OAuth로 인증한다. 소셜 인증에는 회원가입과 로그인의 구분이 없으므로, 인증 후 조회 결과로 분기한다. 등록된 계정이면 로그인, 없으면 신규 가입으로 이어 계정 성격 선택 단계로 보낸다. 계정 식별자는 이메일이 아니라 제공자+제공자 회원번호 조합을 사용한다.</t>
        </is>
      </c>
      <c r="F7" s="31" t="inlineStr">
        <is>
          <t>P0</t>
        </is>
      </c>
      <c r="G7" s="31" t="inlineStr">
        <is>
          <t>should</t>
        </is>
      </c>
      <c r="H7" s="268" t="inlineStr">
        <is>
          <t>X</t>
        </is>
      </c>
      <c r="I7" s="9" t="inlineStr">
        <is>
          <t>① 카카오·구글 인증 성공 시 세션 발급 ② 기존 계정은 로그인으로 분기 ③ 신규는 가입 흐름 진입 ④ 동일 이메일이 다른 제공자로 인증한 경우 별개 계정</t>
        </is>
      </c>
      <c r="J7" s="9" t="inlineStr">
        <is>
          <t>제공자 인증 실패 시 원인 코드와 재시도 안내를 표시한다</t>
        </is>
      </c>
      <c r="K7" s="5" t="inlineStr">
        <is>
          <t>v1.8 이월 · 시연은 이메일 로그인으로 충분</t>
        </is>
      </c>
      <c r="L7" s="246" t="n"/>
      <c r="M7" s="31" t="n"/>
      <c r="N7" s="6" t="n"/>
      <c r="O7" s="6" t="n"/>
      <c r="P7" s="6" t="n"/>
      <c r="Q7" s="6" t="n"/>
      <c r="R7" s="6" t="n"/>
      <c r="S7" s="6" t="n"/>
      <c r="T7" s="6" t="n"/>
      <c r="U7" s="6" t="n"/>
      <c r="V7" s="6" t="n"/>
      <c r="W7" s="6" t="n"/>
      <c r="X7" s="6" t="n"/>
      <c r="Y7" s="6" t="n"/>
      <c r="Z7" s="6" t="n"/>
      <c r="AA7" s="6" t="n"/>
    </row>
    <row r="8" ht="31.5" customHeight="1">
      <c r="A8" s="25" t="inlineStr">
        <is>
          <t>F-ACC-02</t>
        </is>
      </c>
      <c r="B8" s="26" t="inlineStr">
        <is>
          <t>공통·계정</t>
        </is>
      </c>
      <c r="C8" s="9" t="inlineStr">
        <is>
          <t>전역</t>
        </is>
      </c>
      <c r="D8" s="9" t="inlineStr">
        <is>
          <t>셀러 : 브랜드 1:N 구조</t>
        </is>
      </c>
      <c r="E8" s="5" t="inlineStr">
        <is>
          <t>1개 셀러 계정이 복수 브랜드를 보유·전환. 상단에 현재 브랜드 컨텍스트 표시.</t>
        </is>
      </c>
      <c r="F8" s="31" t="inlineStr">
        <is>
          <t>P0</t>
        </is>
      </c>
      <c r="G8" s="31" t="inlineStr">
        <is>
          <t>should</t>
        </is>
      </c>
      <c r="H8" s="268" t="inlineStr">
        <is>
          <t>X</t>
        </is>
      </c>
      <c r="I8" s="9" t="inlineStr">
        <is>
          <t>① 브랜드 추가 ② 전환 시 목록 필터링 ③ 브랜드 간 데이터 미노출</t>
        </is>
      </c>
      <c r="J8" s="9" t="inlineStr">
        <is>
          <t>작업 진행 중 브랜드 전환 시도 시 차단하고 저장 후 전환하도록 안내</t>
        </is>
      </c>
      <c r="K8" s="5" t="inlineStr">
        <is>
          <t>v1.8 이월 · 시연은 브랜드 1개, 셀러:브랜드 1:1로 운용</t>
        </is>
      </c>
      <c r="L8" s="5" t="n"/>
      <c r="M8" s="31" t="n"/>
      <c r="N8" s="6" t="n"/>
      <c r="O8" s="6" t="n"/>
      <c r="P8" s="6" t="n"/>
      <c r="Q8" s="6" t="n"/>
      <c r="R8" s="6" t="n"/>
      <c r="S8" s="6" t="n"/>
      <c r="T8" s="6" t="n"/>
      <c r="U8" s="6" t="n"/>
      <c r="V8" s="6" t="n"/>
      <c r="W8" s="6" t="n"/>
      <c r="X8" s="6" t="n"/>
      <c r="Y8" s="6" t="n"/>
      <c r="Z8" s="6" t="n"/>
      <c r="AA8" s="6" t="n"/>
    </row>
    <row r="9" ht="58.5" customHeight="1">
      <c r="A9" s="25" t="inlineStr">
        <is>
          <t>F-ACC-02a</t>
        </is>
      </c>
      <c r="B9" s="26" t="inlineStr">
        <is>
          <t>공통·계정</t>
        </is>
      </c>
      <c r="C9" s="5" t="inlineStr">
        <is>
          <t>M2</t>
        </is>
      </c>
      <c r="D9" s="9" t="inlineStr">
        <is>
          <t>★브랜드 중복 등록 방지</t>
        </is>
      </c>
      <c r="E9" s="9" t="inlineStr">
        <is>
          <t>동일 셀러 계정 안에서 같은 브랜드를 두 번 등록할 수 없다. 브랜드명(한글명·영문명)을 기준으로 중복을 판정하며, 공백·대소문자·특수문자를 정규화한 뒤 비교한다. 중복이 감지되면 등록을 차단하고 기존 브랜드를 안내한다.</t>
        </is>
      </c>
      <c r="F9" s="31" t="inlineStr">
        <is>
          <t>P0</t>
        </is>
      </c>
      <c r="G9" s="31" t="inlineStr">
        <is>
          <t>should</t>
        </is>
      </c>
      <c r="H9" s="268" t="inlineStr">
        <is>
          <t>X</t>
        </is>
      </c>
      <c r="I9" s="9" t="inlineStr">
        <is>
          <t>① 동일 셀러 내 한글명 중복 시 등록 차단 ② 영문명 중복 시에도 차단 ③ 공백·대소문자만 다른 입력도 중복으로 판정 ④ 기존 브랜드로 이동하는 경로 제공</t>
        </is>
      </c>
      <c r="J9" s="9" t="inlineStr">
        <is>
          <t>다른 셀러 계정이 같은 브랜드명을 쓰는 것은 허용한다. 수정 시 자기 자신은 중복 대상에서 제외한다</t>
        </is>
      </c>
      <c r="K9" s="5" t="inlineStr">
        <is>
          <t>v1.8 이월 · F-ACC-02와 함께 이월</t>
        </is>
      </c>
      <c r="L9" s="246" t="n"/>
      <c r="M9" s="31" t="n"/>
      <c r="N9" s="6" t="n"/>
      <c r="O9" s="6" t="n"/>
      <c r="P9" s="6" t="n"/>
      <c r="Q9" s="6" t="n"/>
      <c r="R9" s="6" t="n"/>
      <c r="S9" s="6" t="n"/>
      <c r="T9" s="6" t="n"/>
      <c r="U9" s="6" t="n"/>
      <c r="V9" s="6" t="n"/>
      <c r="W9" s="6" t="n"/>
      <c r="X9" s="6" t="n"/>
      <c r="Y9" s="6" t="n"/>
      <c r="Z9" s="6" t="n"/>
      <c r="AA9" s="6" t="n"/>
    </row>
    <row r="10" ht="31.5" customHeight="1">
      <c r="A10" s="25" t="inlineStr">
        <is>
          <t>F-ACC-03</t>
        </is>
      </c>
      <c r="B10" s="26" t="inlineStr">
        <is>
          <t>공통·계정</t>
        </is>
      </c>
      <c r="C10" s="9" t="inlineStr">
        <is>
          <t>전역</t>
        </is>
      </c>
      <c r="D10" s="9" t="inlineStr">
        <is>
          <t>권한 구분 (일반 / 관리자)</t>
        </is>
      </c>
      <c r="E10" s="9" t="inlineStr">
        <is>
          <t>일반 사용자는 보관함까지, 팀 관리자는 작업관리 화면 접근.</t>
        </is>
      </c>
      <c r="F10" s="31" t="inlineStr">
        <is>
          <t>P1</t>
        </is>
      </c>
      <c r="G10" s="31" t="inlineStr">
        <is>
          <t>could</t>
        </is>
      </c>
      <c r="H10" s="268" t="inlineStr">
        <is>
          <t>X</t>
        </is>
      </c>
      <c r="I10" s="9" t="inlineStr">
        <is>
          <t>① 일반 계정 작업관리 접근 차단 ② 관리자는 전체 브랜드 조회</t>
        </is>
      </c>
      <c r="J10" s="9" t="inlineStr">
        <is>
          <t>권한 없는 URL 직접 접근 시 403 페이지로 이동</t>
        </is>
      </c>
      <c r="K10" s="5" t="inlineStr">
        <is>
          <t>OI-08</t>
        </is>
      </c>
      <c r="L10" s="5" t="n"/>
      <c r="M10" s="31" t="n"/>
      <c r="N10" s="6" t="n"/>
      <c r="O10" s="6" t="n"/>
      <c r="P10" s="6" t="n"/>
      <c r="Q10" s="6" t="n"/>
      <c r="R10" s="6" t="n"/>
      <c r="S10" s="6" t="n"/>
      <c r="T10" s="6" t="n"/>
      <c r="U10" s="6" t="n"/>
      <c r="V10" s="6" t="n"/>
      <c r="W10" s="6" t="n"/>
      <c r="X10" s="6" t="n"/>
      <c r="Y10" s="6" t="n"/>
      <c r="Z10" s="6" t="n"/>
      <c r="AA10" s="6" t="n"/>
    </row>
    <row r="11" ht="31.5" customHeight="1">
      <c r="A11" s="25" t="inlineStr">
        <is>
          <t>F-ACC-04</t>
        </is>
      </c>
      <c r="B11" s="26" t="inlineStr">
        <is>
          <t>공통·계정</t>
        </is>
      </c>
      <c r="C11" s="9" t="inlineStr">
        <is>
          <t>전역</t>
        </is>
      </c>
      <c r="D11" s="9" t="inlineStr">
        <is>
          <t>책임 한계 고지 및 동의 이력</t>
        </is>
      </c>
      <c r="E11" s="9" t="inlineStr">
        <is>
          <t>인증·시험 결과·광고 문구·인증 로고 사용 권한의 책임이 사용자에게 있음을 고지하고 동의 시점을 로그로 저장.</t>
        </is>
      </c>
      <c r="F11" s="31" t="inlineStr">
        <is>
          <t>P0</t>
        </is>
      </c>
      <c r="G11" s="31" t="inlineStr">
        <is>
          <t>must</t>
        </is>
      </c>
      <c r="H11" s="268" t="inlineStr">
        <is>
          <t>O</t>
        </is>
      </c>
      <c r="I11" s="5" t="inlineStr">
        <is>
          <t>① N1 화면 상시 노출 ② 작업 시작 시 타임스탬프 저장</t>
        </is>
      </c>
      <c r="J11" s="9" t="inlineStr">
        <is>
          <t>동의 없이 진행 시도 시 다음 단계 버튼 비활성</t>
        </is>
      </c>
      <c r="K11" s="5" t="inlineStr">
        <is>
          <t>PL-02, PL-08</t>
        </is>
      </c>
      <c r="L11" s="246" t="n"/>
      <c r="M11" s="31" t="inlineStr">
        <is>
          <t>v3.0 수정 — 구 S번호 정정</t>
        </is>
      </c>
      <c r="N11" s="6" t="n"/>
      <c r="O11" s="6" t="n"/>
      <c r="P11" s="6" t="n"/>
      <c r="Q11" s="6" t="n"/>
      <c r="R11" s="6" t="n"/>
      <c r="S11" s="6" t="n"/>
      <c r="T11" s="6" t="n"/>
      <c r="U11" s="6" t="n"/>
      <c r="V11" s="6" t="n"/>
      <c r="W11" s="6" t="n"/>
      <c r="X11" s="6" t="n"/>
      <c r="Y11" s="6" t="n"/>
      <c r="Z11" s="6" t="n"/>
      <c r="AA11" s="6" t="n"/>
    </row>
    <row r="12" ht="31.5" customHeight="1">
      <c r="A12" s="25" t="inlineStr">
        <is>
          <t>F-ACC-06</t>
        </is>
      </c>
      <c r="B12" s="26" t="inlineStr">
        <is>
          <t>공통·계정</t>
        </is>
      </c>
      <c r="C12" s="5" t="inlineStr">
        <is>
          <t>G1</t>
        </is>
      </c>
      <c r="D12" s="9" t="inlineStr">
        <is>
          <t>계정 성격 선택</t>
        </is>
      </c>
      <c r="E12" s="9" t="inlineStr">
        <is>
          <t>회원가입 후 '기업 코드 입력하기' 또는 '관리자 계정으로 계속하기'를 선택한다.</t>
        </is>
      </c>
      <c r="F12" s="31" t="inlineStr">
        <is>
          <t>P2</t>
        </is>
      </c>
      <c r="G12" s="31" t="inlineStr">
        <is>
          <t>could</t>
        </is>
      </c>
      <c r="H12" s="268" t="inlineStr">
        <is>
          <t>X</t>
        </is>
      </c>
      <c r="I12" s="9" t="inlineStr">
        <is>
          <t>① 가입 직후 1회 노출 ② 선택 결과가 계정에 저장</t>
        </is>
      </c>
      <c r="J12" s="9" t="inlineStr">
        <is>
          <t>미선택 시 개인 셀러로 기본 설정</t>
        </is>
      </c>
      <c r="K12" s="5" t="inlineStr">
        <is>
          <t>F-ORG 계통 전제</t>
        </is>
      </c>
      <c r="L12" s="5" t="n"/>
      <c r="M12" s="31" t="n"/>
      <c r="N12" s="6" t="n"/>
      <c r="O12" s="6" t="n"/>
      <c r="P12" s="6" t="n"/>
      <c r="Q12" s="6" t="n"/>
      <c r="R12" s="6" t="n"/>
      <c r="S12" s="6" t="n"/>
      <c r="T12" s="6" t="n"/>
      <c r="U12" s="6" t="n"/>
      <c r="V12" s="6" t="n"/>
      <c r="W12" s="6" t="n"/>
      <c r="X12" s="6" t="n"/>
      <c r="Y12" s="6" t="n"/>
      <c r="Z12" s="6" t="n"/>
      <c r="AA12" s="6" t="n"/>
    </row>
    <row r="13" ht="31.5" customHeight="1">
      <c r="A13" s="25" t="inlineStr">
        <is>
          <t>F-ACC-07</t>
        </is>
      </c>
      <c r="B13" s="26" t="inlineStr">
        <is>
          <t>공통·계정</t>
        </is>
      </c>
      <c r="C13" s="5" t="inlineStr">
        <is>
          <t>G1</t>
        </is>
      </c>
      <c r="D13" s="9" t="inlineStr">
        <is>
          <t>직원–기업 연동</t>
        </is>
      </c>
      <c r="E13" s="9" t="inlineStr">
        <is>
          <t>기업 코드 입력 시 해당 계정을 기업 소속으로 전환한다.</t>
        </is>
      </c>
      <c r="F13" s="31" t="inlineStr">
        <is>
          <t>P2</t>
        </is>
      </c>
      <c r="G13" s="31" t="inlineStr">
        <is>
          <t>could</t>
        </is>
      </c>
      <c r="H13" s="268" t="inlineStr">
        <is>
          <t>X</t>
        </is>
      </c>
      <c r="I13" s="9" t="inlineStr">
        <is>
          <t>① 유효 코드 입력 시 소속 반영 ② 무효 코드는 거부</t>
        </is>
      </c>
      <c r="J13" s="9" t="inlineStr">
        <is>
          <t>만료·폐기된 코드는 사유를 안내</t>
        </is>
      </c>
      <c r="K13" s="5" t="n"/>
      <c r="L13" s="246" t="n"/>
      <c r="M13" s="31" t="n"/>
      <c r="N13" s="6" t="n"/>
      <c r="O13" s="6" t="n"/>
      <c r="P13" s="6" t="n"/>
      <c r="Q13" s="6" t="n"/>
      <c r="R13" s="6" t="n"/>
      <c r="S13" s="6" t="n"/>
      <c r="T13" s="6" t="n"/>
      <c r="U13" s="6" t="n"/>
      <c r="V13" s="6" t="n"/>
      <c r="W13" s="6" t="n"/>
      <c r="X13" s="6" t="n"/>
      <c r="Y13" s="6" t="n"/>
      <c r="Z13" s="6" t="n"/>
      <c r="AA13" s="6" t="n"/>
    </row>
    <row r="14" ht="31.5" customHeight="1">
      <c r="A14" s="25" t="inlineStr">
        <is>
          <t>F-ACC-08</t>
        </is>
      </c>
      <c r="B14" s="26" t="inlineStr">
        <is>
          <t>공통·계정</t>
        </is>
      </c>
      <c r="C14" s="5" t="inlineStr">
        <is>
          <t>G1</t>
        </is>
      </c>
      <c r="D14" s="9" t="inlineStr">
        <is>
          <t>기업 관리자 권한 부여</t>
        </is>
      </c>
      <c r="E14" s="9" t="inlineStr">
        <is>
          <t>관리자 계정으로 계속하기 선택 시 해당 계정에 셀러(기업) 관리자 권한을 부여한다.</t>
        </is>
      </c>
      <c r="F14" s="31" t="inlineStr">
        <is>
          <t>P2</t>
        </is>
      </c>
      <c r="G14" s="31" t="inlineStr">
        <is>
          <t>could</t>
        </is>
      </c>
      <c r="H14" s="268" t="inlineStr">
        <is>
          <t>X</t>
        </is>
      </c>
      <c r="I14" s="9" t="inlineStr">
        <is>
          <t>① 관리자 권한 부여 ② 조직 생성</t>
        </is>
      </c>
      <c r="J14" s="9" t="inlineStr">
        <is>
          <t>이미 다른 조직 소속이면 차단</t>
        </is>
      </c>
      <c r="K14" s="5" t="n"/>
      <c r="L14" s="5" t="n"/>
      <c r="M14" s="31" t="n"/>
      <c r="N14" s="6" t="n"/>
      <c r="O14" s="6" t="n"/>
      <c r="P14" s="6" t="n"/>
      <c r="Q14" s="6" t="n"/>
      <c r="R14" s="6" t="n"/>
      <c r="S14" s="6" t="n"/>
      <c r="T14" s="6" t="n"/>
      <c r="U14" s="6" t="n"/>
      <c r="V14" s="6" t="n"/>
      <c r="W14" s="6" t="n"/>
      <c r="X14" s="6" t="n"/>
      <c r="Y14" s="6" t="n"/>
      <c r="Z14" s="6" t="n"/>
      <c r="AA14" s="6" t="n"/>
    </row>
    <row r="15" ht="31.5" customHeight="1">
      <c r="A15" s="33" t="inlineStr">
        <is>
          <t>F-ORG-01</t>
        </is>
      </c>
      <c r="B15" s="34" t="inlineStr">
        <is>
          <t>조직 관리</t>
        </is>
      </c>
      <c r="C15" s="35" t="inlineStr">
        <is>
          <t>O4</t>
        </is>
      </c>
      <c r="D15" s="36" t="inlineStr">
        <is>
          <t>직원 관리</t>
        </is>
      </c>
      <c r="E15" s="36" t="inlineStr">
        <is>
          <t>기업 관리자가 소속 직원 목록을 조회하고 소속을 해제한다.</t>
        </is>
      </c>
      <c r="F15" s="37" t="inlineStr">
        <is>
          <t>P2</t>
        </is>
      </c>
      <c r="G15" s="37" t="inlineStr">
        <is>
          <t>could</t>
        </is>
      </c>
      <c r="H15" s="269" t="inlineStr">
        <is>
          <t>X</t>
        </is>
      </c>
      <c r="I15" s="36" t="inlineStr">
        <is>
          <t>① 직원 목록 조회 ② 소속 해제 시 개인 계정으로 전환</t>
        </is>
      </c>
      <c r="J15" s="36" t="inlineStr">
        <is>
          <t>작업 진행 중인 직원은 해제 전 경고</t>
        </is>
      </c>
      <c r="K15" s="35" t="inlineStr">
        <is>
          <t>F-ACC-07 전제</t>
        </is>
      </c>
      <c r="L15" s="246" t="n"/>
      <c r="M15" s="37" t="n"/>
      <c r="N15" s="6" t="n"/>
      <c r="O15" s="6" t="n"/>
      <c r="P15" s="6" t="n"/>
      <c r="Q15" s="6" t="n"/>
      <c r="R15" s="6" t="n"/>
      <c r="S15" s="6" t="n"/>
      <c r="T15" s="6" t="n"/>
      <c r="U15" s="6" t="n"/>
      <c r="V15" s="6" t="n"/>
      <c r="W15" s="6" t="n"/>
      <c r="X15" s="6" t="n"/>
      <c r="Y15" s="6" t="n"/>
      <c r="Z15" s="6" t="n"/>
      <c r="AA15" s="6" t="n"/>
    </row>
    <row r="16" ht="31.5" customHeight="1">
      <c r="A16" s="39" t="inlineStr">
        <is>
          <t>F-ORG-02</t>
        </is>
      </c>
      <c r="B16" s="40" t="inlineStr">
        <is>
          <t>조직 관리</t>
        </is>
      </c>
      <c r="C16" s="5" t="inlineStr">
        <is>
          <t>O4</t>
        </is>
      </c>
      <c r="D16" s="9" t="inlineStr">
        <is>
          <t>코드 발급 / 재발급</t>
        </is>
      </c>
      <c r="E16" s="9" t="inlineStr">
        <is>
          <t>기업 관리자가 직원 연동용 코드를 발급·재발급한다. 재발급 시 이전 코드는 즉시 무효화한다.</t>
        </is>
      </c>
      <c r="F16" s="31" t="inlineStr">
        <is>
          <t>P2</t>
        </is>
      </c>
      <c r="G16" s="31" t="inlineStr">
        <is>
          <t>could</t>
        </is>
      </c>
      <c r="H16" s="268" t="inlineStr">
        <is>
          <t>X</t>
        </is>
      </c>
      <c r="I16" s="9" t="inlineStr">
        <is>
          <t>① 코드 발급 ② 재발급 시 구 코드 무효 ③ 유효기간 표시</t>
        </is>
      </c>
      <c r="J16" s="9" t="inlineStr">
        <is>
          <t>무효 코드로 연동 시도 시 거부</t>
        </is>
      </c>
      <c r="K16" s="5" t="n"/>
      <c r="L16" s="5" t="n"/>
      <c r="M16" s="31" t="n"/>
      <c r="N16" s="6" t="n"/>
      <c r="O16" s="6" t="n"/>
      <c r="P16" s="6" t="n"/>
      <c r="Q16" s="6" t="n"/>
      <c r="R16" s="6" t="n"/>
      <c r="S16" s="6" t="n"/>
      <c r="T16" s="6" t="n"/>
      <c r="U16" s="6" t="n"/>
      <c r="V16" s="6" t="n"/>
      <c r="W16" s="6" t="n"/>
      <c r="X16" s="6" t="n"/>
      <c r="Y16" s="6" t="n"/>
      <c r="Z16" s="6" t="n"/>
      <c r="AA16" s="6" t="n"/>
    </row>
    <row r="17" ht="31.5" customHeight="1">
      <c r="A17" s="39" t="inlineStr">
        <is>
          <t>F-ORG-03</t>
        </is>
      </c>
      <c r="B17" s="40" t="inlineStr">
        <is>
          <t>조직 관리</t>
        </is>
      </c>
      <c r="C17" s="5" t="inlineStr">
        <is>
          <t>O4</t>
        </is>
      </c>
      <c r="D17" s="9" t="inlineStr">
        <is>
          <t>기업 관리자 권한 이양</t>
        </is>
      </c>
      <c r="E17" s="9" t="inlineStr">
        <is>
          <t>기업 관리자가 소속 직원 1인에게 관리자 권한을 이양한다. 이양 후 본인은 일반 직원이 된다.</t>
        </is>
      </c>
      <c r="F17" s="31" t="inlineStr">
        <is>
          <t>P2</t>
        </is>
      </c>
      <c r="G17" s="31" t="inlineStr">
        <is>
          <t>could</t>
        </is>
      </c>
      <c r="H17" s="268" t="inlineStr">
        <is>
          <t>X</t>
        </is>
      </c>
      <c r="I17" s="9" t="inlineStr">
        <is>
          <t>① 대상 지정 후 이양 ② 이양 즉시 권한 교체 ③ 감사 로그 기록</t>
        </is>
      </c>
      <c r="J17" s="9" t="inlineStr">
        <is>
          <t>관리자가 1인뿐인 조직에서 탈퇴 시 이양을 강제</t>
        </is>
      </c>
      <c r="K17" s="5" t="inlineStr">
        <is>
          <t>A-ACC-03 연계</t>
        </is>
      </c>
      <c r="L17" s="246" t="n"/>
      <c r="M17" s="31" t="n"/>
      <c r="N17" s="6" t="n"/>
      <c r="O17" s="6" t="n"/>
      <c r="P17" s="6" t="n"/>
      <c r="Q17" s="6" t="n"/>
      <c r="R17" s="6" t="n"/>
      <c r="S17" s="6" t="n"/>
      <c r="T17" s="6" t="n"/>
      <c r="U17" s="6" t="n"/>
      <c r="V17" s="6" t="n"/>
      <c r="W17" s="6" t="n"/>
      <c r="X17" s="6" t="n"/>
      <c r="Y17" s="6" t="n"/>
      <c r="Z17" s="6" t="n"/>
      <c r="AA17" s="6" t="n"/>
    </row>
    <row r="18" ht="81" customHeight="1">
      <c r="A18" s="41" t="inlineStr">
        <is>
          <t>F-NAV-01</t>
        </is>
      </c>
      <c r="B18" s="42" t="inlineStr">
        <is>
          <t>작업 단계 관리</t>
        </is>
      </c>
      <c r="C18" s="36" t="inlineStr">
        <is>
          <t>전역</t>
        </is>
      </c>
      <c r="D18" s="36" t="inlineStr">
        <is>
          <t>★작업 단계 확인</t>
        </is>
      </c>
      <c r="E18" s="270" t="inlineStr">
        <is>
          <t>전 화면 상단에 프로세스 바를 표시해 현재 작업 단계를 확인할 수 있게 한다. 단계는 N1 입력 → N2 분석 → N3 섹션 확인 → N4 번역 → N5 검수 → N6 저장. 완료·현재·미도달 단계를 시각적으로 구분한다. MVP에서는 단계 표시가 전용이며 단계를 선택해 이동할 수 없다. ★프로세스 바 우측에 [X] 작업 취소를 고정한다(F-JOB-07). 예외는 N1로, 아직 작업이 생성되기 전이라 취소할 대상이 없으므로 [X] 대신 「보관함으로 나가기」를 둔다.</t>
        </is>
      </c>
      <c r="F18" s="37" t="inlineStr">
        <is>
          <t>P0</t>
        </is>
      </c>
      <c r="G18" s="37" t="inlineStr">
        <is>
          <t>must</t>
        </is>
      </c>
      <c r="H18" s="269" t="inlineStr">
        <is>
          <t>O</t>
        </is>
      </c>
      <c r="I18" s="36" t="inlineStr">
        <is>
          <t>① 완료·현재·미도달이 구분 표시됨 ② 단계 클릭이 동작하지 않음 ②a ★프로세스 바 우측에 [X]가 전 화면 고정 노출됨(N1 제외) ②b ★N1에는 「보관함으로 나가기」가 대신 노출됨 ③ N1~N6 전 화면에 고정 노출</t>
        </is>
      </c>
      <c r="J18" s="36" t="inlineStr">
        <is>
          <t>단계 클릭 시 아무 동작도 하지 않으며, 이동이 12월 기능임을 툴팁으로 안내한다</t>
        </is>
      </c>
      <c r="K18" s="35" t="inlineStr">
        <is>
          <t>v1.6 수정 · MVP는 표시 전용 · 이동은 F-NAV-02(should)</t>
        </is>
      </c>
      <c r="L18" s="35" t="inlineStr">
        <is>
          <t>【근거】 [X] 전 화면 고정 — 전 화면 상단에 항상 있는 유일한 요소이므로 화면별로 버튼을 관리할 필요가 없어진다</t>
        </is>
      </c>
      <c r="M18" s="37" t="inlineStr">
        <is>
          <t>v3.0 수정 — 단계 체계를 N1~N6으로 재정의 · v3.0 수정 — S0에 [X] 작업 취소 고정 · N1은 나가기로 대체</t>
        </is>
      </c>
      <c r="N18" s="6" t="n"/>
      <c r="O18" s="6" t="n"/>
      <c r="P18" s="6" t="n"/>
      <c r="Q18" s="6" t="n"/>
      <c r="R18" s="6" t="n"/>
      <c r="S18" s="6" t="n"/>
      <c r="T18" s="6" t="n"/>
      <c r="U18" s="6" t="n"/>
      <c r="V18" s="6" t="n"/>
      <c r="W18" s="6" t="n"/>
      <c r="X18" s="6" t="n"/>
      <c r="Y18" s="6" t="n"/>
      <c r="Z18" s="6" t="n"/>
      <c r="AA18" s="6" t="n"/>
    </row>
    <row r="19" ht="72.75" customHeight="1">
      <c r="A19" s="47" t="inlineStr">
        <is>
          <t>F-NAV-02</t>
        </is>
      </c>
      <c r="B19" s="48" t="inlineStr">
        <is>
          <t>작업 단계 관리</t>
        </is>
      </c>
      <c r="C19" s="9" t="inlineStr">
        <is>
          <t>전역</t>
        </is>
      </c>
      <c r="D19" s="9" t="inlineStr">
        <is>
          <t>★이전 단계로 이동</t>
        </is>
      </c>
      <c r="E19" s="9" t="inlineStr">
        <is>
          <t>프로세스 바에서 현재보다 앞선 단계를 선택해 이동할 수 있다. 이동 시 작업 단계가 해당 지점으로 되돌아가며 이후 단계는 다시 진행해야 한다. 다만 이후 산출물을 일괄 삭제하지 않는다. 되돌아가는 것은 진행 상태이고, 삭제되는 것은 이동 지점에 종속된 산출물뿐이다. 무엇이 무효화되고 무엇이 보존되는지는 F-NAV-05의 판정을 따른다.</t>
        </is>
      </c>
      <c r="F19" s="31" t="inlineStr">
        <is>
          <t>P1</t>
        </is>
      </c>
      <c r="G19" s="31" t="inlineStr">
        <is>
          <t>should</t>
        </is>
      </c>
      <c r="H19" s="268" t="inlineStr">
        <is>
          <t>X</t>
        </is>
      </c>
      <c r="I19" s="9" t="inlineStr">
        <is>
          <t>① 현재보다 이전 단계만 선택 가능 ② 이동 시 진행 상태만 되돌아가고 섹션 단위 산출물은 보존됨 ③ 미도달 단계 선택 불가 ④ 재진행 시 보존된 산출물이 재사용됨</t>
        </is>
      </c>
      <c r="J19" s="9" t="inlineStr">
        <is>
          <t>무효화 처리 중 오류 발생 시 이동을 취소하고 원래 단계를 유지</t>
        </is>
      </c>
      <c r="K19" s="5" t="inlineStr">
        <is>
          <t>v1.6 수정 · 단계 되돌림 기능 전체를 12월로 이월 · MVP는 전진 이동만 지원</t>
        </is>
      </c>
      <c r="L19" s="5" t="n"/>
      <c r="M19" s="31" t="inlineStr">
        <is>
          <t>v3.0 수정 — 되돌림 구간·판정을 N1~N6 새 흐름 기준으로 재해석(판정표는 05_상태_정책, 12월 유지) · v3.0 수정 — 단위 조각→섹션</t>
        </is>
      </c>
      <c r="N19" s="6" t="n"/>
      <c r="O19" s="6" t="n"/>
      <c r="P19" s="6" t="n"/>
      <c r="Q19" s="6" t="n"/>
      <c r="R19" s="6" t="n"/>
      <c r="S19" s="6" t="n"/>
      <c r="T19" s="6" t="n"/>
      <c r="U19" s="6" t="n"/>
      <c r="V19" s="6" t="n"/>
      <c r="W19" s="6" t="n"/>
      <c r="X19" s="6" t="n"/>
      <c r="Y19" s="6" t="n"/>
      <c r="Z19" s="6" t="n"/>
      <c r="AA19" s="6" t="n"/>
    </row>
    <row r="20" ht="72.75" customHeight="1">
      <c r="A20" s="47" t="inlineStr">
        <is>
          <t>F-NAV-03</t>
        </is>
      </c>
      <c r="B20" s="48" t="inlineStr">
        <is>
          <t>작업 단계 관리</t>
        </is>
      </c>
      <c r="C20" s="5" t="inlineStr">
        <is>
          <t>S0</t>
        </is>
      </c>
      <c r="D20" s="9" t="inlineStr">
        <is>
          <t>★되돌림 경고 모달</t>
        </is>
      </c>
      <c r="E20" s="9" t="inlineStr">
        <is>
          <t>되돌림 실행 전, 무효화되는 산출물과 초기화되는 실행취소 이력을 구체적으로 열거한 모달을 표시한다. '이후 작업이 모두 사라집니다'와 같은 포괄 문구를 쓰지 않고, F-NAV-05의 판정 결과를 그대로 문장화한다. 예: '배경 가공을 다시 생성합니다. 실행취소 이력이 초기화됩니다. 번역문과 수정 내역은 유지됩니다.'</t>
        </is>
      </c>
      <c r="F20" s="31" t="inlineStr">
        <is>
          <t>P1</t>
        </is>
      </c>
      <c r="G20" s="31" t="inlineStr">
        <is>
          <t>should</t>
        </is>
      </c>
      <c r="H20" s="268" t="inlineStr">
        <is>
          <t>X</t>
        </is>
      </c>
      <c r="I20" s="9" t="inlineStr">
        <is>
          <t>① 무효 대상이 건수와 함께 표시됨 ② 보존 대상도 함께 표시됨 ③ 실행취소 이력 초기화가 명시됨 ④ 취소 시 아무것도 변경되지 않음</t>
        </is>
      </c>
      <c r="J20" s="9" t="inlineStr">
        <is>
          <t>무효화되는 산출물이 없고 실행취소 이력도 초기화되지 않는 경우에만 모달 없이 즉시 이동한다</t>
        </is>
      </c>
      <c r="K20" s="5" t="inlineStr">
        <is>
          <t>v1.6 수정 · F-NAV-02 이월에 따라 함께 이월</t>
        </is>
      </c>
      <c r="L20" s="5" t="n"/>
      <c r="M20" s="31" t="n"/>
      <c r="N20" s="6" t="n"/>
      <c r="O20" s="6" t="n"/>
      <c r="P20" s="6" t="n"/>
      <c r="Q20" s="6" t="n"/>
      <c r="R20" s="6" t="n"/>
      <c r="S20" s="6" t="n"/>
      <c r="T20" s="6" t="n"/>
      <c r="U20" s="6" t="n"/>
      <c r="V20" s="6" t="n"/>
      <c r="W20" s="6" t="n"/>
      <c r="X20" s="6" t="n"/>
      <c r="Y20" s="6" t="n"/>
      <c r="Z20" s="6" t="n"/>
      <c r="AA20" s="6" t="n"/>
    </row>
    <row r="21" ht="72.75" customHeight="1">
      <c r="A21" s="47" t="inlineStr">
        <is>
          <t>F-NAV-04</t>
        </is>
      </c>
      <c r="B21" s="48" t="inlineStr">
        <is>
          <t>작업 단계 관리</t>
        </is>
      </c>
      <c r="C21" s="5" t="inlineStr">
        <is>
          <t>N1</t>
        </is>
      </c>
      <c r="D21" s="9" t="inlineStr">
        <is>
          <t>★단계 이동 규칙 사전 안내</t>
        </is>
      </c>
      <c r="E21" s="5" t="inlineStr">
        <is>
          <t>N1에서 작업을 시작하기 전에 되돌림 규칙을 안내한다. 이전 단계로 이동하면 이후 단계를 다시 진행해야 하지만, 인페인팅 결과와 번역문·수정 내역은 보존되어 처음부터 다시 하지 않는다는 점을 함께 알린다. 다만 실행취소 이력은 초기화된다는 점도 함께 안내한다. 사용자가 작업 도중 처음 알게 되는 상황을 막기 위한 장치다.</t>
        </is>
      </c>
      <c r="F21" s="31" t="inlineStr">
        <is>
          <t>P1</t>
        </is>
      </c>
      <c r="G21" s="31" t="inlineStr">
        <is>
          <t>should</t>
        </is>
      </c>
      <c r="H21" s="268" t="inlineStr">
        <is>
          <t>X</t>
        </is>
      </c>
      <c r="I21" s="5" t="inlineStr">
        <is>
          <t>① N1 진입 시 1회 노출 ② 되돌림 시 보존되는 항목이 명시됨 ③ 초기화되는 항목(실행취소 이력)이 명시됨 ④ 다시 보지 않기 선택 가능</t>
        </is>
      </c>
      <c r="J21" s="9" t="inlineStr">
        <is>
          <t>안내를 닫아도 되돌림 경고(F-NAV-03)는 항상 동작</t>
        </is>
      </c>
      <c r="K21" s="5" t="inlineStr">
        <is>
          <t>v1.6 수정 · 12월 이월</t>
        </is>
      </c>
      <c r="L21" s="246" t="inlineStr">
        <is>
          <t>되돌림이 없으므로 사전 안내 대상이 소멸</t>
        </is>
      </c>
      <c r="M21" s="31" t="inlineStr">
        <is>
          <t>v3.0 수정 — 안내 지점 S1→N1</t>
        </is>
      </c>
      <c r="N21" s="6" t="n"/>
      <c r="O21" s="6" t="n"/>
      <c r="P21" s="6" t="n"/>
      <c r="Q21" s="6" t="n"/>
      <c r="R21" s="6" t="n"/>
      <c r="S21" s="6" t="n"/>
      <c r="T21" s="6" t="n"/>
      <c r="U21" s="6" t="n"/>
      <c r="V21" s="6" t="n"/>
      <c r="W21" s="6" t="n"/>
      <c r="X21" s="6" t="n"/>
      <c r="Y21" s="6" t="n"/>
      <c r="Z21" s="6" t="n"/>
      <c r="AA21" s="6" t="n"/>
    </row>
    <row r="22" ht="114" customHeight="1">
      <c r="A22" s="47" t="inlineStr">
        <is>
          <t>F-NAV-05</t>
        </is>
      </c>
      <c r="B22" s="48" t="inlineStr">
        <is>
          <t>작업 단계 관리</t>
        </is>
      </c>
      <c r="C22" s="5" t="inlineStr">
        <is>
          <t>S0</t>
        </is>
      </c>
      <c r="D22" s="9" t="inlineStr">
        <is>
          <t>★되돌림 산출물 보존·무효 판정</t>
        </is>
      </c>
      <c r="E22" s="9" t="inlineStr">
        <is>
          <t>되돌림 시 이후 단계를 일괄 초기화하지 않는다. 산출물의 종속 대상에 따라 판정한다. 섹션 단위 산출물(인페인팅 결과·마스크·OCR 텍스트·1차 번역·사용자 수정 번역문)은 보존한다. 조건(국가·규제분류·규격) 종속 산출물(판정 배지·조건 종속 번역)은 조건 변경 시에만 무효화·재계산한다. 사용자 입력(버킷 선택·수정 번역문)은 산출물과 별개로 항상 보존한다 — 되돌림은 AI 산출물의 재생성 여부를 판정하는 규칙이며 사용자가 직접 만든 것을 지우지 않는다. 구간별 판정은 05_상태_정책의 되돌림 판정표를 따른다.</t>
        </is>
      </c>
      <c r="F22" s="31" t="inlineStr">
        <is>
          <t>P1</t>
        </is>
      </c>
      <c r="G22" s="31" t="inlineStr">
        <is>
          <t>should</t>
        </is>
      </c>
      <c r="H22" s="268" t="inlineStr">
        <is>
          <t>X</t>
        </is>
      </c>
      <c r="I22" s="5" t="inlineStr">
        <is>
          <t>① N5에서 N3로 이동 후 되돌아와도 버킷 선택·수정 번역문이 유지됨 ② 되돌림 후에도 인페인팅·1차 번역이 재사용됨 ③ 조건 변경 시에만 판정·번역이 재계산됨</t>
        </is>
      </c>
      <c r="J22" s="9" t="inlineStr">
        <is>
          <t>섹션을 제외하면 해당 섹션의 블록은 산출물 대상에서 빠지되 데이터는 보존된다(PL-22)</t>
        </is>
      </c>
      <c r="K22" s="5" t="inlineStr">
        <is>
          <t>v1.6 수정 · 되돌림 판정 규칙 전체를 12월로 이월 · 판정표(05 시트)도 12월 적용</t>
        </is>
      </c>
      <c r="L22" s="5" t="n"/>
      <c r="M22" s="31" t="inlineStr">
        <is>
          <t>v3.0 수정 — 판정 대상을 섹션·조건 체계로 재작성</t>
        </is>
      </c>
      <c r="N22" s="6" t="n"/>
      <c r="O22" s="6" t="n"/>
      <c r="P22" s="6" t="n"/>
      <c r="Q22" s="6" t="n"/>
      <c r="R22" s="6" t="n"/>
      <c r="S22" s="6" t="n"/>
      <c r="T22" s="6" t="n"/>
      <c r="U22" s="6" t="n"/>
      <c r="V22" s="6" t="n"/>
      <c r="W22" s="6" t="n"/>
      <c r="X22" s="6" t="n"/>
      <c r="Y22" s="6" t="n"/>
      <c r="Z22" s="6" t="n"/>
      <c r="AA22" s="6" t="n"/>
    </row>
    <row r="23" ht="58.5" customHeight="1">
      <c r="A23" s="47" t="inlineStr">
        <is>
          <t>F-NAV-06</t>
        </is>
      </c>
      <c r="B23" s="48" t="inlineStr">
        <is>
          <t>작업 단계 관리</t>
        </is>
      </c>
      <c r="C23" s="5" t="inlineStr">
        <is>
          <t>S0</t>
        </is>
      </c>
      <c r="D23" s="9" t="inlineStr">
        <is>
          <t>되돌림 무효 산출물 스냅샷 보관</t>
        </is>
      </c>
      <c r="E23" s="9" t="inlineStr">
        <is>
          <t>되돌림으로 무효화되는 산출물을 즉시 삭제하지 않고 스냅샷으로 보관해, 조건을 원래대로 되돌렸을 때 재생성 없이 복원한다.</t>
        </is>
      </c>
      <c r="F23" s="31" t="inlineStr">
        <is>
          <t>P1</t>
        </is>
      </c>
      <c r="G23" s="31" t="inlineStr">
        <is>
          <t>should</t>
        </is>
      </c>
      <c r="H23" s="268" t="inlineStr">
        <is>
          <t>X</t>
        </is>
      </c>
      <c r="I23" s="9" t="inlineStr">
        <is>
          <t>① 무효 산출물이 스냅샷으로 보관됨 ② 조건 복귀 시 재생성 없이 복원 ③ 복원 여부를 사용자가 선택 가능</t>
        </is>
      </c>
      <c r="J23" s="9" t="inlineStr">
        <is>
          <t>보관 용량 초과 시 가장 오래된 스냅샷부터 폐기</t>
        </is>
      </c>
      <c r="K23" s="5" t="inlineStr">
        <is>
          <t>v1.5 수정 · v3.0 — 아웃페인팅 삭제로 보관 가치 축소, 12월 재평가</t>
        </is>
      </c>
      <c r="L23" s="5" t="inlineStr">
        <is>
          <t>【근거】 MVP 미구현 근거 — v3.0에서는 무효 대상이 조건 종속 산출물(판정·조건 종속 번역)뿐이며 재생성 비용이 낮으므로 MVP에서는 구현하지 않는다</t>
        </is>
      </c>
      <c r="M23" s="31" t="inlineStr">
        <is>
          <t>v3.0 수정 — 무효 대상 재정의(아웃페인팅 참조 제거)</t>
        </is>
      </c>
      <c r="N23" s="6" t="n"/>
      <c r="O23" s="6" t="n"/>
      <c r="P23" s="6" t="n"/>
      <c r="Q23" s="6" t="n"/>
      <c r="R23" s="6" t="n"/>
      <c r="S23" s="6" t="n"/>
      <c r="T23" s="6" t="n"/>
      <c r="U23" s="6" t="n"/>
      <c r="V23" s="6" t="n"/>
      <c r="W23" s="6" t="n"/>
      <c r="X23" s="6" t="n"/>
      <c r="Y23" s="6" t="n"/>
      <c r="Z23" s="6" t="n"/>
      <c r="AA23" s="6" t="n"/>
    </row>
    <row r="24" ht="72.75" customHeight="1">
      <c r="A24" s="47" t="inlineStr">
        <is>
          <t>F-NAV-08</t>
        </is>
      </c>
      <c r="B24" s="48" t="inlineStr">
        <is>
          <t>작업 단계 관리</t>
        </is>
      </c>
      <c r="C24" s="5" t="inlineStr">
        <is>
          <t>S0</t>
        </is>
      </c>
      <c r="D24" s="9" t="inlineStr">
        <is>
          <t>★단계 이동 시 자동 저장</t>
        </is>
      </c>
      <c r="E24" s="9" t="inlineStr">
        <is>
          <t>단계를 이동할 때 떠나는 단계의 사용자 입력을 자동 저장한다. 대상은 N1 입력값(국가·규제분류·도착어·규격·카테고리·키워드)·N3 섹션 포함/제외 선택·N5 번역문 수정이다. 되돌림이 '진행 상태만 되돌린다'는 정책은 떠난 단계의 입력이 저장되어 있어야 성립한다. 앞으로 이동할 때와 뒤로 이동할 때 모두 동작하며, F-LST-08(미완료 작업 저장)의 명시적 저장과 별개로 상시 수행한다.</t>
        </is>
      </c>
      <c r="F24" s="31" t="inlineStr">
        <is>
          <t>P1</t>
        </is>
      </c>
      <c r="G24" s="31" t="inlineStr">
        <is>
          <t>should</t>
        </is>
      </c>
      <c r="H24" s="268" t="inlineStr">
        <is>
          <t>X</t>
        </is>
      </c>
      <c r="I24" s="9" t="inlineStr">
        <is>
          <t>① 단계 이동 시 별도 조작 없이 입력이 저장됨 ② N5에서 N3로 이동 후 되돌아오면 섹션 선택과 번역문 수정이 그대로 남아 있음 ③ 저장 실패 시 이동이 취소됨</t>
        </is>
      </c>
      <c r="J24" s="9" t="inlineStr">
        <is>
          <t>저장 실패 시 이동을 취소하고 현재 단계를 유지한 뒤 사유를 표시한다</t>
        </is>
      </c>
      <c r="K24" s="5" t="inlineStr">
        <is>
          <t>v1.6 신설 후 should로 조정</t>
        </is>
      </c>
      <c r="L24" s="5" t="inlineStr">
        <is>
          <t>자동 저장은 되돌림 정책의 전제이므로 함께 12월 이월</t>
        </is>
      </c>
      <c r="M24" s="31" t="inlineStr">
        <is>
          <t>v3.0 수정 — 저장 대상을 N1 입력·섹션 선택·번역문 수정으로 재정의(크롭·배치·모듈·원문 수정 축 삭제)</t>
        </is>
      </c>
      <c r="N24" s="6" t="n"/>
      <c r="O24" s="6" t="n"/>
      <c r="P24" s="6" t="n"/>
      <c r="Q24" s="6" t="n"/>
      <c r="R24" s="6" t="n"/>
      <c r="S24" s="6" t="n"/>
      <c r="T24" s="6" t="n"/>
      <c r="U24" s="6" t="n"/>
      <c r="V24" s="6" t="n"/>
      <c r="W24" s="6" t="n"/>
      <c r="X24" s="6" t="n"/>
      <c r="Y24" s="6" t="n"/>
      <c r="Z24" s="6" t="n"/>
      <c r="AA24" s="6" t="n"/>
    </row>
    <row r="25" ht="86.25" customHeight="1">
      <c r="A25" s="51" t="inlineStr">
        <is>
          <t>F-CH-01</t>
        </is>
      </c>
      <c r="B25" s="52" t="inlineStr">
        <is>
          <t>채널 규격</t>
        </is>
      </c>
      <c r="C25" s="35" t="inlineStr">
        <is>
          <t>O3</t>
        </is>
      </c>
      <c r="D25" s="36" t="inlineStr">
        <is>
          <t>★규격 마스터 관리</t>
        </is>
      </c>
      <c r="E25" s="36" t="inlineStr">
        <is>
          <t>규격별 검증 규칙(validation_rules)과 모듈 규격(module_spec)을 데이터로 보유한다. validation_rules가 해상도·종횡비·파일크기·포맷·색공간·배경규칙·텍스트 길이 상한·세이프존·최소 폰트·금지 요소의 단일 소스이며, module_spec은 모듈 슬롯 규격과 권장 이미지 장수를 담는다. 코드 수정 없이 데이터 추가만으로 규격을 확장할 수 있어야 한다.</t>
        </is>
      </c>
      <c r="F25" s="37" t="inlineStr">
        <is>
          <t>P0</t>
        </is>
      </c>
      <c r="G25" s="37" t="inlineStr">
        <is>
          <t>should</t>
        </is>
      </c>
      <c r="H25" s="269" t="inlineStr">
        <is>
          <t>X</t>
        </is>
      </c>
      <c r="I25" s="36" t="inlineStr">
        <is>
          <t>① 데이터 추가만으로 신규 규격 사용 가능 ② 각 검증 항목에 출처 URL과 확인일자 보유 ③ 안내(F-CH-03)와 검증(F-CH-05)이 같은 데이터를 읽음</t>
        </is>
      </c>
      <c r="J25" s="36" t="inlineStr">
        <is>
          <t>출처 미확인 규격은 신뢰도 표기</t>
        </is>
      </c>
      <c r="K25" s="35" t="inlineStr">
        <is>
          <t>v2.1 · 검증 기준 스칼라 컬럼을 validation_rules로 통합(단일 소스) · MVP는 시드 주입, 편집 콘솔은 A-CFG-01(12월)</t>
        </is>
      </c>
      <c r="L25" s="35" t="n"/>
      <c r="M25" s="37" t="inlineStr">
        <is>
          <t>9/1 — module_spec도 시드 대상(F-CH-07)</t>
        </is>
      </c>
      <c r="N25" s="6" t="n"/>
      <c r="O25" s="6" t="n"/>
      <c r="P25" s="6" t="n"/>
      <c r="Q25" s="6" t="n"/>
      <c r="R25" s="6" t="n"/>
      <c r="S25" s="6" t="n"/>
      <c r="T25" s="6" t="n"/>
      <c r="U25" s="6" t="n"/>
      <c r="V25" s="6" t="n"/>
      <c r="W25" s="6" t="n"/>
      <c r="X25" s="6" t="n"/>
      <c r="Y25" s="6" t="n"/>
      <c r="Z25" s="6" t="n"/>
      <c r="AA25" s="6" t="n"/>
    </row>
    <row r="26" ht="86.25" customHeight="1">
      <c r="A26" s="56" t="inlineStr">
        <is>
          <t>F-CH-02</t>
        </is>
      </c>
      <c r="B26" s="57" t="inlineStr">
        <is>
          <t>채널 규격</t>
        </is>
      </c>
      <c r="C26" s="5" t="inlineStr">
        <is>
          <t>N1</t>
        </is>
      </c>
      <c r="D26" s="9" t="inlineStr">
        <is>
          <t>★규격 선행 선택 (입력 화면 부활)</t>
        </is>
      </c>
      <c r="E26" s="271" t="inlineStr">
        <is>
          <t>입력 화면(N1)에서 원본 업로드와 함께 규격을 선택한다. 선택지는 ① 원본 규격(9월 유일 활성 — 원본 크기 그대로 제자리 번역) ② 사이트별 규격 ③ 커스텀 규격. ②③은 9월에는 비활성 상태로만 노출. 경로 1(규격 그대로)·경로 2(규격 변경)는 직렬이 아니라 이 선택에서 갈라지는 병렬 분기이며, 공통 처리(섹션·맥락 파악 + 규제 파악)를 공유한다.</t>
        </is>
      </c>
      <c r="F26" s="31" t="inlineStr">
        <is>
          <t>P0</t>
        </is>
      </c>
      <c r="G26" s="31" t="inlineStr">
        <is>
          <t>must</t>
        </is>
      </c>
      <c r="H26" s="268" t="inlineStr">
        <is>
          <t>O</t>
        </is>
      </c>
      <c r="I26" s="9" t="inlineStr">
        <is>
          <t>① 원본 규격이 기본 선택·활성 ② 사이트별·커스텀 규격이 비활성 상태로 노출되며 배지가 표시되지 않음 ③ 규격 선택값이 작업에 기록됨 ④ 12월 활성화 시 화면 구조 변경 없이 선택지만 켜짐</t>
        </is>
      </c>
      <c r="J26" s="16" t="inlineStr">
        <is>
          <t>9월에 비활성 선택지는 선택되지 않으며 별도 안내를 띄우지 않는다</t>
        </is>
      </c>
      <c r="K26" s="5" t="inlineStr">
        <is>
          <t>v3.0 부활 — v2.6 초안(경로 2 진입 시 선택)을 뒤집고 입력 화면으로 확정(변경안 §0 결정 1·2). PL-18 4축 확장과 연동</t>
        </is>
      </c>
      <c r="L26" s="5" t="n"/>
      <c r="M26" s="31" t="inlineStr">
        <is>
          <t>v3.0 수정 — 삭제(보완안) 후 입력 화면에서 부활. 형태 변경이며 재삭제 아님 · v3.0 수정 — 비활성 선택지 배지 삭제(PM 확정 9/1)</t>
        </is>
      </c>
      <c r="N26" s="6" t="n"/>
      <c r="O26" s="6" t="n"/>
      <c r="P26" s="6" t="n"/>
      <c r="Q26" s="6" t="n"/>
      <c r="R26" s="6" t="n"/>
      <c r="S26" s="6" t="n"/>
      <c r="T26" s="6" t="n"/>
      <c r="U26" s="6" t="n"/>
      <c r="V26" s="6" t="n"/>
      <c r="W26" s="6" t="n"/>
      <c r="X26" s="6" t="n"/>
      <c r="Y26" s="6" t="n"/>
      <c r="Z26" s="6" t="n"/>
      <c r="AA26" s="6" t="n"/>
    </row>
    <row r="27" ht="100.5" customHeight="1">
      <c r="A27" s="56" t="inlineStr">
        <is>
          <t>F-CH-02a</t>
        </is>
      </c>
      <c r="B27" s="57" t="inlineStr">
        <is>
          <t>채널 규격</t>
        </is>
      </c>
      <c r="C27" s="5" t="inlineStr">
        <is>
          <t>N1</t>
        </is>
      </c>
      <c r="D27" s="5" t="inlineStr">
        <is>
          <t>Amazon 규격 선택</t>
        </is>
      </c>
      <c r="E27" s="9" t="inlineStr">
        <is>
          <t>사이트별 규격의 하나로 Amazon A+ 규격을 선택한다. 9월에는 비활성 노출(배지 없음 — F-CH-02·화면정의서 N1과 동일), 12월 규격 변경 활성화와 함께 열린다. A+는 긴 이미지 한 장이 아니라 규격 고정 모듈 이미지 + 별도 텍스트 필드다.</t>
        </is>
      </c>
      <c r="F27" s="31" t="inlineStr">
        <is>
          <t>P1</t>
        </is>
      </c>
      <c r="G27" s="31" t="inlineStr">
        <is>
          <t>should</t>
        </is>
      </c>
      <c r="H27" s="268" t="inlineStr">
        <is>
          <t>X</t>
        </is>
      </c>
      <c r="I27" s="16" t="inlineStr">
        <is>
          <t>① 9월 비활성 노출(배지 없음) ② 12월 선택 시 A+ 모듈 규격표(JPG/PNG·2MB 이하·RGB·72DPI)가 적용됨</t>
        </is>
      </c>
      <c r="J27" s="5" t="inlineStr">
        <is>
          <t>—</t>
        </is>
      </c>
      <c r="K27" s="5" t="inlineStr">
        <is>
          <t>v3.0 — 12월 이월 · A+ 모듈 7종 규격표는 변경안 §10</t>
        </is>
      </c>
      <c r="L27" s="5" t="n"/>
      <c r="M27" s="31" t="inlineStr">
        <is>
          <t>v3.0 수정 — must→should, 12월 이월(9월 비활성 노출)</t>
        </is>
      </c>
      <c r="N27" s="6" t="n"/>
      <c r="O27" s="6" t="n"/>
      <c r="P27" s="6" t="n"/>
      <c r="Q27" s="6" t="n"/>
      <c r="R27" s="6" t="n"/>
      <c r="S27" s="6" t="n"/>
      <c r="T27" s="6" t="n"/>
      <c r="U27" s="6" t="n"/>
      <c r="V27" s="6" t="n"/>
      <c r="W27" s="6" t="n"/>
      <c r="X27" s="6" t="n"/>
      <c r="Y27" s="6" t="n"/>
      <c r="Z27" s="6" t="n"/>
      <c r="AA27" s="6" t="n"/>
    </row>
    <row r="28" ht="58.5" customHeight="1">
      <c r="A28" s="56" t="inlineStr">
        <is>
          <t>F-CH-02b</t>
        </is>
      </c>
      <c r="B28" s="57" t="inlineStr">
        <is>
          <t>채널 규격</t>
        </is>
      </c>
      <c r="C28" s="5" t="inlineStr">
        <is>
          <t>N1</t>
        </is>
      </c>
      <c r="D28" s="9" t="inlineStr">
        <is>
          <t>그 외 채널 규격 선택</t>
        </is>
      </c>
      <c r="E28" s="5" t="inlineStr">
        <is>
          <t>Amazon 외 사이트의 규격을 선택하여 작업을 시작한다. 9월에는 비활성 노출(배지 없음). Shopee·Lazada·일본형 긴 이미지(2b 긴 이미지형)를 포함한다.</t>
        </is>
      </c>
      <c r="F28" s="31" t="inlineStr">
        <is>
          <t>P1</t>
        </is>
      </c>
      <c r="G28" s="31" t="inlineStr">
        <is>
          <t>should</t>
        </is>
      </c>
      <c r="H28" s="268" t="inlineStr">
        <is>
          <t>X</t>
        </is>
      </c>
      <c r="I28" s="9" t="inlineStr">
        <is>
          <t>① 데이터에 등록된 규격이 목록에 노출됨 ② 9월 비활성 노출 · 배지 없음</t>
        </is>
      </c>
      <c r="J28" s="5" t="inlineStr">
        <is>
          <t>—</t>
        </is>
      </c>
      <c r="K28" s="5" t="inlineStr">
        <is>
          <t>v1.5 ID 부여 · 12월 확장</t>
        </is>
      </c>
      <c r="L28" s="5" t="n"/>
      <c r="M28" s="31" t="inlineStr">
        <is>
          <t>v3.0 수정 — 비활성 노출 방식 명시 · 2b 긴 이미지형 포함 · v3.0 수정 — 배지 삭제</t>
        </is>
      </c>
      <c r="N28" s="6" t="n"/>
      <c r="O28" s="6" t="n"/>
      <c r="P28" s="6" t="n"/>
      <c r="Q28" s="6" t="n"/>
      <c r="R28" s="6" t="n"/>
      <c r="S28" s="6" t="n"/>
      <c r="T28" s="6" t="n"/>
      <c r="U28" s="6" t="n"/>
      <c r="V28" s="6" t="n"/>
      <c r="W28" s="6" t="n"/>
      <c r="X28" s="6" t="n"/>
      <c r="Y28" s="6" t="n"/>
      <c r="Z28" s="6" t="n"/>
      <c r="AA28" s="6" t="n"/>
    </row>
    <row r="29" ht="45" customHeight="1">
      <c r="A29" s="56" t="inlineStr">
        <is>
          <t>F-CH-02c</t>
        </is>
      </c>
      <c r="B29" s="57" t="inlineStr">
        <is>
          <t>채널 규격</t>
        </is>
      </c>
      <c r="C29" s="5" t="inlineStr">
        <is>
          <t>N1</t>
        </is>
      </c>
      <c r="D29" s="9" t="inlineStr">
        <is>
          <t>★국가 필터</t>
        </is>
      </c>
      <c r="E29" s="9" t="inlineStr">
        <is>
          <t>규격 목록을 국가로 필터링해 찾기 쉽게 한다. 필터는 탐색 보조일 뿐이며 선택 결과로 저장되지 않는다. 작업에 국가 값이 기록되는 시점은 F-LNG-01이다. 9월에는 규격 목록 자체가 비활성이므로 12월 활성화와 함께 동작한다.</t>
        </is>
      </c>
      <c r="F29" s="31" t="inlineStr">
        <is>
          <t>P1</t>
        </is>
      </c>
      <c r="G29" s="31" t="inlineStr">
        <is>
          <t>should</t>
        </is>
      </c>
      <c r="H29" s="268" t="inlineStr">
        <is>
          <t>X</t>
        </is>
      </c>
      <c r="I29" s="9" t="inlineStr">
        <is>
          <t>① 국가 선택 시 목록이 좁혀짐 ② 필터 값이 작업 데이터에 저장되지 않음</t>
        </is>
      </c>
      <c r="J29" s="9" t="inlineStr">
        <is>
          <t>필터 결과가 0건이면 전체 목록으로 되돌린다</t>
        </is>
      </c>
      <c r="K29" s="5" t="inlineStr">
        <is>
          <t>v1.5 신설</t>
        </is>
      </c>
      <c r="L29" s="5" t="n"/>
      <c r="M29" s="31" t="inlineStr">
        <is>
          <t>v3.0 수정 — must→should, 12월 이월(규격 목록 활성화와 동반)</t>
        </is>
      </c>
      <c r="N29" s="6" t="n"/>
      <c r="O29" s="6" t="n"/>
      <c r="P29" s="6" t="n"/>
      <c r="Q29" s="6" t="n"/>
      <c r="R29" s="6" t="n"/>
      <c r="S29" s="6" t="n"/>
      <c r="T29" s="6" t="n"/>
      <c r="U29" s="6" t="n"/>
      <c r="V29" s="6" t="n"/>
      <c r="W29" s="6" t="n"/>
      <c r="X29" s="6" t="n"/>
      <c r="Y29" s="6" t="n"/>
      <c r="Z29" s="6" t="n"/>
      <c r="AA29" s="6" t="n"/>
    </row>
    <row r="30" ht="67.5" customHeight="1">
      <c r="A30" s="56" t="inlineStr">
        <is>
          <t>F-CH-03</t>
        </is>
      </c>
      <c r="B30" s="57" t="inlineStr">
        <is>
          <t>채널 규격</t>
        </is>
      </c>
      <c r="C30" s="5" t="inlineStr">
        <is>
          <t>N1</t>
        </is>
      </c>
      <c r="D30" s="9" t="inlineStr">
        <is>
          <t>규격 종속 동적 업로드 안내</t>
        </is>
      </c>
      <c r="E30" s="271" t="inlineStr">
        <is>
          <t>선택된 규격의 validation_rules와 module_spec을 읽어 안내한다. 9월(원본 규격)은 파일 포맷·용량 등 기본 안내만 표시하며, ★안내한 지원 포맷(원본 규격용 최소 spec의 JPG·PNG)을 벗어난 파일은 업로드를 차단한다 — 12월 사이트별 규격 활성화 시 규격 종속 안내(권장 장수·해상도 등)가 완전 동작한다. 검증(F-CH-05)과 같은 데이터를 읽으므로 안내와 판정 기준이 어긋나지 않는다.</t>
        </is>
      </c>
      <c r="F30" s="31" t="inlineStr">
        <is>
          <t>P0</t>
        </is>
      </c>
      <c r="G30" s="31" t="inlineStr">
        <is>
          <t>must</t>
        </is>
      </c>
      <c r="H30" s="268" t="inlineStr">
        <is>
          <t>O</t>
        </is>
      </c>
      <c r="I30" s="9" t="inlineStr">
        <is>
          <t>① 규격별로 안내 문구가 달라짐 ② 안내값과 규격 검증 기준값이 일치함 ③ ★지원 포맷을 벗어난 파일이 업로드되지 않음 ④ ★해상도·용량·색공간이 9월에 검사되지 않음</t>
        </is>
      </c>
      <c r="J30" s="9" t="inlineStr">
        <is>
          <t>규격 데이터 누락 시 기본 안내 표시</t>
        </is>
      </c>
      <c r="K30" s="5" t="inlineStr">
        <is>
          <t>v2.1 · validation_rules 단일 소스 참조</t>
        </is>
      </c>
      <c r="L30" s="5" t="n"/>
      <c r="M30" s="31" t="inlineStr">
        <is>
          <t>v3.0 수정 — 9월은 기본 안내, 규격 종속 안내는 12월</t>
        </is>
      </c>
      <c r="N30" s="6" t="n"/>
      <c r="O30" s="6" t="n"/>
      <c r="P30" s="6" t="n"/>
      <c r="Q30" s="6" t="n"/>
      <c r="R30" s="6" t="n"/>
      <c r="S30" s="6" t="n"/>
      <c r="T30" s="6" t="n"/>
      <c r="U30" s="6" t="n"/>
      <c r="V30" s="6" t="n"/>
      <c r="W30" s="6" t="n"/>
      <c r="X30" s="6" t="n"/>
      <c r="Y30" s="6" t="n"/>
      <c r="Z30" s="6" t="n"/>
      <c r="AA30" s="6" t="n"/>
    </row>
    <row r="31" ht="72.75" customHeight="1">
      <c r="A31" s="56" t="inlineStr">
        <is>
          <t>F-CH-04</t>
        </is>
      </c>
      <c r="B31" s="57" t="inlineStr">
        <is>
          <t>채널 규격</t>
        </is>
      </c>
      <c r="C31" s="5" t="inlineStr">
        <is>
          <t>N1</t>
        </is>
      </c>
      <c r="D31" s="9" t="inlineStr">
        <is>
          <t>업로드 파일 사전 규격 검증</t>
        </is>
      </c>
      <c r="E31" s="9" t="inlineStr">
        <is>
          <t>업로드 즉시 해상도·포맷·용량·색공간을 검사한다. 하한 미달은 차단, 권장 미달은 경고 후 진행 허용.</t>
        </is>
      </c>
      <c r="F31" s="31" t="inlineStr">
        <is>
          <t>P1</t>
        </is>
      </c>
      <c r="G31" s="31" t="inlineStr">
        <is>
          <t>should</t>
        </is>
      </c>
      <c r="H31" s="268" t="inlineStr">
        <is>
          <t>X</t>
        </is>
      </c>
      <c r="I31" s="9" t="inlineStr">
        <is>
          <t>① 최소 해상도 미달 차단 ② 미지원 포맷 차단 ③ 권장 미달은 경고 후 진행</t>
        </is>
      </c>
      <c r="J31" s="9" t="inlineStr">
        <is>
          <t>손상 파일·읽기 실패 시 해당 파일만 제외하고 나머지는 정상 처리</t>
        </is>
      </c>
      <c r="K31" s="9" t="inlineStr">
        <is>
          <t>예: Noon은 JPEG 전용, 가로 660px 이상</t>
        </is>
      </c>
      <c r="L31" s="9" t="n"/>
      <c r="M31" s="31" t="n"/>
      <c r="N31" s="6" t="n"/>
      <c r="O31" s="6" t="n"/>
      <c r="P31" s="6" t="n"/>
      <c r="Q31" s="6" t="n"/>
      <c r="R31" s="6" t="n"/>
      <c r="S31" s="6" t="n"/>
      <c r="T31" s="6" t="n"/>
      <c r="U31" s="6" t="n"/>
      <c r="V31" s="6" t="n"/>
      <c r="W31" s="6" t="n"/>
      <c r="X31" s="6" t="n"/>
      <c r="Y31" s="6" t="n"/>
      <c r="Z31" s="6" t="n"/>
      <c r="AA31" s="6" t="n"/>
    </row>
    <row r="32" ht="76.5" customHeight="1">
      <c r="A32" s="56" t="inlineStr">
        <is>
          <t>F-CH-05</t>
        </is>
      </c>
      <c r="B32" s="57" t="inlineStr">
        <is>
          <t>채널 규격</t>
        </is>
      </c>
      <c r="C32" s="5" t="inlineStr">
        <is>
          <t>N6</t>
        </is>
      </c>
      <c r="D32" s="9" t="inlineStr">
        <is>
          <t>★규격 검증 (규격 준수)</t>
        </is>
      </c>
      <c r="E32" s="271" t="inlineStr">
        <is>
          <t>최종 렌더링 결과가 규격을 위반하지 않는지 검사한다. 검사 항목은 F-CH-05a의 정의를 따른다. 9월(원본 규격)은 대응하는 channel_spec이 없으므로 원본 규격용 최소 spec을 두고 포맷(JPG·PNG)과 색공간(RGB)만 검증한다. 검증은 결과물 분할 후에 수행한다(F-FIN-01), 12월 규격 변경 경로에서는 채널 규격(A+ 기준 2MB 이하·RGB·72DPI 등) 완전 검증을 수행한다.</t>
        </is>
      </c>
      <c r="F32" s="31" t="inlineStr">
        <is>
          <t>P0</t>
        </is>
      </c>
      <c r="G32" s="31" t="inlineStr">
        <is>
          <t>must</t>
        </is>
      </c>
      <c r="H32" s="268" t="inlineStr">
        <is>
          <t>O</t>
        </is>
      </c>
      <c r="I32" s="9" t="inlineStr">
        <is>
          <t>① 항목별 통과·위반이 개별 표시됨 ② 위반 시 사유와 실측값이 함께 표시됨 ③ ★9월은 포맷·색공간만 판정하고 용량은 미검사로 표시됨 ④ ★검증이 분할 후 파일 단위로 수행됨</t>
        </is>
      </c>
      <c r="J32" s="5" t="inlineStr">
        <is>
          <t>—</t>
        </is>
      </c>
      <c r="K32" s="5" t="inlineStr">
        <is>
          <t>v1.5 항목 분리 · 용량 기준값은 OI-53으로 이월 · [12월] A+ 글자수 초과 경고 문구 강화는 module_spec 확정 후 검토(미확인 값을 근거로 "등록되지 않습니다"를 단정하지 않는다)</t>
        </is>
      </c>
      <c r="L32" s="5" t="n"/>
      <c r="M32" s="31" t="inlineStr">
        <is>
          <t>v3.0 수정 — 화면 S8→N6, 9월 최소 검증/12월 완전 검증 분리 · v3.0 수정 — 검증 용어 개칭 · v3.0 수정 — 9월 검증 항목 확정(포맷·색공간) · 용량은 OI-53 · 분할 후 검증 · 9/1 — 9월 원본 규격용 최소 spec(포맷·색공간)</t>
        </is>
      </c>
      <c r="N32" s="6" t="n"/>
      <c r="O32" s="6" t="n"/>
      <c r="P32" s="6" t="n"/>
      <c r="Q32" s="6" t="n"/>
      <c r="R32" s="6" t="n"/>
      <c r="S32" s="6" t="n"/>
      <c r="T32" s="6" t="n"/>
      <c r="U32" s="6" t="n"/>
      <c r="V32" s="6" t="n"/>
      <c r="W32" s="6" t="n"/>
      <c r="X32" s="6" t="n"/>
      <c r="Y32" s="6" t="n"/>
      <c r="Z32" s="6" t="n"/>
      <c r="AA32" s="6" t="n"/>
    </row>
    <row r="33" ht="108" customHeight="1">
      <c r="A33" s="56" t="inlineStr">
        <is>
          <t>F-CH-05a</t>
        </is>
      </c>
      <c r="B33" s="57" t="inlineStr">
        <is>
          <t>채널 규격</t>
        </is>
      </c>
      <c r="C33" s="5" t="inlineStr">
        <is>
          <t>N6</t>
        </is>
      </c>
      <c r="D33" s="272" t="inlineStr">
        <is>
          <t>★규격 검증 항목 정의</t>
        </is>
      </c>
      <c r="E33" s="271" t="inlineStr">
        <is>
          <t xml:space="preserve">검증 항목을 규격 데이터에 정의하고 판정 결과를 결과물에 저장한다. 정의는 channel_specs.validation_rules(항목 key·적용 범위 scope·비교 연산·기준값·단위·심각도·출처·확인일자), 결과는 결과물.validation_result(항목 key·통과 여부·실측값)이며 두 구조는 key로 짝을 이룬다. 모든 규칙은 scope를 반드시 가지며 값은 module_slots.usage_type과 동일한 체계를 쓴다(detail / thumbnail_main / thumbnail_sub / all). 검증은 결과물의 용도와 scope가 일치하는 규칙만 적용한다. 결과물의 용도는 선택한 출력 규격이 정하며, 규격이 원본 규격이면 입력 유형(F-THM-01)에서 파생한다. </t>
        </is>
      </c>
      <c r="F33" s="31" t="inlineStr">
        <is>
          <t>P0</t>
        </is>
      </c>
      <c r="G33" s="31" t="inlineStr">
        <is>
          <t>must</t>
        </is>
      </c>
      <c r="H33" s="268" t="inlineStr">
        <is>
          <t>O</t>
        </is>
      </c>
      <c r="I33" s="9" t="inlineStr">
        <is>
          <t>① 항목이 데이터로 정의되어 코드 수정 없이 추가 가능 ② 모든 규칙에 scope가 지정됨 ③ 각 항목에 출처·확인일자가 기록됨 ④ 결과물 용도와 scope가 일치하는 규칙만 검사됨 ⑤ 판정 결과가 항목별 구조로 저장되어 F-FIN-02가 읽을 수 있음</t>
        </is>
      </c>
      <c r="J33" s="9" t="inlineStr">
        <is>
          <t>규칙에 정의되지 않은 항목은 검사하지 않으며 미검사로 표시한다 / scope가 없는 규칙은 등록할 수 없다</t>
        </is>
      </c>
      <c r="K33" s="5" t="inlineStr">
        <is>
          <t>v2.2 · scope 필수화 — 상품 이미지 500px 규정이 A+ 970×300에 적용되던 오류 정정 · MVP는 detail·all만 발동 · 결과물 용도는 F-THM-01·04가 결정(12월)</t>
        </is>
      </c>
      <c r="L33" s="5" t="inlineStr">
        <is>
          <t>Amazon 기준 항목: [thumbnail] 해상도 짧은 변 최소 500px·긴 변 최대 10,000px, 종횡비(가로:세로 — 기준값은 규격 데이터가 정한다), 대표이미지 순백 배경 / [detail] 모듈 규격 970×300 일치, 파일 크기 2MB 미만, 포맷 JPG·PNG·BMP(GIF 미지원) / [all] 색공간 RGB, 세이프존 하단 20%, 최소 폰트 24px, 금지 요소(워터마크·QR코드·하이퍼링크·애니메이션·HTML 태그).</t>
        </is>
      </c>
      <c r="M33" s="268" t="inlineStr">
        <is>
          <t>v2.2 수정 · v3.0 수정 — 검증 용어 개칭 · v3.2 수정 — [thumbnail] 종횡비 항목 추가(OI-57 종결) · 결과물 용도 판정 규칙 명시(F-THM-01·04)</t>
        </is>
      </c>
      <c r="N33" s="6" t="n"/>
      <c r="O33" s="6" t="n"/>
      <c r="P33" s="6" t="n"/>
      <c r="Q33" s="6" t="n"/>
      <c r="R33" s="6" t="n"/>
      <c r="S33" s="6" t="n"/>
      <c r="T33" s="6" t="n"/>
      <c r="U33" s="6" t="n"/>
      <c r="V33" s="6" t="n"/>
      <c r="W33" s="6" t="n"/>
      <c r="X33" s="6" t="n"/>
      <c r="Y33" s="6" t="n"/>
      <c r="Z33" s="6" t="n"/>
      <c r="AA33" s="6" t="n"/>
    </row>
    <row r="34" ht="169.5" customHeight="1">
      <c r="A34" s="56" t="inlineStr">
        <is>
          <t>F-CH-06</t>
        </is>
      </c>
      <c r="B34" s="57" t="inlineStr">
        <is>
          <t>채널 규격</t>
        </is>
      </c>
      <c r="C34" s="5" t="inlineStr">
        <is>
          <t>N3</t>
        </is>
      </c>
      <c r="D34" s="9" t="inlineStr">
        <is>
          <t>★대표이미지 텍스트 금지 — 채널 정책 판정으로 이동</t>
        </is>
      </c>
      <c r="E34" s="9" t="inlineStr">
        <is>
          <t>규격이 대표이미지의 텍스트를 금지하면(Amazon 메인 이미지) 채널 정책 판정으로 처리한다. 섹션 확인(N3)의 채널 정책 배지 축(F-LOC-03)에서 판정한다. 9월에는 티저로만 노출하고, 12월 규격 변경 활성화 시 실제 판정으로 승격한다.</t>
        </is>
      </c>
      <c r="F34" s="31" t="inlineStr">
        <is>
          <t>P0</t>
        </is>
      </c>
      <c r="G34" s="31" t="inlineStr">
        <is>
          <t>should</t>
        </is>
      </c>
      <c r="H34" s="268" t="inlineStr">
        <is>
          <t>X</t>
        </is>
      </c>
      <c r="I34" s="9" t="inlineStr">
        <is>
          <t>① 채널 정책 배지 체계에서 대표이미지 텍스트 금지 판정이 제공됨 ② 9월 티저 → 12월 실판정 승격 시 화면 구조 변경 없음</t>
        </is>
      </c>
      <c r="J34" s="9" t="inlineStr">
        <is>
          <t>인페인팅 후에도 텍스트 잔존이 감지되면 저장 전 경고</t>
        </is>
      </c>
      <c r="K34" s="5" t="inlineStr">
        <is>
          <t>v1.8 이월 · 대표이미지가 MVP에 없음 · 대표이미지 지정·제거는 F-THM-04·05(12월)</t>
        </is>
      </c>
      <c r="L34" s="5" t="inlineStr">
        <is>
          <t>【근거】 판정 위치 — v3.0에서는 텍스트 배치를 막는 방식(모듈 개념)이 아니라 섹션 확인(N3)의 채널 정책 배지 축(F-LOC-03)에서 판정한다</t>
        </is>
      </c>
      <c r="M34" s="31" t="inlineStr">
        <is>
          <t>v3.0 수정 — 배치 차단 방식 폐기, 채널 정책 판정(F-LOC-03)으로 재정의</t>
        </is>
      </c>
      <c r="N34" s="6" t="n"/>
      <c r="O34" s="6" t="n"/>
      <c r="P34" s="6" t="n"/>
      <c r="Q34" s="6" t="n"/>
      <c r="R34" s="6" t="n"/>
      <c r="S34" s="6" t="n"/>
      <c r="T34" s="6" t="n"/>
      <c r="U34" s="6" t="n"/>
      <c r="V34" s="6" t="n"/>
      <c r="W34" s="6" t="n"/>
      <c r="X34" s="6" t="n"/>
      <c r="Y34" s="6" t="n"/>
      <c r="Z34" s="6" t="n"/>
      <c r="AA34" s="6" t="n"/>
    </row>
    <row r="35" ht="162.75" customHeight="1">
      <c r="A35" s="56" t="inlineStr">
        <is>
          <t>F-CH-07</t>
        </is>
      </c>
      <c r="B35" s="57" t="inlineStr">
        <is>
          <t>채널 규격</t>
        </is>
      </c>
      <c r="C35" s="271" t="inlineStr">
        <is>
          <t>처리(12월)</t>
        </is>
      </c>
      <c r="D35" s="9" t="inlineStr">
        <is>
          <t>템플릿 슬롯 규격 정의</t>
        </is>
      </c>
      <c r="E35" s="16" t="inlineStr">
        <is>
          <t>12월 규격 변경 경로의 템플릿 슬롯 규격을 module_spec에 정의한다. ★module_spec은 시드로 구축한다 — 수집 항목은 모듈명 · 이미지 슬롯 규격(px) · 슬롯 개수 · ★슬롯별 usage_type(결과물 용도 — detail / thumbnail_main / thumbnail_sub) · 텍스트 필드 종류(아마존 실제 이름을 그대로 적고 headline/body/bullet에 억지로 맞추지 않는다 — 변환은 F-CH-10) · 필드별 글자수 상한 · 권장 사용 개수 · ★baked 업로드 가능 여부 · 출처 URL · 확인일자다. ★슬롯은 아마존 글자수 상한이 들어가는 크기로 설계한다 — 그래야 분리형과 baked(F-EXP-07)가 같은 2차 번역을 공유한다.</t>
        </is>
      </c>
      <c r="F35" s="31" t="inlineStr">
        <is>
          <t>P1</t>
        </is>
      </c>
      <c r="G35" s="31" t="inlineStr">
        <is>
          <t>should</t>
        </is>
      </c>
      <c r="H35" s="268" t="inlineStr">
        <is>
          <t>X</t>
        </is>
      </c>
      <c r="I35" s="9" t="inlineStr">
        <is>
          <t>① 규격 선택 시 정의된 템플릿 슬롯이 적용됨 ② 슬롯 규격이 데이터로 관리되어 코드 수정 없이 확장됨 ③ ★각 모듈에 출처 URL·확인일자와 baked 가능 여부가 기록됨 ④ ★글자수 상한 문장이 슬롯에 들어감</t>
        </is>
      </c>
      <c r="J35" s="5" t="inlineStr">
        <is>
          <t>—</t>
        </is>
      </c>
      <c r="K35" s="5" t="inlineStr">
        <is>
          <t>v2.1 · image_count를 module_spec으로 이동 · 검증 항목은 validation_rules 소유</t>
        </is>
      </c>
      <c r="L35" s="5" t="n"/>
      <c r="M35" s="31" t="inlineStr">
        <is>
          <t>v3.0 수정 — must→should(12월), 배치 캔버스용→템플릿 슬롯 정의로 재정의 · v3.0 수정 — module_spec 시드 항목 신설 · baked 가능 여부 · 슬롯 설계 기준 · 9/1 — 시드 신설. 규제 사전·현지 부적합 사전·용어집·카테고리 마스터는 시드 계획이 있는데 module_spec만 비어 있었다. · v3.2 수정 — module_spec 시드 항목에 usage_type 추가(F-CH-05a·PL-23이 참조하는 체계의 시드 출처)</t>
        </is>
      </c>
      <c r="N35" s="6" t="n"/>
      <c r="O35" s="6" t="n"/>
      <c r="P35" s="6" t="n"/>
      <c r="Q35" s="6" t="n"/>
      <c r="R35" s="6" t="n"/>
      <c r="S35" s="6" t="n"/>
      <c r="T35" s="6" t="n"/>
      <c r="U35" s="6" t="n"/>
      <c r="V35" s="6" t="n"/>
      <c r="W35" s="6" t="n"/>
      <c r="X35" s="6" t="n"/>
      <c r="Y35" s="6" t="n"/>
      <c r="Z35" s="6" t="n"/>
      <c r="AA35" s="6" t="n"/>
    </row>
    <row r="36" ht="86.25" customHeight="1">
      <c r="A36" s="56" t="inlineStr">
        <is>
          <t>F-CH-09</t>
        </is>
      </c>
      <c r="B36" s="57" t="inlineStr">
        <is>
          <t>채널 규격</t>
        </is>
      </c>
      <c r="C36" s="5" t="inlineStr">
        <is>
          <t>N1</t>
        </is>
      </c>
      <c r="D36" s="9" t="inlineStr">
        <is>
          <t>규격별 추천 국가</t>
        </is>
      </c>
      <c r="E36" s="9" t="inlineStr">
        <is>
          <t>규격별로 추천 국가 목록을 보유한다. F-LNG-01의 국가 선택 시 추천 국가를 상단에 우선 노출한다. 규격은 국가와 독립이므로 선택을 제한하지 않으며, 추천은 탐색 편의를 위한 정렬 기준이다. 노출 대상 자체는 규제 사전 보유 국가로 한정된다(F-LNG-01).</t>
        </is>
      </c>
      <c r="F36" s="31" t="inlineStr">
        <is>
          <t>P1</t>
        </is>
      </c>
      <c r="G36" s="31" t="inlineStr">
        <is>
          <t>should</t>
        </is>
      </c>
      <c r="H36" s="268" t="inlineStr">
        <is>
          <t>X</t>
        </is>
      </c>
      <c r="I36" s="9" t="inlineStr">
        <is>
          <t>① 추천 국가가 상단에 노출됨 ② 추천 외 국가도 선택 가능 ③ 추천 목록이 데이터로 관리됨</t>
        </is>
      </c>
      <c r="J36" s="9" t="inlineStr">
        <is>
          <t>추천 목록이 비어 있으면 전체 국가를 일반 정렬로 노출</t>
        </is>
      </c>
      <c r="K36" s="5" t="inlineStr">
        <is>
          <t>v1.6 수정 · 노출 모집단이 사전 보유 국가로 한정됨</t>
        </is>
      </c>
      <c r="L36" s="5" t="n"/>
      <c r="M36" s="31" t="n"/>
      <c r="N36" s="6" t="n"/>
      <c r="O36" s="6" t="n"/>
      <c r="P36" s="6" t="n"/>
      <c r="Q36" s="6" t="n"/>
      <c r="R36" s="6" t="n"/>
      <c r="S36" s="6" t="n"/>
      <c r="T36" s="6" t="n"/>
      <c r="U36" s="6" t="n"/>
      <c r="V36" s="6" t="n"/>
      <c r="W36" s="6" t="n"/>
      <c r="X36" s="6" t="n"/>
      <c r="Y36" s="6" t="n"/>
      <c r="Z36" s="6" t="n"/>
      <c r="AA36" s="6" t="n"/>
    </row>
    <row r="37" ht="114.75" customHeight="1">
      <c r="A37" s="56" t="inlineStr">
        <is>
          <t>F-CH-10</t>
        </is>
      </c>
      <c r="B37" s="57" t="inlineStr">
        <is>
          <t>채널 규격</t>
        </is>
      </c>
      <c r="C37" s="9" t="inlineStr">
        <is>
          <t>처리(12월)</t>
        </is>
      </c>
      <c r="D37" s="9" t="inlineStr">
        <is>
          <t>★규격 변경 경로 (템플릿 매핑)</t>
        </is>
      </c>
      <c r="E37" s="5" t="inlineStr">
        <is>
          <t>[12월] 규격 변경 분기의 본체. 저장 이후 "다른 규격으로 생성"(F-VER-02) 또는 입력에서 사이트별·커스텀 규격 선택 시 진입한다. 섹션을 모듈 슬롯에 매핑하고, ★field_type→A+ 슬롯 타입 변환 규칙을 데이터로 둔다(매핑 테이블은 module_spec에 종속). 슬롯을 채운 뒤 2차 번역 파생(F-TRN-10)과 규제 재검증(F-TRN-03a)을 거쳐 렌더하고, 채널 규격에 맞춰 후처리한다 — 단계 구성과 도구는 구현이 정한다. 검수는 템플릿 위에서 1회(원문/2차 번역). 2a 모듈 분해형(아마존 A+ — 텍스트가 이미지 밖)과 2b 긴 이미지형(Shopee·Lazada·일본 — 텍스트가 이미지 안)을 구분한다 — 이 대비가 "각국의 커머스 관습"의 가장 선명한 실례다.</t>
        </is>
      </c>
      <c r="F37" s="5" t="inlineStr">
        <is>
          <t>P1</t>
        </is>
      </c>
      <c r="G37" s="5" t="inlineStr">
        <is>
          <t>should</t>
        </is>
      </c>
      <c r="H37" s="268" t="inlineStr">
        <is>
          <t>X</t>
        </is>
      </c>
      <c r="I37" s="9" t="inlineStr">
        <is>
          <t>① 섹션→모듈 매핑과 field_type→슬롯 타입 변환이 Rule Engine 데이터로 정의됨 ② 슬롯보다 블록이 많을 때의 선별 로직은 미확정(OI-48 — 단위는 블록으로 확정, 로직은 미해결) ③ 2a는 텍스트가 content.csv로 분리되고 2b는 이미지에 조판됨</t>
        </is>
      </c>
      <c r="J37" s="5" t="inlineStr">
        <is>
          <t>A+ 모듈 슬롯보다 섹션·블록이 많은 경우의 선별 기준은 OI-48(미해결)로 남긴다 — 임의 확정 금지</t>
        </is>
      </c>
      <c r="K37" s="5" t="inlineStr">
        <is>
          <t>v3.0 신설 · 변경안 §5·§10 · 10월 초 X/Y 게이트("사람 손 없이 쓸 만한 섹션 비율 70~80%") 판정 대상 · S3 배치 POC 5/5가 기술 근거</t>
        </is>
      </c>
      <c r="L37" s="5" t="inlineStr">
        <is>
          <t>【근거】 파이프라인 — manifest.json → Rule Engine(섹션→모듈 매핑 + field_type→A+ 슬롯 타입 변환) → HTML/CSS 템플릿 슬롯 채우기 → 2차 번역 파생 → 규제 재검증 → Playwright 렌더 → 후처리(2MB·RGB·72DPI). 변환 규칙을 데이터로 두는 이유 — headline·body·bullet은 우리 쪽 분류(F-EXP-02)일 뿐 아마존 슬롯 이름과 1:1 대응이 보장되지 않는다</t>
        </is>
      </c>
      <c r="M37" s="5" t="inlineStr">
        <is>
          <t>v3.0 신설 · 9/1 — field_type→A+ 슬롯 타입 변환 규칙 추가(module_spec 종속) · 9/1 — 선별 단위 블록으로 통일</t>
        </is>
      </c>
      <c r="N37" s="6" t="n"/>
      <c r="O37" s="6" t="n"/>
      <c r="P37" s="6" t="n"/>
      <c r="Q37" s="6" t="n"/>
      <c r="R37" s="6" t="n"/>
      <c r="S37" s="6" t="n"/>
      <c r="T37" s="6" t="n"/>
      <c r="U37" s="6" t="n"/>
      <c r="V37" s="6" t="n"/>
      <c r="W37" s="6" t="n"/>
      <c r="X37" s="6" t="n"/>
      <c r="Y37" s="6" t="n"/>
      <c r="Z37" s="6" t="n"/>
      <c r="AA37" s="6" t="n"/>
    </row>
    <row r="38" ht="58.5" customHeight="1">
      <c r="A38" s="56" t="inlineStr">
        <is>
          <t>F-CH-11</t>
        </is>
      </c>
      <c r="B38" s="57" t="inlineStr">
        <is>
          <t>채널 규격</t>
        </is>
      </c>
      <c r="C38" s="9" t="inlineStr">
        <is>
          <t>처리(12월)</t>
        </is>
      </c>
      <c r="D38" s="9" t="inlineStr">
        <is>
          <t>이미지 슬롯 처리 (누끼+패딩)</t>
        </is>
      </c>
      <c r="E38" s="5" t="inlineStr">
        <is>
          <t>[12월] 템플릿 이미지 슬롯 채우기: 누끼 + 슬롯 종횡비에 맞춘 투명 패딩. 정사각 패딩이 아니라 슬롯별 종횡비를 맞춰야 한다.</t>
        </is>
      </c>
      <c r="F38" s="5" t="inlineStr">
        <is>
          <t>P1</t>
        </is>
      </c>
      <c r="G38" s="5" t="inlineStr">
        <is>
          <t>should</t>
        </is>
      </c>
      <c r="H38" s="268" t="inlineStr">
        <is>
          <t>X</t>
        </is>
      </c>
      <c r="I38" s="9" t="inlineStr">
        <is>
          <t>① 슬롯 종횡비에 맞는 패딩이 적용됨 ② 누끼 실패 시 원본 크롭 폴백</t>
        </is>
      </c>
      <c r="J38" s="9" t="inlineStr">
        <is>
          <t>누끼 품질 미달 시 사람 확인으로 넘긴다</t>
        </is>
      </c>
      <c r="K38" s="5" t="inlineStr">
        <is>
          <t>v3.0 신설 · 변경안 §10</t>
        </is>
      </c>
      <c r="L38" s="5" t="inlineStr">
        <is>
          <t>【근거】 이미지 처리 — Pillow</t>
        </is>
      </c>
      <c r="M38" s="5" t="inlineStr">
        <is>
          <t>v3.0 신설</t>
        </is>
      </c>
      <c r="N38" s="6" t="n"/>
      <c r="O38" s="6" t="n"/>
      <c r="P38" s="6" t="n"/>
      <c r="Q38" s="6" t="n"/>
      <c r="R38" s="6" t="n"/>
      <c r="S38" s="6" t="n"/>
      <c r="T38" s="6" t="n"/>
      <c r="U38" s="6" t="n"/>
      <c r="V38" s="6" t="n"/>
      <c r="W38" s="6" t="n"/>
      <c r="X38" s="6" t="n"/>
      <c r="Y38" s="6" t="n"/>
      <c r="Z38" s="6" t="n"/>
      <c r="AA38" s="6" t="n"/>
    </row>
    <row r="39" ht="127.5" customHeight="1">
      <c r="A39" s="51" t="inlineStr">
        <is>
          <t>F-SRC-01</t>
        </is>
      </c>
      <c r="B39" s="62" t="inlineStr">
        <is>
          <t>N1 원본 등록</t>
        </is>
      </c>
      <c r="C39" s="35" t="inlineStr">
        <is>
          <t>N1</t>
        </is>
      </c>
      <c r="D39" s="36" t="inlineStr">
        <is>
          <t>★원본 이미지 업로드</t>
        </is>
      </c>
      <c r="E39" s="36" t="inlineStr">
        <is>
          <t>드래그앤드롭 또는 파일 선택, 다중 업로드. 업로드 순서 = 원본 순서로 저장하며 드래그로 재정렬 가능. ★상세페이지와 썸네일 모두 원본 이미지로 업로드하며, 입력 유형은 입력 유형 선택(F-THM-01)이 결정한다.</t>
        </is>
      </c>
      <c r="F39" s="37" t="inlineStr">
        <is>
          <t>P0</t>
        </is>
      </c>
      <c r="G39" s="37" t="inlineStr">
        <is>
          <t>must</t>
        </is>
      </c>
      <c r="H39" s="269" t="inlineStr">
        <is>
          <t>O</t>
        </is>
      </c>
      <c r="I39" s="36" t="inlineStr">
        <is>
          <t>① 다중 업로드 ② 순서 표시 및 재정렬 ③ 업로드 순서가 섹션 분해 결과와 산출물 순서에 반영</t>
        </is>
      </c>
      <c r="J39" s="36" t="inlineStr">
        <is>
          <t>업로드 실패 시 개별 재시도 / 원본 언어는 탐지하지 않는다 — 출발어는 한국어로 고정이며, 한국어가 아닌 원본이 올라와도 경고 없이 그대로 진행한다. 그 경우 OCR·번역 품질은 보장하지 않으며 결과의 책임은 셀러에게 있다(PL-25)</t>
        </is>
      </c>
      <c r="K39" s="35" t="inlineStr">
        <is>
          <t>v1.5 수정 · F-SRC-05 폐기에 따라 출발어 경고를 이관 · 입력 유형은 F-THM-01(12월)</t>
        </is>
      </c>
      <c r="L39" s="35" t="n"/>
      <c r="M39" s="37" t="inlineStr">
        <is>
          <t>v3.0 수정 — 출발어 경고 삭제 · 원본 언어 미탐지 확정(PM 확정 9/1) · v3.2 수정 — 입력 유형 무구분·동일 경로 조항 삭제, 입력 유형은 F-THM-01이 결정</t>
        </is>
      </c>
      <c r="N39" s="6" t="n"/>
      <c r="O39" s="6" t="n"/>
      <c r="P39" s="6" t="n"/>
      <c r="Q39" s="6" t="n"/>
      <c r="R39" s="6" t="n"/>
      <c r="S39" s="6" t="n"/>
      <c r="T39" s="6" t="n"/>
      <c r="U39" s="6" t="n"/>
      <c r="V39" s="6" t="n"/>
      <c r="W39" s="6" t="n"/>
      <c r="X39" s="6" t="n"/>
      <c r="Y39" s="6" t="n"/>
      <c r="Z39" s="6" t="n"/>
      <c r="AA39" s="6" t="n"/>
    </row>
    <row r="40" ht="45" customHeight="1">
      <c r="A40" s="56" t="inlineStr">
        <is>
          <t>F-SRC-03</t>
        </is>
      </c>
      <c r="B40" s="64" t="inlineStr">
        <is>
          <t>N1 원본 등록</t>
        </is>
      </c>
      <c r="C40" s="5" t="inlineStr">
        <is>
          <t>N1</t>
        </is>
      </c>
      <c r="D40" s="9" t="inlineStr">
        <is>
          <t>파일 등록 안내</t>
        </is>
      </c>
      <c r="E40" s="9" t="inlineStr">
        <is>
          <t>권장 파일명 형식, 지원 포맷, 수량 기준, 다중 등록 번호 규칙. 채널별 규격은 F-CH-03이 동적으로 덧붙인다.</t>
        </is>
      </c>
      <c r="F40" s="31" t="inlineStr">
        <is>
          <t>P0</t>
        </is>
      </c>
      <c r="G40" s="31" t="inlineStr">
        <is>
          <t>must</t>
        </is>
      </c>
      <c r="H40" s="268" t="inlineStr">
        <is>
          <t>O</t>
        </is>
      </c>
      <c r="I40" s="9" t="inlineStr">
        <is>
          <t>① 가이드 상시 노출 ② 예시 파일명이 실제 규칙과 일치</t>
        </is>
      </c>
      <c r="J40" s="5" t="inlineStr">
        <is>
          <t>-</t>
        </is>
      </c>
      <c r="K40" s="9" t="inlineStr">
        <is>
          <t>일부 채널은 반각 영숫자 파일명만 허용</t>
        </is>
      </c>
      <c r="L40" s="9" t="n"/>
      <c r="M40" s="31" t="n"/>
      <c r="N40" s="6" t="n"/>
      <c r="O40" s="6" t="n"/>
      <c r="P40" s="6" t="n"/>
      <c r="Q40" s="6" t="n"/>
      <c r="R40" s="6" t="n"/>
      <c r="S40" s="6" t="n"/>
      <c r="T40" s="6" t="n"/>
      <c r="U40" s="6" t="n"/>
      <c r="V40" s="6" t="n"/>
      <c r="W40" s="6" t="n"/>
      <c r="X40" s="6" t="n"/>
      <c r="Y40" s="6" t="n"/>
      <c r="Z40" s="6" t="n"/>
      <c r="AA40" s="6" t="n"/>
    </row>
    <row r="41" ht="51" customHeight="1">
      <c r="A41" s="56" t="inlineStr">
        <is>
          <t>F-SRC-04</t>
        </is>
      </c>
      <c r="B41" s="64" t="inlineStr">
        <is>
          <t>N1 원본 등록</t>
        </is>
      </c>
      <c r="C41" s="5" t="inlineStr">
        <is>
          <t>N1</t>
        </is>
      </c>
      <c r="D41" s="9" t="inlineStr">
        <is>
          <t>★상품 카테고리 선택</t>
        </is>
      </c>
      <c r="E41" s="9" t="inlineStr">
        <is>
          <t>셀러가 상품의 카테고리를 선택한다. 화면에 노출되는 목록은 Amazon 카테고리 트리에 준하는 상세 수준이며, 카테고리 마스터(F-SRC-04a)에서 읽어온다. 선택값은 F-SRC-04b를 통해 내부 카테고리로 환산되어 용어집을 결정한다. 규제 사전은 카테고리로 분기하지 않고 타겟 국가만 따른다.</t>
        </is>
      </c>
      <c r="F41" s="31" t="inlineStr">
        <is>
          <t>P0</t>
        </is>
      </c>
      <c r="G41" s="31" t="inlineStr">
        <is>
          <t>must</t>
        </is>
      </c>
      <c r="H41" s="268" t="inlineStr">
        <is>
          <t>O</t>
        </is>
      </c>
      <c r="I41" s="9" t="inlineStr">
        <is>
          <t>① 미선택 시 진행 불가 ② 목록이 카테고리 마스터에서 로드됨 ③ 선택값이 내부 카테고리로 환산되어 용어집에 반영됨</t>
        </is>
      </c>
      <c r="J41" s="9" t="inlineStr">
        <is>
          <t>환산된 내부 카테고리의 용어집이 미구축이면 공용 용어집으로 폴백하고 그 사실을 표시한다</t>
        </is>
      </c>
      <c r="K41" s="5" t="inlineStr">
        <is>
          <t>v1.6 수정 · 'MVP는 스킨케어·색조' 폐기 · 규제 사전의 카테고리 분기 폐기 · F-SRC-04a·04b 신설에 따른 책임 분리</t>
        </is>
      </c>
      <c r="L41" s="246" t="n"/>
      <c r="M41" s="31" t="n"/>
      <c r="N41" s="6" t="n"/>
      <c r="O41" s="6" t="n"/>
      <c r="P41" s="6" t="n"/>
      <c r="Q41" s="6" t="n"/>
      <c r="R41" s="6" t="n"/>
      <c r="S41" s="6" t="n"/>
      <c r="T41" s="6" t="n"/>
      <c r="U41" s="6" t="n"/>
      <c r="V41" s="6" t="n"/>
      <c r="W41" s="6" t="n"/>
      <c r="X41" s="6" t="n"/>
      <c r="Y41" s="6" t="n"/>
      <c r="Z41" s="6" t="n"/>
      <c r="AA41" s="6" t="n"/>
    </row>
    <row r="42" ht="31.5" customHeight="1">
      <c r="A42" s="56" t="inlineStr">
        <is>
          <t>F-SRC-04a</t>
        </is>
      </c>
      <c r="B42" s="64" t="inlineStr">
        <is>
          <t>N1 원본 등록</t>
        </is>
      </c>
      <c r="C42" s="5" t="inlineStr">
        <is>
          <t>N1</t>
        </is>
      </c>
      <c r="D42" s="9" t="inlineStr">
        <is>
          <t>★카테고리 마스터</t>
        </is>
      </c>
      <c r="E42" s="9" t="inlineStr">
        <is>
          <t>화면에 노출하는 상품 카테고리를 Amazon 트리에 준하는 상세 수준으로 관리한다. 규격·국가와 독립인 전 채널 공통 마스터이며 데이터로 관리한다.</t>
        </is>
      </c>
      <c r="F42" s="31" t="inlineStr">
        <is>
          <t>P0</t>
        </is>
      </c>
      <c r="G42" s="31" t="inlineStr">
        <is>
          <t>must</t>
        </is>
      </c>
      <c r="H42" s="268" t="inlineStr">
        <is>
          <t>O</t>
        </is>
      </c>
      <c r="I42" s="9" t="inlineStr">
        <is>
          <t>① 카테고리 목록이 데이터로 보유됨 ② 규격을 바꿔도 목록이 변하지 않음 ③ 코드 수정 없이 항목 추가 가능</t>
        </is>
      </c>
      <c r="J42" s="9" t="inlineStr">
        <is>
          <t>마스터 조회 실패 시 작업 생성을 차단하고 사유를 표시한다</t>
        </is>
      </c>
      <c r="K42" s="5" t="inlineStr">
        <is>
          <t>v1.7 · Amazon Beauty &amp; Personal Care &gt; Skin Care 트리 기준</t>
        </is>
      </c>
      <c r="L42" s="5" t="n"/>
      <c r="M42" s="31" t="n"/>
      <c r="N42" s="6" t="n"/>
      <c r="O42" s="6" t="n"/>
      <c r="P42" s="6" t="n"/>
      <c r="Q42" s="6" t="n"/>
      <c r="R42" s="6" t="n"/>
      <c r="S42" s="6" t="n"/>
      <c r="T42" s="6" t="n"/>
      <c r="U42" s="6" t="n"/>
      <c r="V42" s="6" t="n"/>
      <c r="W42" s="6" t="n"/>
      <c r="X42" s="6" t="n"/>
      <c r="Y42" s="6" t="n"/>
      <c r="Z42" s="6" t="n"/>
      <c r="AA42" s="6" t="n"/>
    </row>
    <row r="43" ht="72.75" customHeight="1">
      <c r="A43" s="56" t="inlineStr">
        <is>
          <t>F-SRC-04b</t>
        </is>
      </c>
      <c r="B43" s="64" t="inlineStr">
        <is>
          <t>N1 원본 등록</t>
        </is>
      </c>
      <c r="C43" s="5" t="inlineStr">
        <is>
          <t>N1</t>
        </is>
      </c>
      <c r="D43" s="9" t="inlineStr">
        <is>
          <t>★카테고리 매핑</t>
        </is>
      </c>
      <c r="E43" s="9" t="inlineStr">
        <is>
          <t>표시 카테고리를 내부 카테고리 7종으로 환산해 용어집을 분기한다. 7종은 Amazon Skin Care 하위 기준으로 Body · Eyes · Face · Lip Care · Maternity · Sets, Kits · Sunscreens &amp; Tanning Products이다. 매핑은 데이터(리프→7종)로 관리하며 코드에 넣지 않는다. 규제 사전은 이 축을 사용하지 않고 국가만 따른다.</t>
        </is>
      </c>
      <c r="F43" s="31" t="inlineStr">
        <is>
          <t>P0</t>
        </is>
      </c>
      <c r="G43" s="31" t="inlineStr">
        <is>
          <t>must</t>
        </is>
      </c>
      <c r="H43" s="268" t="inlineStr">
        <is>
          <t>O</t>
        </is>
      </c>
      <c r="I43" s="9" t="inlineStr">
        <is>
          <t>① 표시 카테고리 선택 시 내부 7종 중 하나로 환산됨 ② 매핑되지 않은 리프는 공용 용어집으로 폴백 ③ 매핑 추가가 데이터 작업만으로 가능</t>
        </is>
      </c>
      <c r="J43" s="9" t="inlineStr">
        <is>
          <t>매핑 미등록 리프는 공용 용어집을 사용하고 경고 없이 진행한다</t>
        </is>
      </c>
      <c r="K43" s="5" t="inlineStr">
        <is>
          <t>v1.7 확정 · 7종 = Skin Care 하위 · OI-32 종결</t>
        </is>
      </c>
      <c r="L43" s="246" t="n"/>
      <c r="M43" s="31" t="n"/>
      <c r="N43" s="6" t="n"/>
      <c r="O43" s="6" t="n"/>
      <c r="P43" s="6" t="n"/>
      <c r="Q43" s="6" t="n"/>
      <c r="R43" s="6" t="n"/>
      <c r="S43" s="6" t="n"/>
      <c r="T43" s="6" t="n"/>
      <c r="U43" s="6" t="n"/>
      <c r="V43" s="6" t="n"/>
      <c r="W43" s="6" t="n"/>
      <c r="X43" s="6" t="n"/>
      <c r="Y43" s="6" t="n"/>
      <c r="Z43" s="6" t="n"/>
      <c r="AA43" s="6" t="n"/>
    </row>
    <row r="44" ht="45" customHeight="1">
      <c r="A44" s="56" t="inlineStr">
        <is>
          <t>F-SRC-06</t>
        </is>
      </c>
      <c r="B44" s="64" t="inlineStr">
        <is>
          <t>N1 원본 등록</t>
        </is>
      </c>
      <c r="C44" s="5" t="inlineStr">
        <is>
          <t>N1</t>
        </is>
      </c>
      <c r="D44" s="9" t="inlineStr">
        <is>
          <t>핵심 키워드 입력</t>
        </is>
      </c>
      <c r="E44" s="9" t="inlineStr">
        <is>
          <t>이번 상품에서 강조할 키워드를 태그로 입력. 번역 단계에서 반영된다.</t>
        </is>
      </c>
      <c r="F44" s="31" t="inlineStr">
        <is>
          <t>P0</t>
        </is>
      </c>
      <c r="G44" s="31" t="inlineStr">
        <is>
          <t>must</t>
        </is>
      </c>
      <c r="H44" s="268" t="inlineStr">
        <is>
          <t>O</t>
        </is>
      </c>
      <c r="I44" s="9" t="inlineStr">
        <is>
          <t>① 태그 추가·삭제 ② 번역 프롬프트에 반영</t>
        </is>
      </c>
      <c r="J44" s="9" t="inlineStr">
        <is>
          <t>금지표현과 충돌하는 키워드 입력 시 경고</t>
        </is>
      </c>
      <c r="K44" s="5" t="n"/>
      <c r="L44" s="5" t="n"/>
      <c r="M44" s="31" t="n"/>
      <c r="N44" s="6" t="n"/>
      <c r="O44" s="6" t="n"/>
      <c r="P44" s="6" t="n"/>
      <c r="Q44" s="6" t="n"/>
      <c r="R44" s="6" t="n"/>
      <c r="S44" s="6" t="n"/>
      <c r="T44" s="6" t="n"/>
      <c r="U44" s="6" t="n"/>
      <c r="V44" s="6" t="n"/>
      <c r="W44" s="6" t="n"/>
      <c r="X44" s="6" t="n"/>
      <c r="Y44" s="6" t="n"/>
      <c r="Z44" s="6" t="n"/>
      <c r="AA44" s="6" t="n"/>
    </row>
    <row r="45" ht="72.75" customHeight="1">
      <c r="A45" s="56" t="inlineStr">
        <is>
          <t>F-SRC-08</t>
        </is>
      </c>
      <c r="B45" s="64" t="inlineStr">
        <is>
          <t>N1 원본 등록</t>
        </is>
      </c>
      <c r="C45" s="5" t="inlineStr">
        <is>
          <t>N1</t>
        </is>
      </c>
      <c r="D45" s="9" t="inlineStr">
        <is>
          <t>★보유 인증 뱃지 업로드</t>
        </is>
      </c>
      <c r="E45" s="271" t="inlineStr">
        <is>
          <t>셀러가 인증 기관에서 받아 보유하고 있는 인증 뱃지 이미지를 업로드한다. [12월 이월] 12월 규격 변경 템플릿의 뱃지 슬롯 검토와 함께 재개한다. 진위는 검증하지 않으며 허위 입력의 책임은 셀러에게 있다(PL-01·08). 사용권 보유 확인은 업로드 시점에 받는다. 원본에 이미 그려진 국내 인증마크는 섹션 확인의 🏷 "현지 기준 수정 필요" 배지(F-SEC-04)가 다룬다.</t>
        </is>
      </c>
      <c r="F45" s="31" t="inlineStr">
        <is>
          <t>P1</t>
        </is>
      </c>
      <c r="G45" s="31" t="inlineStr">
        <is>
          <t>should</t>
        </is>
      </c>
      <c r="H45" s="268" t="inlineStr">
        <is>
          <t>X</t>
        </is>
      </c>
      <c r="I45" s="9" t="inlineStr">
        <is>
          <t>① 뱃지 이미지 다중 업로드 ② 업로드분이 12월 규격 변경 템플릿의 뱃지 슬롯 검토 대상으로 전달 ③ 진위 미검증 고지 ④ 사용권 확인 체크 필수</t>
        </is>
      </c>
      <c r="J45" s="9" t="inlineStr">
        <is>
          <t>미업로드 상태로도 진행 가능 / 사용권 미확인 시 업로드 차단</t>
        </is>
      </c>
      <c r="K45" s="5" t="inlineStr">
        <is>
          <t>PL-01, PL-08</t>
        </is>
      </c>
      <c r="L45" s="5" t="inlineStr">
        <is>
          <t>【근거】 12월 이월 근거 — v3.0에서 삽입 지점(배치 캔버스)이 삭제되어 9월에는 사용처가 없다</t>
        </is>
      </c>
      <c r="M45" s="31" t="inlineStr">
        <is>
          <t>v3.0 수정 — 12월 이월(뱃지 배치 삭제에 따름), 원본 내 인증마크는 F-SEC-04로 · v3.0 수정 — 구 S번호 정정</t>
        </is>
      </c>
      <c r="N45" s="6" t="n"/>
      <c r="O45" s="6" t="n"/>
      <c r="P45" s="6" t="n"/>
      <c r="Q45" s="6" t="n"/>
      <c r="R45" s="6" t="n"/>
      <c r="S45" s="6" t="n"/>
      <c r="T45" s="6" t="n"/>
      <c r="U45" s="6" t="n"/>
      <c r="V45" s="6" t="n"/>
      <c r="W45" s="6" t="n"/>
      <c r="X45" s="6" t="n"/>
      <c r="Y45" s="6" t="n"/>
      <c r="Z45" s="6" t="n"/>
      <c r="AA45" s="6" t="n"/>
    </row>
    <row r="46" ht="31.5" customHeight="1">
      <c r="A46" s="56" t="inlineStr">
        <is>
          <t>F-SRC-09</t>
        </is>
      </c>
      <c r="B46" s="64" t="inlineStr">
        <is>
          <t>N1 원본 등록</t>
        </is>
      </c>
      <c r="C46" s="5" t="inlineStr">
        <is>
          <t>N1</t>
        </is>
      </c>
      <c r="D46" s="9" t="inlineStr">
        <is>
          <t>책임 한계 안내</t>
        </is>
      </c>
      <c r="E46" s="9" t="inlineStr">
        <is>
          <t>인증·시험 정보의 적용 가능 여부를 사용자가 최종 확인해야 하며 문제 발생 시 플랫폼이 책임지지 않음을 상시 노출.</t>
        </is>
      </c>
      <c r="F46" s="31" t="inlineStr">
        <is>
          <t>P1</t>
        </is>
      </c>
      <c r="G46" s="31" t="inlineStr">
        <is>
          <t>should</t>
        </is>
      </c>
      <c r="H46" s="268" t="inlineStr">
        <is>
          <t>X</t>
        </is>
      </c>
      <c r="I46" s="9" t="inlineStr">
        <is>
          <t>① 상시 노출 ② 동의 시점 저장</t>
        </is>
      </c>
      <c r="J46" s="5" t="inlineStr">
        <is>
          <t>-</t>
        </is>
      </c>
      <c r="K46" s="5" t="inlineStr">
        <is>
          <t>PL-02</t>
        </is>
      </c>
      <c r="L46" s="5" t="n"/>
      <c r="M46" s="31" t="inlineStr">
        <is>
          <t>v3.0 수정 — F-SRC-08과 동반 12월 이월</t>
        </is>
      </c>
      <c r="N46" s="6" t="n"/>
      <c r="O46" s="6" t="n"/>
      <c r="P46" s="6" t="n"/>
      <c r="Q46" s="6" t="n"/>
      <c r="R46" s="6" t="n"/>
      <c r="S46" s="6" t="n"/>
      <c r="T46" s="6" t="n"/>
      <c r="U46" s="6" t="n"/>
      <c r="V46" s="6" t="n"/>
      <c r="W46" s="6" t="n"/>
      <c r="X46" s="6" t="n"/>
      <c r="Y46" s="6" t="n"/>
      <c r="Z46" s="6" t="n"/>
      <c r="AA46" s="6" t="n"/>
    </row>
    <row r="47" ht="100.5" customHeight="1">
      <c r="A47" s="56" t="inlineStr">
        <is>
          <t>F-SRC-10</t>
        </is>
      </c>
      <c r="B47" s="64" t="inlineStr">
        <is>
          <t>N1 원본 등록</t>
        </is>
      </c>
      <c r="C47" s="5" t="inlineStr">
        <is>
          <t>N1</t>
        </is>
      </c>
      <c r="D47" s="9" t="inlineStr">
        <is>
          <t>다음 단계 진행</t>
        </is>
      </c>
      <c r="E47" s="9" t="inlineStr">
        <is>
          <t>필수값 검증 후 작업 생성 → N2 분석(전체 OCR → 섹션 자동 분해 → 규제·현지적합성 판정)으로 이동.</t>
        </is>
      </c>
      <c r="F47" s="31" t="inlineStr">
        <is>
          <t>P0</t>
        </is>
      </c>
      <c r="G47" s="31" t="inlineStr">
        <is>
          <t>must</t>
        </is>
      </c>
      <c r="H47" s="268" t="inlineStr">
        <is>
          <t>O</t>
        </is>
      </c>
      <c r="I47" s="9" t="inlineStr">
        <is>
          <t>① 필수값 누락 시 비활성 ② Job ID 발급 및 상태 '생성됨' ③ 분석(N2)이 자동 시작됨</t>
        </is>
      </c>
      <c r="J47" s="9" t="inlineStr">
        <is>
          <t>작업 생성 실패 시 입력값을 유지한 채 재시도 제공</t>
        </is>
      </c>
      <c r="K47" s="5" t="inlineStr">
        <is>
          <t>v1.9 폐지 상태값 참조 정정</t>
        </is>
      </c>
      <c r="L47" s="5" t="n"/>
      <c r="M47" s="31" t="inlineStr">
        <is>
          <t>v3.0 수정 — 다음 단계 S2 크롭→N2 분석</t>
        </is>
      </c>
      <c r="N47" s="6" t="n"/>
      <c r="O47" s="6" t="n"/>
      <c r="P47" s="6" t="n"/>
      <c r="Q47" s="6" t="n"/>
      <c r="R47" s="6" t="n"/>
      <c r="S47" s="6" t="n"/>
      <c r="T47" s="6" t="n"/>
      <c r="U47" s="6" t="n"/>
      <c r="V47" s="6" t="n"/>
      <c r="W47" s="6" t="n"/>
      <c r="X47" s="6" t="n"/>
      <c r="Y47" s="6" t="n"/>
      <c r="Z47" s="6" t="n"/>
      <c r="AA47" s="6" t="n"/>
    </row>
    <row r="48" ht="54" customHeight="1">
      <c r="A48" s="228" t="inlineStr">
        <is>
          <t>F-THM-01</t>
        </is>
      </c>
      <c r="B48" s="229" t="inlineStr">
        <is>
          <t>썸네일 처리</t>
        </is>
      </c>
      <c r="C48" s="5" t="inlineStr">
        <is>
          <t>N1</t>
        </is>
      </c>
      <c r="D48" s="9" t="inlineStr">
        <is>
          <t>입력 유형 선택</t>
        </is>
      </c>
      <c r="E48" s="9" t="inlineStr">
        <is>
          <t>N1에서 업로드한 원본의 유형을 선택한다 — 상세페이지 / 썸네일. 한 작업의 입력 유형은 하나이며 두 유형을 한 작업에 함께 올릴 수 없다. 규격 선택과 독립한 축이며 규격 선택보다 앞에 놓인다.</t>
        </is>
      </c>
      <c r="F48" s="5" t="inlineStr">
        <is>
          <t>P1</t>
        </is>
      </c>
      <c r="G48" s="5" t="inlineStr">
        <is>
          <t>should</t>
        </is>
      </c>
      <c r="H48" s="268" t="inlineStr">
        <is>
          <t>X</t>
        </is>
      </c>
      <c r="I48" s="9" t="inlineStr">
        <is>
          <t>① 입력 유형이 작업에 기록됨 ② 미선택 상태로는 다음 단계로 진행할 수 없음 ③ 입력 유형과 규격 선택이 독립적으로 조합됨</t>
        </is>
      </c>
      <c r="J48" s="5" t="inlineStr">
        <is>
          <t>업로드한 원본이 선택한 유형과 일치하는지는 검사하지 않는다.</t>
        </is>
      </c>
      <c r="K48" s="5" t="inlineStr">
        <is>
          <t>F-CH-02(규격 선택)와 독립 축 · F-THM-02·03·04의 분기 입력 · F-FIN-01(결과물 분할)의 조건 · 12월 확장</t>
        </is>
      </c>
      <c r="L48" s="5" t="inlineStr">
        <is>
          <t>【근거】 유형 미검사 — 이미지 비율로 썸네일과 상세페이지를 판정할 근거가 없다 · 【기각】 결과물 유형 탭 방식(F-NAV-07) — 한 작업 안에서 유형을 가르는 축이었다. 폐기 ID를 되살리는 것이 아니다 · 【기각】 보관함 별도 진입 버튼 — 조건 입력이 두 곳으로 갈린다</t>
        </is>
      </c>
      <c r="M48" s="5" t="inlineStr">
        <is>
          <t>v3.2 신설</t>
        </is>
      </c>
    </row>
    <row r="49" ht="54" customHeight="1">
      <c r="A49" s="228" t="inlineStr">
        <is>
          <t>F-THM-02</t>
        </is>
      </c>
      <c r="B49" s="229" t="inlineStr">
        <is>
          <t>썸네일 처리</t>
        </is>
      </c>
      <c r="C49" s="5" t="inlineStr">
        <is>
          <t>처리</t>
        </is>
      </c>
      <c r="D49" s="9" t="inlineStr">
        <is>
          <t>썸네일 입력의 섹션 분해 미수행</t>
        </is>
      </c>
      <c r="E49" s="9" t="inlineStr">
        <is>
          <t>입력 유형이 썸네일이면 섹션 자동 분해를 수행하지 않고 원본 1장을 1섹션으로 둔다. 전체 OCR과 규제·현지·채널 판정은 상세페이지와 동일하게 수행하고 섹션 확인으로 전달한다.</t>
        </is>
      </c>
      <c r="F49" s="5" t="inlineStr">
        <is>
          <t>P1</t>
        </is>
      </c>
      <c r="G49" s="5" t="inlineStr">
        <is>
          <t>should</t>
        </is>
      </c>
      <c r="H49" s="268" t="inlineStr">
        <is>
          <t>X</t>
        </is>
      </c>
      <c r="I49" s="9" t="inlineStr">
        <is>
          <t>① 썸네일 입력에서 섹션 분해가 수행되지 않음 ② 섹션 수가 원본 장수와 일치함 ③ OCR과 판정 결과가 섹션 확인으로 전달됨</t>
        </is>
      </c>
      <c r="J49" s="5" t="inlineStr">
        <is>
          <t>—</t>
        </is>
      </c>
      <c r="K49" s="5" t="inlineStr">
        <is>
          <t>F-SEC-01(섹션 자동 분해)의 분기 · F-THM-01이 조건 · 12월</t>
        </is>
      </c>
      <c r="L49" s="5" t="inlineStr">
        <is>
          <t>【근거】 OCR 유지 — 텍스트 제거 마스크와 판정의 입력이다 · 【근거】 분해하지 않는 이유 — 썸네일은 규격이 고정된 한 장이라 섹션을 빼도 자리가 닫히지 않는다. 부분 제외의 대상이 아니다 · 【기각】 분해는 돌리되 부분 제외만 막는 안 — 의미 없는 행이 늘어난다</t>
        </is>
      </c>
      <c r="M49" s="5" t="inlineStr">
        <is>
          <t>v3.2 신설</t>
        </is>
      </c>
    </row>
    <row r="50" ht="54" customHeight="1">
      <c r="A50" s="228" t="inlineStr">
        <is>
          <t>F-THM-03</t>
        </is>
      </c>
      <c r="B50" s="229" t="inlineStr">
        <is>
          <t>썸네일 처리</t>
        </is>
      </c>
      <c r="C50" s="5" t="inlineStr">
        <is>
          <t>N3·N5</t>
        </is>
      </c>
      <c r="D50" s="9" t="inlineStr">
        <is>
          <t>썸네일 입력의 원본 개별 표시</t>
        </is>
      </c>
      <c r="E50" s="9" t="inlineStr">
        <is>
          <t>입력 유형이 썸네일이면 뷰어에서 원본 여러 장을 세로로 이어 붙이지 않고 개별 이미지로 나열한다. 수평 절단 + 스택을 적용하지 않으며, 한 장을 제외해도 남은 장의 표시 위치가 변하지 않는다. 원본과 결과의 슬라이더 대조는 장 단위로 수행한다.</t>
        </is>
      </c>
      <c r="F50" s="5" t="inlineStr">
        <is>
          <t>P1</t>
        </is>
      </c>
      <c r="G50" s="5" t="inlineStr">
        <is>
          <t>should</t>
        </is>
      </c>
      <c r="H50" s="268" t="inlineStr">
        <is>
          <t>X</t>
        </is>
      </c>
      <c r="I50" s="9" t="inlineStr">
        <is>
          <t>① 원본이 개별 이미지로 표시되고 이어 붙지 않음 ② 스택 오프셋이 적용되지 않음 ③ 장 제외 시 나머지 장의 표시 위치가 변하지 않음 ④ 슬라이더 대조가 장 단위로 동작함</t>
        </is>
      </c>
      <c r="J50" s="5" t="inlineStr">
        <is>
          <t>—</t>
        </is>
      </c>
      <c r="K50" s="5" t="inlineStr">
        <is>
          <t>F-CRP-01a(초장축 원본 뷰어)의 분기 · F-SEC-07(수평 절단+스택) 미적용 · F-THM-01이 조건 · 12월</t>
        </is>
      </c>
      <c r="L50" s="5" t="inlineStr">
        <is>
          <t>【근거】 붙이지 않는 이유 — 썸네일 여러 장은 각각 다른 슬롯에 들어가는 독립 자산이다. 붙이면 원본에 없는 관계가 생긴다 · 【범위】 규격 변경 경로에는 적용하지 않는다 — 배치를 템플릿이 결정하므로 스택할 대상이 없다</t>
        </is>
      </c>
      <c r="M50" s="5" t="inlineStr">
        <is>
          <t>v3.2 신설</t>
        </is>
      </c>
    </row>
    <row r="51" ht="135" customHeight="1">
      <c r="A51" s="228" t="inlineStr">
        <is>
          <t>F-THM-04</t>
        </is>
      </c>
      <c r="B51" s="229" t="inlineStr">
        <is>
          <t>썸네일 처리</t>
        </is>
      </c>
      <c r="C51" s="5" t="inlineStr">
        <is>
          <t>N3</t>
        </is>
      </c>
      <c r="D51" s="9" t="inlineStr">
        <is>
          <t>대표이미지 지정</t>
        </is>
      </c>
      <c r="E51" s="9" t="inlineStr">
        <is>
          <t>결과물이 썸네일인 작업에서 섹션 확인 화면의 목록에서 대표이미지를 지정한다. 단일 선택이며 지정하지 않고 진행할 수 있다. 지정하지 않은 나머지는 부가이미지로 결정되며 부가를 따로 지정하는 입력은 두지 않는다. 지정 결과는 결과물 용도로 기록된다. 결과물이 썸네일인지는 선택한 규격이 결정하며, 규격이 원본 그대로이면 입력 유형을 따른다.</t>
        </is>
      </c>
      <c r="F51" s="5" t="inlineStr">
        <is>
          <t>P1</t>
        </is>
      </c>
      <c r="G51" s="5" t="inlineStr">
        <is>
          <t>should</t>
        </is>
      </c>
      <c r="H51" s="268" t="inlineStr">
        <is>
          <t>X</t>
        </is>
      </c>
      <c r="I51" s="9" t="inlineStr">
        <is>
          <t>① 단일 선택이며 두 섹션이 동시에 대표가 되지 않음 ② 미지정 상태로 진행 가능 ③ 지정값이 결과물 용도(thumbnail_main / thumbnail_sub)로 기록됨 ④ 결과물이 썸네일이 아닌 작업에서는 노출되지 않음</t>
        </is>
      </c>
      <c r="J51" s="5" t="inlineStr">
        <is>
          <t>지정한 섹션을 제외하면 대표 지정이 함께 해제된다 / 포함 섹션 수가 채널의 썸네일 장수 상한을 넘으면 경고한다</t>
        </is>
      </c>
      <c r="K51" s="5" t="inlineStr">
        <is>
          <t>F-THM-01·F-CH-02가 결과물 용도를 결정 · F-SEC-03(액션 2개)의 예외 · F-CH-05a 결과물 용도의 입력 · F-CH-07 usage_type · 12월</t>
        </is>
      </c>
      <c r="L51" s="5" t="inlineStr">
        <is>
          <t>【근거】 N3에 두는 이유 — 섹션 목록이 곧 결과물 후보라 보면서 고를 수 있고, 번역 직전이라 분기 시점이 맞다 · 【근거】 사용할 섹션을 따로 고르지 않는 이유 — 포함 버킷에 남은 섹션이 곧 결과물이므로 기존 [제외하기]로 충분하다 · 【근거】 경로를 가리지 않는 이유 — 어느 섹션이 대표에 어울리는지는 상품마다 다르므로 템플릿의 usage_type 기본값만으로는 부족하다 · 【기각】 썸네일 소재 선택을 별도 기능으로 신설 — [제외하기]와 동작이 같다 · 【기각】 N1 지정 — N1이 더 무거워진다 / N5 지정 — 번역·렌더 후라 재처리가 필요하다 / 첫 장 자동 지정 — 틀리면 엉뚱한 이미지의 텍스트를 지운다 · 【기각】 대표/부가 양쪽 지정 — 부가는 일반 제자리 번역이라 따로 정의할 동작이 없다</t>
        </is>
      </c>
      <c r="M51" s="5" t="inlineStr">
        <is>
          <t>v3.2 신설</t>
        </is>
      </c>
    </row>
    <row r="52" ht="216.75" customHeight="1">
      <c r="A52" s="228" t="inlineStr">
        <is>
          <t>F-THM-05</t>
        </is>
      </c>
      <c r="B52" s="229" t="inlineStr">
        <is>
          <t>썸네일 처리</t>
        </is>
      </c>
      <c r="C52" s="5" t="inlineStr">
        <is>
          <t>N4</t>
        </is>
      </c>
      <c r="D52" s="9" t="inlineStr">
        <is>
          <t>대표이미지 텍스트·로고 제거</t>
        </is>
      </c>
      <c r="E52" s="9" t="inlineStr">
        <is>
          <t>대표이미지에 해당하는 결과물에는 번역문을 배치하지 않고 원문 텍스트를 제거한다. 로고 제거 여부는 셀러가 토글로 선택하며 기본값은 켜짐이다. 토글이 켜지면 대표이미지에 한해 로고 비번역 처리의 보존 대상에서 제외한다. 제거 방법은 구현이 정한다. 결과에는 텍스트·로고 제거가 규격 준수를 보장하지 않음을 함께 표시한다.</t>
        </is>
      </c>
      <c r="F52" s="5" t="inlineStr">
        <is>
          <t>P1</t>
        </is>
      </c>
      <c r="G52" s="5" t="inlineStr">
        <is>
          <t>should</t>
        </is>
      </c>
      <c r="H52" s="268" t="inlineStr">
        <is>
          <t>X</t>
        </is>
      </c>
      <c r="I52" s="9" t="inlineStr">
        <is>
          <t>① 대표이미지 결과물에 번역문이 배치되지 않음 ② 원문 텍스트가 제거된 결과가 산출물로 생성됨 ③ 로고 제거 토글이 제공되며 기본값이 켜짐 ④ 토글이 꺼지면 로고 보존이 그대로 적용됨 ⑤ 규격 준수를 단정하지 않는 문구가 표시됨 ⑥ 검수 표에서 해당 그룹이 회색·편집 불가로 표시됨</t>
        </is>
      </c>
      <c r="J52" s="5" t="inlineStr">
        <is>
          <t>텍스트 제거 품질 경고가 표시된 대표이미지는 해당 장을 결과물에서 제외해 대응한다 / 매칭에 실패한 로고와 등록되지 않은 로고는 제거되지 않는다</t>
        </is>
      </c>
      <c r="K52" s="5" t="inlineStr">
        <is>
          <t>F-THM-04(대표이미지 지정) · F-BRD-02(로고 비번역 처리)의 예외 · F-INP-01(인페인팅)·F-INP-01b(결과 검증) · F-CH-11(누끼+패딩) · F-CH-06·F-LOC-03 · F-CFM-14가 대응 수단 · 12월</t>
        </is>
      </c>
      <c r="L52" s="5" t="inlineStr">
        <is>
          <t>【근거】 규정 — Amazon MAIN 이미지 규정 문언 "MAIN images must not include text, logos, borders, color blocks, watermarks, or other graphics over the top of a product or in the background". 전용 반려 코드 Error 18027. 확인일 2026-09-02 · 【근거】 얹힌 로고와 인쇄된 로고의 구분 — "over the top of a product or in the background"이 그 경계다. 제품에 인쇄된 로고는 제품의 일부이므로 걸리지 않는다 · 【근거】 경로를 가리지 않는 이유 — 규격 요구이므로 만든 경로와 무관하다. 규격 변경 경로에서도 누끼 실패 시 원본 크롭으로 폴백하므로 텍스트가 남을 수 있다 · 【근거】 자동 판별을 하지 않는 이유 — 로고 매칭은 얹힌 것과 인쇄된 것을 구분하지 못한다. 잘못 판정하면 제품 패키지의 로고를 훼손하고, 제거 결과가 최종 표면이라 그대로 드러난다 · 【근거】 규격 준수를 단정하지 않는 이유 — [thumbnail] 검증이 순백 배경도 요구하는데 배경 가공 수단이 없다 · 【기각】 번역 대상에서 통째로 제외 — 셀러가 아무 결과도 받지 못한다 · 【기각】 번역하고 경고만 표시 — 규격상 쓸 수 없는 결과물이 나온다. 제거 품질 실측 결과가 나쁘면 이 안으로 후퇴한다(OI-59) · 【미확인】 Error 18027 문구의 "for this product type"은 제품군별 적용 차이를 시사한다. 화장품 카테고리 기준 확인이 남는다</t>
        </is>
      </c>
      <c r="M52" s="5" t="inlineStr">
        <is>
          <t>v3.2 신설</t>
        </is>
      </c>
    </row>
    <row r="53" ht="127.5" customHeight="1">
      <c r="A53" s="65" t="inlineStr">
        <is>
          <t>F-CRP-01a</t>
        </is>
      </c>
      <c r="B53" s="66" t="inlineStr">
        <is>
          <t>공통 뷰어</t>
        </is>
      </c>
      <c r="C53" s="35" t="inlineStr">
        <is>
          <t>N3·N5</t>
        </is>
      </c>
      <c r="D53" s="36" t="inlineStr">
        <is>
          <t>★초장축 원본 뷰어</t>
        </is>
      </c>
      <c r="E53" s="36" t="inlineStr">
        <is>
          <t>세로 수천~수만 px의 원본·결과물을 브라우저에서 스크롤·확대하며 탐색한다. 표시는 다운스케일 프리뷰를 쓰고 좌표는 원본 해상도 기준으로 기록한다. 용도: 섹션 확인(N3)의 원본·섹션 표시, 검수(N5)의 「대조용 원본」/결과 대조(9월은 슬라이더 겹쳐 보기, 12월은 상하 2단). S2 실물 스모크 자산을 그대로 쓴다.</t>
        </is>
      </c>
      <c r="F53" s="37" t="inlineStr">
        <is>
          <t>P0</t>
        </is>
      </c>
      <c r="G53" s="37" t="inlineStr">
        <is>
          <t>must</t>
        </is>
      </c>
      <c r="H53" s="269" t="inlineStr">
        <is>
          <t>O</t>
        </is>
      </c>
      <c r="I53" s="35" t="inlineStr">
        <is>
          <t>① 10,000px 원본에서 스크롤이 끊기지 않음 ② 표시 배율과 원본 좌표가 분리됨 ③ ★N5에서 원본/결과를 슬라이더로 겹쳐 대조할 수 있음 — 두 이미지가 같은 섹션 집합·같은 높이이므로 좌표 매핑 없이 성립한다(제외 섹션은 양쪽 모두에서 빠짐, F-CFM-01) ④ 섹션 ID로 특정 위치에 이동할 수 있음(F-CFM-13·F-CFM-05 배지 점프) ⑤ ★「대조용 원본」(포함 섹션만 스택한 표시용 이미지)은 별도 산출물로 생성·보관하지 않으며, 보관 중인 섹션 이미지와 manifest의 스택 오프셋으로 표시 시점에 구성된다</t>
        </is>
      </c>
      <c r="J53" s="36" t="inlineStr">
        <is>
          <t>원본 로딩 실패 시 재시도 후 작업을 중단한다</t>
        </is>
      </c>
      <c r="K53" s="35" t="inlineStr">
        <is>
          <t>v1.5 신설 · 성능 리스크 · 썸네일 입력은 개별 표시(F-THM-03, 12월)</t>
        </is>
      </c>
      <c r="L53" s="35" t="n"/>
      <c r="M53" s="37" t="inlineStr">
        <is>
          <t>v3.0 수정 — 크롭 뷰어→섹션 확인·검수 공용 뷰어로 이동(삭제 아님) · v3.0 수정 — 동기 스크롤 → 슬라이더 겹쳐 보기 · 섹션 ID 이동 추가 · 9/1 — 동기 스크롤 대신 슬라이더 겹쳐 보기로 확정. 제외 섹션을 N5에서 빼기로 하면서 원본·결과 높이가 같아져 스크롤 위치 매핑 문제 자체가 소멸</t>
        </is>
      </c>
      <c r="N53" s="6" t="n"/>
      <c r="O53" s="6" t="n"/>
      <c r="P53" s="6" t="n"/>
      <c r="Q53" s="6" t="n"/>
      <c r="R53" s="6" t="n"/>
      <c r="S53" s="6" t="n"/>
      <c r="T53" s="6" t="n"/>
      <c r="U53" s="6" t="n"/>
      <c r="V53" s="6" t="n"/>
      <c r="W53" s="6" t="n"/>
      <c r="X53" s="6" t="n"/>
      <c r="Y53" s="6" t="n"/>
      <c r="Z53" s="6" t="n"/>
      <c r="AA53" s="6" t="n"/>
    </row>
    <row r="54" ht="63.75" customHeight="1">
      <c r="A54" s="67" t="inlineStr">
        <is>
          <t>F-INP-01</t>
        </is>
      </c>
      <c r="B54" s="68" t="inlineStr">
        <is>
          <t>N4 인페인팅</t>
        </is>
      </c>
      <c r="C54" s="36" t="inlineStr">
        <is>
          <t>처리</t>
        </is>
      </c>
      <c r="D54" s="36" t="inlineStr">
        <is>
          <t>★원본 텍스트 제거 (인페인팅)</t>
        </is>
      </c>
      <c r="E54" s="36" t="inlineStr">
        <is>
          <t>포함 버킷 섹션에 한해 원본 텍스트를 제거하고 배경을 복원한다. 제외 섹션은 처리하지 않는다. 배경 유형에 따라 복원 방식을 달리한다 — 방식과 모델은 구현이 정하며, 품질·속도는 V1 실측으로 확인한다(미실행). 결과는 섹션 단위로 캐시한다(F-INP-01c). 인페인팅은 마스크(bbox)만 필요하고 번역문과 무관하므로 1차 번역·규제 검증과 병렬 수행한다.</t>
        </is>
      </c>
      <c r="F54" s="37" t="inlineStr">
        <is>
          <t>P0</t>
        </is>
      </c>
      <c r="G54" s="37" t="inlineStr">
        <is>
          <t>must</t>
        </is>
      </c>
      <c r="H54" s="269" t="inlineStr">
        <is>
          <t>O</t>
        </is>
      </c>
      <c r="I54" s="36" t="inlineStr">
        <is>
          <t>① 포함 섹션만 처리됨 ② 텍스트 잔존율이 기준 이내 ③ 배경 유형에 따라 복원 방식이 분기됨 ④ 번역과 병렬 수행됨</t>
        </is>
      </c>
      <c r="J54" s="36" t="inlineStr">
        <is>
          <t>실패한 섹션은 원본 상태로 두고 해당 섹션만 재시도 대상으로 표시</t>
        </is>
      </c>
      <c r="K54" s="35" t="inlineStr">
        <is>
          <t>F-JOB-06 연계 · 변경안 §1 A-2</t>
        </is>
      </c>
      <c r="L54" s="35" t="inlineStr">
        <is>
          <t>【근거】 처리 방식 — 자체 처리 확정(Codia 미채택) — 단색·그라디언트 배경은 배경색 채우기, 사진 위 텍스트는 LaMa. 9/2 — 모델·방식을 요건에서 구현으로 이관</t>
        </is>
      </c>
      <c r="M54" s="37" t="inlineStr">
        <is>
          <t>v2.4 수정 · 배경 유형 분기 폐지 — 단일 경로 확정 · v3.0 수정 — 자체 처리 확정(단색=채우기/사진=LaMa) · 병렬 명시 · 대상을 조각→섹션으로</t>
        </is>
      </c>
      <c r="N54" s="6" t="n"/>
      <c r="O54" s="6" t="n"/>
      <c r="P54" s="6" t="n"/>
      <c r="Q54" s="6" t="n"/>
      <c r="R54" s="6" t="n"/>
      <c r="S54" s="6" t="n"/>
      <c r="T54" s="6" t="n"/>
      <c r="U54" s="6" t="n"/>
      <c r="V54" s="6" t="n"/>
      <c r="W54" s="6" t="n"/>
      <c r="X54" s="6" t="n"/>
      <c r="Y54" s="6" t="n"/>
      <c r="Z54" s="6" t="n"/>
      <c r="AA54" s="6" t="n"/>
    </row>
    <row r="55" ht="76.5" customHeight="1">
      <c r="A55" s="69" t="inlineStr">
        <is>
          <t>F-INP-01a</t>
        </is>
      </c>
      <c r="B55" s="70" t="inlineStr">
        <is>
          <t>N4 인페인팅</t>
        </is>
      </c>
      <c r="C55" s="5" t="inlineStr">
        <is>
          <t>N4</t>
        </is>
      </c>
      <c r="D55" s="9" t="inlineStr">
        <is>
          <t>★텍스트 영역 검출 및 마스크 생성</t>
        </is>
      </c>
      <c r="E55" s="9" t="inlineStr">
        <is>
          <t>텍스트 영역을 검출하고 인페인팅용 마스크를 생성한다. 마스크는 섹션과 동일 해상도로 생성·저장한다 — 저장·재사용되고(F-VER-03) 12월 사용자 조정(F-INP-01e)의 입력이 되므로 형식이 고정되어야 하며, 형식은 구현이 정한다. 텍스트 검출 bbox는 마스크 생성의 입력이며, 마스크의 형태를 사각형으로 제한하지 않으며, 글자 테두리를 포함하고 인접 영역을 병합한다 — 방법은 구현이 정한다.</t>
        </is>
      </c>
      <c r="F55" s="31" t="inlineStr">
        <is>
          <t>P0</t>
        </is>
      </c>
      <c r="G55" s="31" t="inlineStr">
        <is>
          <t>must</t>
        </is>
      </c>
      <c r="H55" s="268" t="inlineStr">
        <is>
          <t>O</t>
        </is>
      </c>
      <c r="I55" s="9" t="inlineStr">
        <is>
          <t>① 마스크가 섹션과 동일 해상도로 저장됨 ② 글자 테두리가 마스크에 포함됨 ③ 인접 텍스트 영역이 병합됨 ④ 마스크가 섹션 단위로 저장됨</t>
        </is>
      </c>
      <c r="J55" s="9" t="inlineStr">
        <is>
          <t>검출 실패 영역은 마스크에 포함되지 않으며 그 자리의 원문이 남는다 — 9월에는 수동 지정 수단을 제공하지 않고(F-INP-01e는 12월) 확인 필요 신호로 알린다(F-CFM-05) / 섹션 전체에서 텍스트를 하나도 찾지 못한 경우, 섹션 크기의 빈 텍스트 블록 1개를 자동 생성하고 확인 필요로 표시한다 — ★사용자가 원문을 입력하는 수단은 두지 않는다(PL-26)</t>
        </is>
      </c>
      <c r="K55" s="5" t="inlineStr">
        <is>
          <t>v2.2 · 검출 0건 시 빈 블록 자동 생성 · OI-26 핵심 변수</t>
        </is>
      </c>
      <c r="L55" s="5" t="inlineStr">
        <is>
          <t>【근거】 마스크 형식 — 1채널 이진 마스크 이미지(픽셀별 지움/보존). 검출 방법 — bbox 안에서 글자 획 영역을 분리한 뒤 획 두께만큼 팽창하고 인접 영역은 병합한다. 9/2 — 형식·방법을 요건에서 구현으로 이관(수용 ②③이 결과를 검사하므로 검증 구멍 없음)</t>
        </is>
      </c>
      <c r="M55" s="268" t="inlineStr">
        <is>
          <t>v2.4 수정 · 마스크 형식 확정(이진 마스크 이미지 · 사각형 제한 없음) · v3.0 수정 — 단위 조각→섹션 · 입력 지점 S5→N5</t>
        </is>
      </c>
      <c r="N55" s="6" t="n"/>
      <c r="O55" s="6" t="n"/>
      <c r="P55" s="6" t="n"/>
      <c r="Q55" s="6" t="n"/>
      <c r="R55" s="6" t="n"/>
      <c r="S55" s="6" t="n"/>
      <c r="T55" s="6" t="n"/>
      <c r="U55" s="6" t="n"/>
      <c r="V55" s="6" t="n"/>
      <c r="W55" s="6" t="n"/>
      <c r="X55" s="6" t="n"/>
      <c r="Y55" s="6" t="n"/>
      <c r="Z55" s="6" t="n"/>
      <c r="AA55" s="6" t="n"/>
    </row>
    <row r="56" ht="114.75" customHeight="1">
      <c r="A56" s="69" t="inlineStr">
        <is>
          <t>F-INP-01b</t>
        </is>
      </c>
      <c r="B56" s="70" t="inlineStr">
        <is>
          <t>N4 인페인팅</t>
        </is>
      </c>
      <c r="C56" s="5" t="inlineStr">
        <is>
          <t>N4</t>
        </is>
      </c>
      <c r="D56" s="9" t="inlineStr">
        <is>
          <t>★인페인팅 결과 검증</t>
        </is>
      </c>
      <c r="E56" s="9" t="inlineStr">
        <is>
          <t>인페인팅 결과에 텍스트가 남았는지 검사한다. 재검출로 잔존 픽셀 비율을 산출하고 기준 초과 시 마스크 팽창 폭을 단계적으로 키워 재시도한다. 재시도 상한에 도달하면 자동 재시도를 멈추고 마지막 결과를 그대로 표시하며 경고 배지를 단다. 배지는 두 종류다 — 처리 실패(상한 도달, 원본 텍스트 잔존)와 품질 주의(기준은 통과했으나 잔존율이 임계 근처).</t>
        </is>
      </c>
      <c r="F56" s="31" t="inlineStr">
        <is>
          <t>P0</t>
        </is>
      </c>
      <c r="G56" s="31" t="inlineStr">
        <is>
          <t>must</t>
        </is>
      </c>
      <c r="H56" s="268" t="inlineStr">
        <is>
          <t>O</t>
        </is>
      </c>
      <c r="I56" s="9" t="inlineStr">
        <is>
          <t>① 잔존율이 수치로 산출됨 ② 기준 초과 시 마스크를 넓혀 자동 재시도 ③ 상한 도달 시 마지막 결과를 표시하고 처리 실패 배지 ④ 임계 근처 통과분에 품질 주의 배지 ⑤ 배지가 N5 검수 좌측 뷰어 결과의 해당 섹션 위에 표시됨(F-CFM-05) ⑥ 배지를 누르면 그 섹션 위치로 뷰어가 이동함</t>
        </is>
      </c>
      <c r="J56" s="9" t="inlineStr">
        <is>
          <t>실패 섹션을 숨기지 않는다. 배지가 노출되는 지점은 검수(N5)다 — N4는 완료 시 자동 전환되는 처리 화면이라 머무를 수 없으므로, 잔존율 신호를 F-CFM-05에 실어 N5 좌측 뷰어 결과의 해당 섹션 위에 표시한다. 사용자 재시도 버튼은 제공하지 않는다 — 조건을 바꾸는 재실행은 F-INP-01e(12월)로 제공한다. 실패 시 별도의 선택 다이얼로그를 띄우지 않는다 — 결과를 받아들일 수 없으면 해당 섹션을 검수에서 제외하거나(F-CFM-14 — 회색 처리·되돌리기 가능) [X]로 작업 전체를 취소한다(F-JOB-07 · 12월에는 되돌림·마스크 조정이 추가된다)</t>
        </is>
      </c>
      <c r="K56" s="5" t="inlineStr">
        <is>
          <t>v2.3 · 배지 2종 · 인페인팅 한정 재시도 버튼 미제공(번역·렌더링은 F-JOB-06에서 허용)</t>
        </is>
      </c>
      <c r="L56" s="5" t="inlineStr">
        <is>
          <t>【근거】 재시도 버튼 미제공 근거 — 시스템이 마스크를 넓혀가며 상한까지 이미 시도한 뒤이므로 같은 버튼으로 더 시도할 조건이 남아 있지 않다 · 다이얼로그 미제공 근거 — 9월에는 배지로 사실을 알리는 것까지가 범위이고(원본/결과 확대 비교는 뷰어의 기본 스크롤·확대로 대신한다) · 실패 섹션을 숨기지 않는 이유 — 인페인팅 실패는 원본 텍스트가 남은 상태이므로 그대로 보여야 사용자가 상황을 이해할 수 있다</t>
        </is>
      </c>
      <c r="M56" s="268" t="inlineStr">
        <is>
          <t>v2.4 수정 · 재시도 = 마스크 팽창 명시 · 버튼 미제공 근거를 조건 소진으로 수정(모델 비종속) · 「선택지」 문구 정리 · v3.0 수정 — 단위 조각→섹션 · v3.0 수정 — 배지 표시 지점을 우측 패널(소멸)→N5 검수로 이관, F-CFM-05 신호로 연결</t>
        </is>
      </c>
      <c r="N56" s="6" t="n"/>
      <c r="O56" s="6" t="n"/>
      <c r="P56" s="6" t="n"/>
      <c r="Q56" s="6" t="n"/>
      <c r="R56" s="6" t="n"/>
      <c r="S56" s="6" t="n"/>
      <c r="T56" s="6" t="n"/>
      <c r="U56" s="6" t="n"/>
      <c r="V56" s="6" t="n"/>
      <c r="W56" s="6" t="n"/>
      <c r="X56" s="6" t="n"/>
      <c r="Y56" s="6" t="n"/>
      <c r="Z56" s="6" t="n"/>
      <c r="AA56" s="6" t="n"/>
    </row>
    <row r="57" ht="76.5" customHeight="1">
      <c r="A57" s="69" t="inlineStr">
        <is>
          <t>F-INP-01c</t>
        </is>
      </c>
      <c r="B57" s="70" t="inlineStr">
        <is>
          <t>N4 인페인팅</t>
        </is>
      </c>
      <c r="C57" s="9" t="inlineStr">
        <is>
          <t>처리</t>
        </is>
      </c>
      <c r="D57" s="9" t="inlineStr">
        <is>
          <t>★섹션 단위 결과 캐시</t>
        </is>
      </c>
      <c r="E57" s="9" t="inlineStr">
        <is>
          <t>인페인팅 결과·마스크·OCR 원본(줄 단위 텍스트·bbox·순서)·스타일 속성을 섹션 ID를 키로 저장한다. 섹션 되살리기·제외가 반복돼도 재실행하지 않는다. 다른 규격 버전 생성(F-VER-02) 시 재사용한다 — 무거운 것(OCR·인페인팅·규제 검증)이 전부 재사용 쪽에 있어 두 번째 규격이 훨씬 빠르게 나온다. OCR 원본은 원본당 1회만 추출하며 재추출 경로를 두지 않는다. 마스크 조정 재실행(F-INP-01e)은 인페인팅 결과만 갱신하며 OCR 캐시와 텍스트 블록은 보존한다.</t>
        </is>
      </c>
      <c r="F57" s="31" t="inlineStr">
        <is>
          <t>P0</t>
        </is>
      </c>
      <c r="G57" s="31" t="inlineStr">
        <is>
          <t>must</t>
        </is>
      </c>
      <c r="H57" s="268" t="inlineStr">
        <is>
          <t>O</t>
        </is>
      </c>
      <c r="I57" s="9" t="inlineStr">
        <is>
          <t>① 섹션 되살리기/제외 반복 시 재실행되지 않음 ② 다른 규격 버전에서 재사용됨 ③ 마스크 조정 재실행 후 OCR 캐시·텍스트 블록이 유지됨</t>
        </is>
      </c>
      <c r="J57" s="9" t="inlineStr">
        <is>
          <t>작업이 삭제되면 캐시도 함께 삭제한다. 재분해로 섹션 경계가 달라지면 해당 섹션의 캐시를 무효화하고 재처리한다</t>
        </is>
      </c>
      <c r="K57" s="5" t="inlineStr">
        <is>
          <t>v2.2 · OCR 원본 캐시 포함 · 3층 구조의 최상위 층 · 직전 결과 보관은 F-INP-01e 전제(01d는 v2.4 폐기) · 변경안 §5</t>
        </is>
      </c>
      <c r="L57" s="5" t="n"/>
      <c r="M57" s="268" t="inlineStr">
        <is>
          <t>v2.4 수정 · OCR 1회 원칙 · 마스크 재실행과 OCR 분리 · v3.0 수정 — 캐시 단위 조각→섹션, 모듈·배치 종속 문구 제거 · v3.0 수정 — 예외 처리의 조각·크롭 종속 문구를 섹션 기준으로 교체</t>
        </is>
      </c>
      <c r="N57" s="6" t="n"/>
      <c r="O57" s="6" t="n"/>
      <c r="P57" s="6" t="n"/>
      <c r="Q57" s="6" t="n"/>
      <c r="R57" s="6" t="n"/>
      <c r="S57" s="6" t="n"/>
      <c r="T57" s="6" t="n"/>
      <c r="U57" s="6" t="n"/>
      <c r="V57" s="6" t="n"/>
      <c r="W57" s="6" t="n"/>
      <c r="X57" s="6" t="n"/>
      <c r="Y57" s="6" t="n"/>
      <c r="Z57" s="6" t="n"/>
      <c r="AA57" s="6" t="n"/>
    </row>
    <row r="58" ht="153" customHeight="1">
      <c r="A58" s="69" t="inlineStr">
        <is>
          <t>F-INP-01e</t>
        </is>
      </c>
      <c r="B58" s="70" t="inlineStr">
        <is>
          <t>N4 인페인팅</t>
        </is>
      </c>
      <c r="C58" s="5" t="inlineStr">
        <is>
          <t>N5</t>
        </is>
      </c>
      <c r="D58" s="9" t="inlineStr">
        <is>
          <t>마스크 조정 후 재실행</t>
        </is>
      </c>
      <c r="E58" s="9" t="inlineStr">
        <is>
          <t>[12월] 검수(N5) 좌측 뷰어에서 인페인팅 경고 배지(F-INP-01b·F-CFM-05)를 누르면 열리는 [마스크 조정]으로 진입한다. 인페인팅에 실제 사용된 마지막 마스크(자동 재시도로 팽창된 경우 그 마스크)를 브러시로 넓히거나 좁힌 뒤 해당 섹션만 재실행한다. 재실행은 인페인팅만 수행하며 OCR 캐시와 텍스트 블록은 보존한다(F-INP-01c). 마스크 변경으로 화면과 텍스트 블록이 어긋나는 경우 — 새로 지운 자리에 대응 원문이 없거나, 마스크에서 제외해 살려낸 원본 글자 위에 블록이 겹치는 경우 — 블록의 자동 생성·삭제는 하지 않으며 사용자가 검수 표(N5)에서 해당 블록의 번역문을 수정하거나 비워서 대응한다(블록 추가·삭제 UI를 제공하지 않는다 — F-CFM-02). 처음부터 영역을 그리는 것이 아니라 자동 결과를 보정하는 방식이다. 글자 테두리가 남으면 넓히고, 제품이 함께 지워지면 좁히며, 지우면 안 되는 로고는 마스크에서 제외한다. 실패·성공을 구분하지 않고 모든 섹션에 제공한다.</t>
        </is>
      </c>
      <c r="F58" s="31" t="inlineStr">
        <is>
          <t>P1</t>
        </is>
      </c>
      <c r="G58" s="31" t="inlineStr">
        <is>
          <t>should</t>
        </is>
      </c>
      <c r="H58" s="268" t="inlineStr">
        <is>
          <t>X</t>
        </is>
      </c>
      <c r="I58" s="9" t="inlineStr">
        <is>
          <t>① N5 좌측 뷰어의 인페인팅 배지 → [마스크 조정]으로 편집 모드 진입 ② 마지막 사용 마스크가 섹션 위에 표시됨 ③ 브러시로 가감 가능 ④ 저장 시 해당 섹션만 인페인팅 재실행됨 ⑤ 재실행 후 OCR 캐시·텍스트 블록이 보존됨 ⑥ 모든 섹션에서 사용 가능</t>
        </is>
      </c>
      <c r="J58" s="9" t="inlineStr">
        <is>
          <t>마스크가 섹션 전체를 덮으면 경고한다 / 재실행 중 오류가 나면 직전 결과를 유지한다</t>
        </is>
      </c>
      <c r="K58" s="5" t="inlineStr">
        <is>
          <t>v2.3 신설 · v2.4 · 01d 폐기로 유일한 재인페인팅 수단 · 마스크 오버레이 표시도 12월(MVP 미제공) · 12월 우선순위 높음</t>
        </is>
      </c>
      <c r="L58" s="5" t="inlineStr">
        <is>
          <t>【근거】 모든 섹션에 제공 — 잔존율 기준을 통과했더라도 사용자 눈에 거슬리는 경우가 있기 때문이다</t>
        </is>
      </c>
      <c r="M58" s="273" t="inlineStr">
        <is>
          <t>v2.4 수정 · v3.0 수정 — 어긋남 수습 경로를 검수 표로 변경 · v3.0 수정 — 단위 조각→섹션 · v3.0 수정 — 진입점 우측 패널→N5 배지 · 12월 범위 명시 · 9/1 — 진입 지점을 우측 패널(v3.0에서 소멸)에서 N5 경고 배지로 재정의</t>
        </is>
      </c>
      <c r="N58" s="6" t="n"/>
      <c r="O58" s="6" t="n"/>
      <c r="P58" s="6" t="n"/>
      <c r="Q58" s="6" t="n"/>
      <c r="R58" s="6" t="n"/>
      <c r="S58" s="6" t="n"/>
      <c r="T58" s="6" t="n"/>
      <c r="U58" s="6" t="n"/>
      <c r="V58" s="6" t="n"/>
      <c r="W58" s="6" t="n"/>
      <c r="X58" s="6" t="n"/>
      <c r="Y58" s="6" t="n"/>
      <c r="Z58" s="6" t="n"/>
      <c r="AA58" s="6" t="n"/>
    </row>
    <row r="59" ht="89.25" customHeight="1">
      <c r="A59" s="69" t="inlineStr">
        <is>
          <t>F-INP-02</t>
        </is>
      </c>
      <c r="B59" s="70" t="inlineStr">
        <is>
          <t>N4 인페인팅</t>
        </is>
      </c>
      <c r="C59" s="9" t="inlineStr">
        <is>
          <t>처리</t>
        </is>
      </c>
      <c r="D59" s="9" t="inlineStr">
        <is>
          <t>★스타일 추출 (텍스트는 N2 OCR 결과 사용)</t>
        </is>
      </c>
      <c r="E59" s="9" t="inlineStr">
        <is>
          <t>섹션의 시각 속성을 추출한다. ★텍스트는 N2에서 수행한 OCR 결과를 그대로 사용하며 다시 인식하지 않는다(OCR은 원본당 1회 — F-SEC-01). 스타일 추출은 자체 구현한다(F-STY-01~05): 색·크기·정렬·굵기를 추정하고 폰트 패밀리는 식별을 포기하고 역할 기반 매핑으로 대체한다.</t>
        </is>
      </c>
      <c r="F59" s="31" t="inlineStr">
        <is>
          <t>P0</t>
        </is>
      </c>
      <c r="G59" s="31" t="inlineStr">
        <is>
          <t>must</t>
        </is>
      </c>
      <c r="H59" s="268" t="inlineStr">
        <is>
          <t>O</t>
        </is>
      </c>
      <c r="I59" s="9" t="inlineStr">
        <is>
          <t>① N2의 OCR 결과가 재인식 없이 그대로 사용됨 ② 색·크기·정렬·굵기가 F-STY 정의대로 추정됨 ③ ★같은 원본에서 OCR이 두 번 수행되지 않음</t>
        </is>
      </c>
      <c r="J59" s="9" t="inlineStr">
        <is>
          <t>인식 신뢰도가 낮은 블록은 확인 필요로 표시한다(F-CFM-05). ★글자를 읽지 못한 블록은 빈 상태로 두고 확인 필요로 표시하며, 사용자가 원문을 입력하는 수단은 두지 않는다(PL-26) — 9월의 대응 수단은 해당 섹션 제외(F-CFM-14)다. 섹션 전체에서 텍스트를 찾지 못한 경우 섹션 크기의 빈 블록 1개가 자동 생성된다(F-INP-01a)</t>
        </is>
      </c>
      <c r="K59" s="5" t="inlineStr">
        <is>
          <t>v2.2 · 추출 실패 두 케이스(영역은 있음 / 영역 없음) 구분</t>
        </is>
      </c>
      <c r="L59" s="5" t="inlineStr">
        <is>
          <t>【근거】 스타일 추출 자체 구현 — Codia 미채택의 대가</t>
        </is>
      </c>
      <c r="M59" s="268" t="inlineStr">
        <is>
          <t>v2.4 수정 · 배경 유형 판정 삭제(단일 경로 확정에 따름) · v3.0 수정 — 스타일 추출 자체 구현(F-STY-01~05) 연결 · v3.0 수정 — 단위 조각→섹션 · 입력 지점 S5→N5 · v3.0 수정 — OCR 재수행 제거(원본당 1회, F-SEC-01) · 기능명을 스타일 추출로 한정</t>
        </is>
      </c>
      <c r="N59" s="6" t="n"/>
      <c r="O59" s="6" t="n"/>
      <c r="P59" s="6" t="n"/>
      <c r="Q59" s="6" t="n"/>
      <c r="R59" s="6" t="n"/>
      <c r="S59" s="6" t="n"/>
      <c r="T59" s="6" t="n"/>
      <c r="U59" s="6" t="n"/>
      <c r="V59" s="6" t="n"/>
      <c r="W59" s="6" t="n"/>
      <c r="X59" s="6" t="n"/>
      <c r="Y59" s="6" t="n"/>
      <c r="Z59" s="6" t="n"/>
      <c r="AA59" s="6" t="n"/>
    </row>
    <row r="60" ht="63.75" customHeight="1">
      <c r="A60" s="69" t="inlineStr">
        <is>
          <t>F-INP-02a</t>
        </is>
      </c>
      <c r="B60" s="70" t="inlineStr">
        <is>
          <t>N4 인페인팅</t>
        </is>
      </c>
      <c r="C60" s="5" t="inlineStr">
        <is>
          <t>처리</t>
        </is>
      </c>
      <c r="D60" s="9" t="inlineStr">
        <is>
          <t>★줄·문단 병합</t>
        </is>
      </c>
      <c r="E60" s="9" t="inlineStr">
        <is>
          <t>인식 결과는 줄 단위로 나오므로 문단 단위로 병합해 번역 단위를 만든다. 줄 간격·들여쓰기·문장 종결을 근거로 판단한다. 텍스트 블록 1건이 문단 1개이며, 그 문단을 구성한 줄 목록(원문·bbox·순서)은 source_lines에 보관한다.</t>
        </is>
      </c>
      <c r="F60" s="31" t="inlineStr">
        <is>
          <t>P0</t>
        </is>
      </c>
      <c r="G60" s="31" t="inlineStr">
        <is>
          <t>must</t>
        </is>
      </c>
      <c r="H60" s="268" t="inlineStr">
        <is>
          <t>O</t>
        </is>
      </c>
      <c r="I60" s="9" t="inlineStr">
        <is>
          <t>① 이어지는 줄이 한 문단으로 병합됨 ② 병합 결과가 번역 단위가 됨 ③ 줄 목록(source_lines)이 블록에 보관됨</t>
        </is>
      </c>
      <c r="J60" s="9" t="inlineStr">
        <is>
          <t>병합 판단이 모호한 경우 병합하지 않고 분리 상태로 두고 표시한다 — MVP 단계에서는 과병합을 피하는 보수적 동작이 유일한 방어선이다. 병합 오류를 사용자가 편집으로 수정해 원문이 바뀐 블록은 재번역 대상이 된다(F-TRN-02d)</t>
        </is>
      </c>
      <c r="K60" s="5" t="inlineStr">
        <is>
          <t>v2.0 · 줄 단위 별도 테이블 없이 source_lines(jsonb)로 관리 · block_merge_id 폐기 · v3.0 — 병합 오류 수습은 검수 표의 번역문 수정(F-CFM-02)으로 한정(블록 추가 축 삭제)</t>
        </is>
      </c>
      <c r="L60" s="5" t="inlineStr">
        <is>
          <t>【근거】 source_lines 보관 이유 — 줄 단위 위치 정보를 보존하고 12월 편집 기능 확장에 대비하기 위함이며 백엔드 스키마는 기존과 동일하다. 9/2 — 저장 형식(jsonb/별도 테이블)은 ERD가 소유하며 요건이 아니다(김도연 확인 9/2 — ERD에 컬럼으로 확정 반영됨)</t>
        </is>
      </c>
      <c r="M60" s="31" t="inlineStr">
        <is>
          <t>v3.0 수정 — 블록 추가 참조 제거</t>
        </is>
      </c>
      <c r="N60" s="6" t="n"/>
      <c r="O60" s="6" t="n"/>
      <c r="P60" s="6" t="n"/>
      <c r="Q60" s="6" t="n"/>
      <c r="R60" s="6" t="n"/>
      <c r="S60" s="6" t="n"/>
      <c r="T60" s="6" t="n"/>
      <c r="U60" s="6" t="n"/>
      <c r="V60" s="6" t="n"/>
      <c r="W60" s="6" t="n"/>
      <c r="X60" s="6" t="n"/>
      <c r="Y60" s="6" t="n"/>
      <c r="Z60" s="6" t="n"/>
      <c r="AA60" s="6" t="n"/>
    </row>
    <row r="61" ht="38.25" customHeight="1">
      <c r="A61" s="69" t="inlineStr">
        <is>
          <t>F-INP-02b</t>
        </is>
      </c>
      <c r="B61" s="70" t="inlineStr">
        <is>
          <t>N4 인페인팅</t>
        </is>
      </c>
      <c r="C61" s="5" t="inlineStr">
        <is>
          <t>처리</t>
        </is>
      </c>
      <c r="D61" s="9" t="inlineStr">
        <is>
          <t>★텍스트 역할 분류</t>
        </is>
      </c>
      <c r="E61" s="9" t="inlineStr">
        <is>
          <t>각 텍스트 블록을 제목·본문·캡션·가격·주의문구 등으로 분류한다. 역할에 따라 번역 톤과 최소 폰트 크기 하한이 달라진다. ★규제 검증은 역할과 무관하게 전 블록에 수행된다(F-TRN-03a — 조회 축은 국가·규제분류뿐).</t>
        </is>
      </c>
      <c r="F61" s="31" t="inlineStr">
        <is>
          <t>P0</t>
        </is>
      </c>
      <c r="G61" s="31" t="inlineStr">
        <is>
          <t>must</t>
        </is>
      </c>
      <c r="H61" s="268" t="inlineStr">
        <is>
          <t>O</t>
        </is>
      </c>
      <c r="I61" s="9" t="inlineStr">
        <is>
          <t>① 블록마다 역할이 부여됨 ② 역할별 폰트 하한이 적용됨 ③ ★사용자가 역할을 수정하는 UI가 존재하지 않음(PL-26)</t>
        </is>
      </c>
      <c r="J61" s="9" t="inlineStr">
        <is>
          <t>분류 실패 시 본문으로 처리</t>
        </is>
      </c>
      <c r="K61" s="5" t="inlineStr">
        <is>
          <t>v1.5 신설</t>
        </is>
      </c>
      <c r="L61" s="246" t="n"/>
      <c r="M61" s="31" t="n"/>
      <c r="N61" s="6" t="n"/>
      <c r="O61" s="6" t="n"/>
      <c r="P61" s="6" t="n"/>
      <c r="Q61" s="6" t="n"/>
      <c r="R61" s="6" t="n"/>
      <c r="S61" s="6" t="n"/>
      <c r="T61" s="6" t="n"/>
      <c r="U61" s="6" t="n"/>
      <c r="V61" s="6" t="n"/>
      <c r="W61" s="6" t="n"/>
      <c r="X61" s="6" t="n"/>
      <c r="Y61" s="6" t="n"/>
      <c r="Z61" s="6" t="n"/>
      <c r="AA61" s="6" t="n"/>
    </row>
    <row r="62" ht="51" customHeight="1">
      <c r="A62" s="69" t="inlineStr">
        <is>
          <t>F-INP-03</t>
        </is>
      </c>
      <c r="B62" s="70" t="inlineStr">
        <is>
          <t>N4 인페인팅</t>
        </is>
      </c>
      <c r="C62" s="9" t="inlineStr">
        <is>
          <t>처리</t>
        </is>
      </c>
      <c r="D62" s="5" t="inlineStr">
        <is>
          <t>★HTML 텍스트 레이어 생성</t>
        </is>
      </c>
      <c r="E62" s="9" t="inlineStr">
        <is>
          <t>추출된 텍스트와 스타일을 인페인팅된 배경 이미지 위에 원본 좌표 기준 절대 좌표로 배치한다(제자리 조판). 배경은 이미지 레이어, 텍스트는 HTML 레이어로 분리된다. 모듈 좌표 변환은 없다 — 제외 섹션만큼 아래가 위로 당겨지는 수평 절단+스택 오프셋(F-SEC-07)을 반영한다.</t>
        </is>
      </c>
      <c r="F62" s="31" t="inlineStr">
        <is>
          <t>P0</t>
        </is>
      </c>
      <c r="G62" s="31" t="inlineStr">
        <is>
          <t>must</t>
        </is>
      </c>
      <c r="H62" s="268" t="inlineStr">
        <is>
          <t>O</t>
        </is>
      </c>
      <c r="I62" s="9" t="inlineStr">
        <is>
          <t>① 원본 좌표와 렌더 좌표 일치 ② 배경·텍스트 레이어 분리 ③ 언어별 폰트 스택 적용</t>
        </is>
      </c>
      <c r="J62" s="9" t="inlineStr">
        <is>
          <t>좌표 오차가 허용치를 넘으면 해당 요소를 표시</t>
        </is>
      </c>
      <c r="K62" s="9" t="inlineStr">
        <is>
          <t>좌표 정확성 보장 필요 — OI-27 · v1.7 렌더링 HTML/Playwright 확정(OI-34 종결)</t>
        </is>
      </c>
      <c r="L62" s="9" t="inlineStr">
        <is>
          <t>【근거】 조판 방식 — 텍스트·스타일을 HTML 요소로 변환(v1.7 렌더링 HTML/Playwright 확정 — OI-34 종결)</t>
        </is>
      </c>
      <c r="M62" s="31" t="inlineStr">
        <is>
          <t>v3.0 수정 — 좌표 기준을 모듈→원본(+스택 오프셋)으로</t>
        </is>
      </c>
      <c r="N62" s="6" t="n"/>
      <c r="O62" s="6" t="n"/>
      <c r="P62" s="6" t="n"/>
      <c r="Q62" s="6" t="n"/>
      <c r="R62" s="6" t="n"/>
      <c r="S62" s="6" t="n"/>
      <c r="T62" s="6" t="n"/>
      <c r="U62" s="6" t="n"/>
      <c r="V62" s="6" t="n"/>
      <c r="W62" s="6" t="n"/>
      <c r="X62" s="6" t="n"/>
      <c r="Y62" s="6" t="n"/>
      <c r="Z62" s="6" t="n"/>
      <c r="AA62" s="6" t="n"/>
    </row>
    <row r="63" ht="45" customHeight="1">
      <c r="A63" s="75" t="inlineStr">
        <is>
          <t>F-STY-01</t>
        </is>
      </c>
      <c r="B63" s="76" t="inlineStr">
        <is>
          <t>스타일 추출</t>
        </is>
      </c>
      <c r="C63" s="36" t="inlineStr">
        <is>
          <t>처리</t>
        </is>
      </c>
      <c r="D63" s="36" t="inlineStr">
        <is>
          <t>★지배색 추출</t>
        </is>
      </c>
      <c r="E63" s="36" t="inlineStr">
        <is>
          <t>텍스트 bbox 내 지배색을 추출해 번역문 색으로 승계한다(OpenCV). 자체 OCR은 좌표와 텍스트만 주므로 스타일 추출은 자체 구현한다(Codia 미채택).</t>
        </is>
      </c>
      <c r="F63" s="35" t="inlineStr">
        <is>
          <t>P0</t>
        </is>
      </c>
      <c r="G63" s="35" t="inlineStr">
        <is>
          <t>must</t>
        </is>
      </c>
      <c r="H63" s="269" t="inlineStr">
        <is>
          <t>O</t>
        </is>
      </c>
      <c r="I63" s="35" t="inlineStr">
        <is>
          <t>① bbox별 지배색이 추출됨 ② 번역문 렌더에 반영됨</t>
        </is>
      </c>
      <c r="J63" s="36" t="inlineStr">
        <is>
          <t>추출 실패 시 역할별 기본색 폴백</t>
        </is>
      </c>
      <c r="K63" s="35" t="inlineStr">
        <is>
          <t>v3.0 신설 · 난이도 ○ · 정확도는 V4 실측(미실행) · 변경안 §8</t>
        </is>
      </c>
      <c r="L63" s="35" t="n"/>
      <c r="M63" s="35" t="inlineStr">
        <is>
          <t>v3.0 신설</t>
        </is>
      </c>
      <c r="N63" s="6" t="n"/>
      <c r="O63" s="6" t="n"/>
      <c r="P63" s="6" t="n"/>
      <c r="Q63" s="6" t="n"/>
      <c r="R63" s="6" t="n"/>
      <c r="S63" s="6" t="n"/>
      <c r="T63" s="6" t="n"/>
      <c r="U63" s="6" t="n"/>
      <c r="V63" s="6" t="n"/>
      <c r="W63" s="6" t="n"/>
      <c r="X63" s="6" t="n"/>
      <c r="Y63" s="6" t="n"/>
      <c r="Z63" s="6" t="n"/>
      <c r="AA63" s="6" t="n"/>
    </row>
    <row r="64" ht="72.75" customHeight="1">
      <c r="A64" s="79" t="inlineStr">
        <is>
          <t>F-STY-02</t>
        </is>
      </c>
      <c r="B64" s="80" t="inlineStr">
        <is>
          <t>스타일 추출</t>
        </is>
      </c>
      <c r="C64" s="9" t="inlineStr">
        <is>
          <t>처리</t>
        </is>
      </c>
      <c r="D64" s="9" t="inlineStr">
        <is>
          <t>★크기 역산</t>
        </is>
      </c>
      <c r="E64" s="9" t="inlineStr">
        <is>
          <t>원문 폰트 크기를 추정해 번역문 조판에 승계한다 — 추정 방법은 구현이 정한다.</t>
        </is>
      </c>
      <c r="F64" s="5" t="inlineStr">
        <is>
          <t>P0</t>
        </is>
      </c>
      <c r="G64" s="5" t="inlineStr">
        <is>
          <t>must</t>
        </is>
      </c>
      <c r="H64" s="268" t="inlineStr">
        <is>
          <t>O</t>
        </is>
      </c>
      <c r="I64" s="5" t="inlineStr">
        <is>
          <t>① 원문 폰트 크기 추정이 조판에 반영됨</t>
        </is>
      </c>
      <c r="J64" s="5" t="inlineStr">
        <is>
          <t>—</t>
        </is>
      </c>
      <c r="K64" s="5" t="inlineStr">
        <is>
          <t>v3.0 신설 · 난이도 ○ · V4</t>
        </is>
      </c>
      <c r="L64" s="5" t="inlineStr">
        <is>
          <t>【근거】 추정 방법 — bbox 높이에서 역산한다. 9/2 — V4 실측에서 다른 추정법이 나을 수 있으므로 요건에서 구현으로 이관(김도연 확인 9/2 — 명세·ERD와 충돌 없음). 역산 방식 자체는 유지</t>
        </is>
      </c>
      <c r="M64" s="5" t="inlineStr">
        <is>
          <t>v3.0 신설</t>
        </is>
      </c>
      <c r="N64" s="6" t="n"/>
      <c r="O64" s="6" t="n"/>
      <c r="P64" s="6" t="n"/>
      <c r="Q64" s="6" t="n"/>
      <c r="R64" s="6" t="n"/>
      <c r="S64" s="6" t="n"/>
      <c r="T64" s="6" t="n"/>
      <c r="U64" s="6" t="n"/>
      <c r="V64" s="6" t="n"/>
      <c r="W64" s="6" t="n"/>
      <c r="X64" s="6" t="n"/>
      <c r="Y64" s="6" t="n"/>
      <c r="Z64" s="6" t="n"/>
      <c r="AA64" s="6" t="n"/>
    </row>
    <row r="65" ht="100.5" customHeight="1">
      <c r="A65" s="79" t="inlineStr">
        <is>
          <t>F-STY-03</t>
        </is>
      </c>
      <c r="B65" s="80" t="inlineStr">
        <is>
          <t>스타일 추출</t>
        </is>
      </c>
      <c r="C65" s="9" t="inlineStr">
        <is>
          <t>처리</t>
        </is>
      </c>
      <c r="D65" s="9" t="inlineStr">
        <is>
          <t>★정렬 판정</t>
        </is>
      </c>
      <c r="E65" s="9" t="inlineStr">
        <is>
          <t>같은 섹션 내 bbox의 좌/우/중앙 위치로 정렬을 판정한다.</t>
        </is>
      </c>
      <c r="F65" s="5" t="inlineStr">
        <is>
          <t>P0</t>
        </is>
      </c>
      <c r="G65" s="5" t="inlineStr">
        <is>
          <t>must</t>
        </is>
      </c>
      <c r="H65" s="268" t="inlineStr">
        <is>
          <t>O</t>
        </is>
      </c>
      <c r="I65" s="9" t="inlineStr">
        <is>
          <t>① 좌/우/중앙 정렬이 판정되어 조판에 반영됨</t>
        </is>
      </c>
      <c r="J65" s="5" t="inlineStr">
        <is>
          <t>—</t>
        </is>
      </c>
      <c r="K65" s="5" t="inlineStr">
        <is>
          <t>v3.0 신설 · 난이도 ○ · V4</t>
        </is>
      </c>
      <c r="L65" s="5" t="n"/>
      <c r="M65" s="5" t="inlineStr">
        <is>
          <t>v3.0 신설</t>
        </is>
      </c>
      <c r="N65" s="6" t="n"/>
      <c r="O65" s="6" t="n"/>
      <c r="P65" s="6" t="n"/>
      <c r="Q65" s="6" t="n"/>
      <c r="R65" s="6" t="n"/>
      <c r="S65" s="6" t="n"/>
      <c r="T65" s="6" t="n"/>
      <c r="U65" s="6" t="n"/>
      <c r="V65" s="6" t="n"/>
      <c r="W65" s="6" t="n"/>
      <c r="X65" s="6" t="n"/>
      <c r="Y65" s="6" t="n"/>
      <c r="Z65" s="6" t="n"/>
      <c r="AA65" s="6" t="n"/>
    </row>
    <row r="66" ht="31.5" customHeight="1">
      <c r="A66" s="79" t="inlineStr">
        <is>
          <t>F-STY-04</t>
        </is>
      </c>
      <c r="B66" s="80" t="inlineStr">
        <is>
          <t>스타일 추출</t>
        </is>
      </c>
      <c r="C66" s="9" t="inlineStr">
        <is>
          <t>처리</t>
        </is>
      </c>
      <c r="D66" s="9" t="inlineStr">
        <is>
          <t>굵기 추정</t>
        </is>
      </c>
      <c r="E66" s="9" t="inlineStr">
        <is>
          <t>획 두께 비율로 굵기(볼드 여부)를 추정한다. 난이도 △.</t>
        </is>
      </c>
      <c r="F66" s="5" t="inlineStr">
        <is>
          <t>P1</t>
        </is>
      </c>
      <c r="G66" s="5" t="inlineStr">
        <is>
          <t>should</t>
        </is>
      </c>
      <c r="H66" s="268" t="inlineStr">
        <is>
          <t>X</t>
        </is>
      </c>
      <c r="I66" s="9" t="inlineStr">
        <is>
          <t>① 굵기 추정이 조판에 반영됨</t>
        </is>
      </c>
      <c r="J66" s="9" t="inlineStr">
        <is>
          <t>추정 불확실 시 역할 기본값 사용</t>
        </is>
      </c>
      <c r="K66" s="5" t="inlineStr">
        <is>
          <t>v3.0 신설 · 난이도 △ · V4</t>
        </is>
      </c>
      <c r="L66" s="5" t="n"/>
      <c r="M66" s="5" t="inlineStr">
        <is>
          <t>v3.0 신설</t>
        </is>
      </c>
      <c r="N66" s="6" t="n"/>
      <c r="O66" s="6" t="n"/>
      <c r="P66" s="6" t="n"/>
      <c r="Q66" s="6" t="n"/>
      <c r="R66" s="6" t="n"/>
      <c r="S66" s="6" t="n"/>
      <c r="T66" s="6" t="n"/>
      <c r="U66" s="6" t="n"/>
      <c r="V66" s="6" t="n"/>
      <c r="W66" s="6" t="n"/>
      <c r="X66" s="6" t="n"/>
      <c r="Y66" s="6" t="n"/>
      <c r="Z66" s="6" t="n"/>
      <c r="AA66" s="6" t="n"/>
    </row>
    <row r="67" ht="38.25" customHeight="1">
      <c r="A67" s="79" t="inlineStr">
        <is>
          <t>F-STY-05</t>
        </is>
      </c>
      <c r="B67" s="80" t="inlineStr">
        <is>
          <t>스타일 추출</t>
        </is>
      </c>
      <c r="C67" s="9" t="inlineStr">
        <is>
          <t>처리</t>
        </is>
      </c>
      <c r="D67" s="9" t="inlineStr">
        <is>
          <t>★폰트 역할 기반 매핑</t>
        </is>
      </c>
      <c r="E67" s="9" t="inlineStr">
        <is>
          <t>폰트 패밀리 식별은 포기한다 — 텍스트 역할(제목/본문, F-INP-02b) 기준으로 등록된 폰트에 고정 매핑한다(F-FIN-01a). "원본 느낌 유지"를 어디까지 약속할지는 미해결(OI-49).</t>
        </is>
      </c>
      <c r="F67" s="5" t="inlineStr">
        <is>
          <t>P0</t>
        </is>
      </c>
      <c r="G67" s="5" t="inlineStr">
        <is>
          <t>must</t>
        </is>
      </c>
      <c r="H67" s="268" t="inlineStr">
        <is>
          <t>O</t>
        </is>
      </c>
      <c r="I67" s="9" t="inlineStr">
        <is>
          <t>① 역할별 고정 매핑이 적용됨 ② 폰트 식별 시도가 파이프라인에 없음</t>
        </is>
      </c>
      <c r="J67" s="5" t="inlineStr">
        <is>
          <t>—</t>
        </is>
      </c>
      <c r="K67" s="5" t="inlineStr">
        <is>
          <t>v3.0 신설 · 변경안 §8 · 범위는 OI-49 미해결 · 예람 문서 3절(폰트 정교 매핑은 선택적, 역할·굵기 수준이면 충분)</t>
        </is>
      </c>
      <c r="L67" s="5" t="inlineStr">
        <is>
          <t>【근거】 등록 폰트 종 수 — 2~3종. 9/2 — 요건에서 구현으로 이관(F-FIN-01a와 동일 처리)</t>
        </is>
      </c>
      <c r="M67" s="5" t="inlineStr">
        <is>
          <t>v3.0 신설</t>
        </is>
      </c>
      <c r="N67" s="6" t="n"/>
      <c r="O67" s="6" t="n"/>
      <c r="P67" s="6" t="n"/>
      <c r="Q67" s="6" t="n"/>
      <c r="R67" s="6" t="n"/>
      <c r="S67" s="6" t="n"/>
      <c r="T67" s="6" t="n"/>
      <c r="U67" s="6" t="n"/>
      <c r="V67" s="6" t="n"/>
      <c r="W67" s="6" t="n"/>
      <c r="X67" s="6" t="n"/>
      <c r="Y67" s="6" t="n"/>
      <c r="Z67" s="6" t="n"/>
      <c r="AA67" s="6" t="n"/>
    </row>
    <row r="68" ht="45" customHeight="1">
      <c r="A68" s="81" t="inlineStr">
        <is>
          <t>F-BG-01</t>
        </is>
      </c>
      <c r="B68" s="82" t="inlineStr">
        <is>
          <t>N4 배경</t>
        </is>
      </c>
      <c r="C68" s="36" t="inlineStr">
        <is>
          <t>처리</t>
        </is>
      </c>
      <c r="D68" s="36" t="inlineStr">
        <is>
          <t>흰 배경</t>
        </is>
      </c>
      <c r="E68" s="36" t="inlineStr">
        <is>
          <t>결과 이미지에서 생기는 여백(섹션 제외에 따른 잔여 영역 등)을 흰색으로 채운다. 기본값이며 섹션 내부는 건드리지 않는다.</t>
        </is>
      </c>
      <c r="F68" s="37" t="inlineStr">
        <is>
          <t>P0</t>
        </is>
      </c>
      <c r="G68" s="37" t="inlineStr">
        <is>
          <t>must</t>
        </is>
      </c>
      <c r="H68" s="269" t="inlineStr">
        <is>
          <t>O</t>
        </is>
      </c>
      <c r="I68" s="36" t="inlineStr">
        <is>
          <t>① 여백이 흰색으로 채워짐 ② 섹션 내부가 변경되지 않음</t>
        </is>
      </c>
      <c r="J68" s="35" t="inlineStr">
        <is>
          <t>—</t>
        </is>
      </c>
      <c r="K68" s="35" t="inlineStr">
        <is>
          <t>MVP 유일한 배경 가공 방식 · 변경안 §11(여백 흰색 채우기)</t>
        </is>
      </c>
      <c r="L68" s="35" t="n"/>
      <c r="M68" s="37" t="inlineStr">
        <is>
          <t>v3.0 수정 — 모듈 여백→결과 이미지 여백으로 재정의 · v3.0 수정 — 단위 조각→섹션</t>
        </is>
      </c>
      <c r="N68" s="6" t="n"/>
      <c r="O68" s="6" t="n"/>
      <c r="P68" s="6" t="n"/>
      <c r="Q68" s="6" t="n"/>
      <c r="R68" s="6" t="n"/>
      <c r="S68" s="6" t="n"/>
      <c r="T68" s="6" t="n"/>
      <c r="U68" s="6" t="n"/>
      <c r="V68" s="6" t="n"/>
      <c r="W68" s="6" t="n"/>
      <c r="X68" s="6" t="n"/>
      <c r="Y68" s="6" t="n"/>
      <c r="Z68" s="6" t="n"/>
      <c r="AA68" s="6" t="n"/>
    </row>
    <row r="69" ht="86.25" customHeight="1">
      <c r="A69" s="83" t="inlineStr">
        <is>
          <t>F-LNG-01</t>
        </is>
      </c>
      <c r="B69" s="84" t="inlineStr">
        <is>
          <t>N1 입력</t>
        </is>
      </c>
      <c r="C69" s="35" t="inlineStr">
        <is>
          <t>N1</t>
        </is>
      </c>
      <c r="D69" s="36" t="inlineStr">
        <is>
          <t>★타겟 국가 선택</t>
        </is>
      </c>
      <c r="E69" s="36" t="inlineStr">
        <is>
          <t>입력 화면(N1)에서 판매 대상 국가를 선택한다. 목록에는 규제 사전이 구축된 국가만 노출한다. 이 값이 규제 사전과 로컬라이징 사전을 결정한다. 규격은 국가와 독립이다(PL-18). MVP는 미국, 12월 확장 시 일본·UAE를 추가한다. 국가 선택 후 해당 국가에 규제 분류 체계가 정의되어 있으면 규제 분류 선택(F-LNG-03)으로 이어진다.</t>
        </is>
      </c>
      <c r="F69" s="37" t="inlineStr">
        <is>
          <t>P0</t>
        </is>
      </c>
      <c r="G69" s="37" t="inlineStr">
        <is>
          <t>must</t>
        </is>
      </c>
      <c r="H69" s="269" t="inlineStr">
        <is>
          <t>O</t>
        </is>
      </c>
      <c r="I69" s="36" t="inlineStr">
        <is>
          <t>① 국가 선택 전에는 작업을 시작할 수 없음 ② 규제 사전 보유 국가만 목록에 노출됨 ③ 선택 결과가 규제 사전에 반영됨 ④ 변경 시 번역·판정만 재실행 대상이 됨 ⑤ 분류 체계가 있는 국가에서 규제 분류 선택 단계로 이어짐</t>
        </is>
      </c>
      <c r="J69" s="36" t="inlineStr">
        <is>
          <t>미선택 상태로 번역 시작 시 차단하고 안내한다. 사전 미보유 국가는 목록에 나타나지 않으므로 '사전 없음' 예외는 발생하지 않는다 / 국가를 변경하면 규제 분류 선택값은 무효화되어 재선택한다(분류 체계는 국가 종속)</t>
        </is>
      </c>
      <c r="K69" s="35" t="inlineStr">
        <is>
          <t>v1.6 수정 · 사전 보유 국가로 목록 제한 · MVP 미국 / 12월 일본·UAE · v2.5 F-LNG-03 선행 연결</t>
        </is>
      </c>
      <c r="L69" s="35" t="n"/>
      <c r="M69" s="37" t="inlineStr">
        <is>
          <t>v2.5 수정 · v3.0 수정 — 선택 시점 S5→N1(입력)</t>
        </is>
      </c>
      <c r="N69" s="6" t="n"/>
      <c r="O69" s="6" t="n"/>
      <c r="P69" s="6" t="n"/>
      <c r="Q69" s="6" t="n"/>
      <c r="R69" s="6" t="n"/>
      <c r="S69" s="6" t="n"/>
      <c r="T69" s="6" t="n"/>
      <c r="U69" s="6" t="n"/>
      <c r="V69" s="6" t="n"/>
      <c r="W69" s="6" t="n"/>
      <c r="X69" s="6" t="n"/>
      <c r="Y69" s="6" t="n"/>
      <c r="Z69" s="6" t="n"/>
      <c r="AA69" s="6" t="n"/>
    </row>
    <row r="70" ht="51" customHeight="1">
      <c r="A70" s="85" t="inlineStr">
        <is>
          <t>F-LNG-02</t>
        </is>
      </c>
      <c r="B70" s="86" t="inlineStr">
        <is>
          <t>N1 입력</t>
        </is>
      </c>
      <c r="C70" s="5" t="inlineStr">
        <is>
          <t>N1</t>
        </is>
      </c>
      <c r="D70" s="9" t="inlineStr">
        <is>
          <t>★타겟 언어 선택</t>
        </is>
      </c>
      <c r="E70" s="9" t="inlineStr">
        <is>
          <t>입력 화면(N1)에서 도착어를 선택한다. 출발어는 한국어로 고정되며 선택 대상이 아니다. 도착어는 MVP에서 영어, 12월 확장 시 일본어를 추가한다. 이 값이 용어집을 결정한다. 국가와 도착어는 독립이며 자유 조합을 허용한다(미국·영어 / UAE·영어 / 일본·일본어).</t>
        </is>
      </c>
      <c r="F70" s="31" t="inlineStr">
        <is>
          <t>P0</t>
        </is>
      </c>
      <c r="G70" s="31" t="inlineStr">
        <is>
          <t>must</t>
        </is>
      </c>
      <c r="H70" s="268" t="inlineStr">
        <is>
          <t>O</t>
        </is>
      </c>
      <c r="I70" s="9" t="inlineStr">
        <is>
          <t>① 도착어 선택 전에는 번역을 시작할 수 없음 ② 출발어 선택 UI가 존재하지 않음 ③ 선택 결과가 용어집 선택에 반영됨 ④ 국가와 독립적으로 변경 가능</t>
        </is>
      </c>
      <c r="J70" s="9" t="inlineStr">
        <is>
          <t>해당 도착어의 용어집이 없으면 경고 후 범용 번역으로 진행</t>
        </is>
      </c>
      <c r="K70" s="5" t="inlineStr">
        <is>
          <t>v1.6 수정 · 자유 조합 명시 · 출발어 KO 고정 · 도착어 EN(MVP)·JA(12월)</t>
        </is>
      </c>
      <c r="L70" s="5" t="n"/>
      <c r="M70" s="31" t="inlineStr">
        <is>
          <t>v3.0 수정 — 선택 시점 S5→N1(입력)</t>
        </is>
      </c>
      <c r="N70" s="6" t="n"/>
      <c r="O70" s="6" t="n"/>
      <c r="P70" s="6" t="n"/>
      <c r="Q70" s="6" t="n"/>
      <c r="R70" s="6" t="n"/>
      <c r="S70" s="6" t="n"/>
      <c r="T70" s="6" t="n"/>
      <c r="U70" s="6" t="n"/>
      <c r="V70" s="6" t="n"/>
      <c r="W70" s="6" t="n"/>
      <c r="X70" s="6" t="n"/>
      <c r="Y70" s="6" t="n"/>
      <c r="Z70" s="6" t="n"/>
      <c r="AA70" s="6" t="n"/>
    </row>
    <row r="71" ht="108" customHeight="1">
      <c r="A71" s="85" t="inlineStr">
        <is>
          <t>F-LNG-03</t>
        </is>
      </c>
      <c r="B71" s="86" t="inlineStr">
        <is>
          <t>N1 입력</t>
        </is>
      </c>
      <c r="C71" s="5" t="inlineStr">
        <is>
          <t>N1</t>
        </is>
      </c>
      <c r="D71" s="9" t="inlineStr">
        <is>
          <t>★규제 분류 선택</t>
        </is>
      </c>
      <c r="E71" s="271" t="inlineStr">
        <is>
          <t>타겟 국가 선택 후, 해당 국가의 규제 체계상 제품이 속하는 규제 분류(regulatory_class)를 셀러가 선택한다. 이 값이 국가와 함께 규제 사전 조회 조건을 결정한다. 미국은 4개 선택지다 — ① 화장품(Cosmetic) ② OTC 의약품(OTC Drug — Drug Facts 패널 보유: 자외선차단제·여드름 치료제 등) ③ 화장품+OTC 복합(Combination — Drug Facts 패널과 색조·보습 등 화장품 기능을 함께 갖춘 제품, 21 CFR 701.3(d)) ④ 잘 모름(분류 미상). 선택지는 국가별 데이터로 관리한다. 화면 라벨은 질문형이며 문구 전문은 03_화면정의서 N1에 둔다.</t>
        </is>
      </c>
      <c r="F71" s="31" t="inlineStr">
        <is>
          <t>P0</t>
        </is>
      </c>
      <c r="G71" s="31" t="inlineStr">
        <is>
          <t>must</t>
        </is>
      </c>
      <c r="H71" s="268" t="inlineStr">
        <is>
          <t>O</t>
        </is>
      </c>
      <c r="I71" s="9" t="inlineStr">
        <is>
          <t>① 국가 선택 후, 분류 체계가 정의된 국가에서만 셀렉터가 노출됨 ② 미선택 시 번역을 시작할 수 없음('잘 모름'이 명시적 대안) ③ 선택값이 규제 사전 조회 조건에 반영됨 ④ '잘 모름' 선택 시 화장품 기준 검증 + 상시 경고 배지 + 확인 필요 신호 ⑤ 복합 선택 시 한계 고지가 표시됨 ⑥ 변경 시 번역·규제 검증만 재실행됨 ⑦ 선택지가 국가별 데이터로 관리되어 코드 수정 없이 확장됨</t>
        </is>
      </c>
      <c r="J71" s="9" t="inlineStr">
        <is>
          <t>미선택 상태로 번역 시작 시 차단하고 안내한다. 규제 분류 체계가 정의되지 않은 국가는 이 단계를 건너뛰고 국가 축만으로 검증한다. '잘 모름' 선택 시 미탐 가능성을 고지하고 책임 한계(PL-02)를 연결한다.</t>
        </is>
      </c>
      <c r="K71" s="5" t="inlineStr">
        <is>
          <t>v2.5 신설 · OI-42 종결 · F-LNG-01 후속 · 판정 책임은 셀러(F-ACC-04) · Drug Facts 패널 확인 안내 문구 포함 · 내부 카테고리 축(F-SRC-04b)과 독립 — 규제 사전 카테고리 분기 폐기(v1.6)와 충돌 없음 · 복합 문장 단위 처리는 OI-46, 폴백은 OI-47</t>
        </is>
      </c>
      <c r="L71" s="274" t="inlineStr">
        <is>
          <t xml:space="preserve">복합은 문구별로 적용 규칙이 갈려 제품 단위 선택으로 처리되지 않으므로 MVP에서는 OTC와 동일하게 처리하고 그 한계를 화면에 고지한다(OI-46). '잘 모름'은 화장품(네거티브 규제) 기준으로 검증하되 「분류 미확인 상태로 검증됨」 상시 경고 배지와 확인 필요 신호(F-CFM-05)를 부여한다 — OTC 규칙의 무차별 적용은 오탐 홍수로 확인 필요 신호 품질을 무너뜨리므로(PL-20) 합집합 검증은 하지 않는다. 셀러는 자사 제품의 분류를 안다고 전제하며 플랫폼은 분류를 판정하지 않는다. </t>
        </is>
      </c>
      <c r="M71" s="275" t="inlineStr">
        <is>
          <t>신설 · v3.0 수정 — 선택 시점 S5→N1(입력). 미선택 차단·"잘 모름" 탈출구 등 내용은 유지(변경안 §2 화면 1)</t>
        </is>
      </c>
      <c r="N71" s="6" t="n"/>
      <c r="O71" s="6" t="n"/>
      <c r="P71" s="6" t="n"/>
      <c r="Q71" s="6" t="n"/>
      <c r="R71" s="6" t="n"/>
      <c r="S71" s="6" t="n"/>
      <c r="T71" s="6" t="n"/>
      <c r="U71" s="6" t="n"/>
      <c r="V71" s="6" t="n"/>
      <c r="W71" s="6" t="n"/>
      <c r="X71" s="6" t="n"/>
      <c r="Y71" s="6" t="n"/>
      <c r="Z71" s="6" t="n"/>
      <c r="AA71" s="6" t="n"/>
    </row>
    <row r="72" ht="76.5" customHeight="1">
      <c r="A72" s="88" t="inlineStr">
        <is>
          <t>F-SEC-01</t>
        </is>
      </c>
      <c r="B72" s="89" t="inlineStr">
        <is>
          <t>N3 섹션 확인</t>
        </is>
      </c>
      <c r="C72" s="36" t="inlineStr">
        <is>
          <t>처리</t>
        </is>
      </c>
      <c r="D72" s="36" t="inlineStr">
        <is>
          <t>★섹션 자동 분해</t>
        </is>
      </c>
      <c r="E72" s="36" t="inlineStr">
        <is>
          <t>업로드 직후 전체 OCR을 수행하고 원본을 섹션 단위로 자동 분해한다. ★OCR은 원본당 1회 수행되며 그 결과가 판정·번역·산출물 원문(source_ko)의 공통 입력이 된다. ★분해는 원본 1장 단위로 수행한다 — 여러 장을 올려도 장을 가로질러 잇지 않으므로 파일 경계에 걸친 섹션은 생기지 않는다. 분해 결과에 규제·현지적합성 판정이 붙어 섹션 확인(N3)으로 전달된다.</t>
        </is>
      </c>
      <c r="F72" s="35" t="inlineStr">
        <is>
          <t>P0</t>
        </is>
      </c>
      <c r="G72" s="35" t="inlineStr">
        <is>
          <t>must</t>
        </is>
      </c>
      <c r="H72" s="269" t="inlineStr">
        <is>
          <t>O</t>
        </is>
      </c>
      <c r="I72" s="36" t="inlineStr">
        <is>
          <t>① 섹션 경계가 자동 검출됨 ② 각 섹션에 OCR 텍스트·bbox가 귀속됨 ③ 판정 입력으로 전달됨 ④ ★원본이 여러 장이면 장별로 분해되고 섹션이 장 경계를 넘지 않음 ⑤ ★OCR이 원본당 1회만 수행되고 그 결과가 판정·번역·source_ko의 공통 입력이 됨 ⑥ ★섹션 경계가 텍스트 블록을 가르지 않음</t>
        </is>
      </c>
      <c r="J72" s="36" t="inlineStr">
        <is>
          <t>섹션 분해 실패 시 전체를 단일 섹션으로 두고 진행한다</t>
        </is>
      </c>
      <c r="K72" s="35" t="inlineStr">
        <is>
          <t>v3.0 신설 · 변경안 §2 화면 2 · V7(초장축 전체 OCR 실측) 미실행 — S2 스모크에 얹음 · v3.0 수정 — 원본 1장 단위 분해 명시(결과물 분할 규칙의 전제) · 썸네일 입력은 분해 미수행(F-THM-02, 12월)</t>
        </is>
      </c>
      <c r="L72" s="35" t="inlineStr">
        <is>
          <t>【근거】 검증 계획 — 초장축(수천~수만 px)이 대상이므로 소요 시간·타일 경계 누락·인식률은 V7 실측으로 확인한다(미실행)</t>
        </is>
      </c>
      <c r="M72" s="35" t="inlineStr">
        <is>
          <t>v3.0 신설</t>
        </is>
      </c>
      <c r="N72" s="6" t="n"/>
      <c r="O72" s="6" t="n"/>
      <c r="P72" s="6" t="n"/>
      <c r="Q72" s="6" t="n"/>
      <c r="R72" s="6" t="n"/>
      <c r="S72" s="6" t="n"/>
      <c r="T72" s="6" t="n"/>
      <c r="U72" s="6" t="n"/>
      <c r="V72" s="6" t="n"/>
      <c r="W72" s="6" t="n"/>
      <c r="X72" s="6" t="n"/>
      <c r="Y72" s="6" t="n"/>
      <c r="Z72" s="6" t="n"/>
      <c r="AA72" s="6" t="n"/>
    </row>
    <row r="73" ht="86.25" customHeight="1">
      <c r="A73" s="90" t="inlineStr">
        <is>
          <t>F-SEC-02</t>
        </is>
      </c>
      <c r="B73" s="91" t="inlineStr">
        <is>
          <t>N3 섹션 확인</t>
        </is>
      </c>
      <c r="C73" s="5" t="inlineStr">
        <is>
          <t>N3</t>
        </is>
      </c>
      <c r="D73" s="9" t="inlineStr">
        <is>
          <t>★섹션 확인 화면 — 버킷 2개</t>
        </is>
      </c>
      <c r="E73" s="9" t="inlineStr">
        <is>
          <t>섹션 확인은 버킷 2개로 구성한다: ⚠ 제외된 섹션(펼침) / ✓ 결과물에 포함될 섹션(접힘, 펼치기 가능). 체크박스·자동삭제 토글은 두지 않는다. 자동/수동 선택이라는 요구는 버킷의 기본값이 이미 흡수한다. 각 섹션 행에 썸네일·판정 배지·문제 문구·근거를 표시한다.</t>
        </is>
      </c>
      <c r="F73" s="5" t="inlineStr">
        <is>
          <t>P0</t>
        </is>
      </c>
      <c r="G73" s="5" t="inlineStr">
        <is>
          <t>must</t>
        </is>
      </c>
      <c r="H73" s="268" t="inlineStr">
        <is>
          <t>O</t>
        </is>
      </c>
      <c r="I73" s="9" t="inlineStr">
        <is>
          <t>① 버킷 2개만 존재(체크박스 없음) ② 제외 버킷이 기본 펼침, 포함 버킷이 기본 접힘 ③ 섹션별 배지·근거 표시</t>
        </is>
      </c>
      <c r="J73" s="9" t="inlineStr">
        <is>
          <t>판정 결과가 없는 섹션은 포함 버킷에 배지 없이 놓인다</t>
        </is>
      </c>
      <c r="K73" s="5" t="inlineStr">
        <is>
          <t>v3.0 신설 · 변경안 §2 화면 3 · 변경안 §0 결정 4 · §2 화면 1 삭제 근거 ①~④</t>
        </is>
      </c>
      <c r="L73" s="5" t="n"/>
      <c r="M73" s="5" t="inlineStr">
        <is>
          <t>v3.0 신설</t>
        </is>
      </c>
      <c r="N73" s="6" t="n"/>
      <c r="O73" s="6" t="n"/>
      <c r="P73" s="6" t="n"/>
      <c r="Q73" s="6" t="n"/>
      <c r="R73" s="6" t="n"/>
      <c r="S73" s="6" t="n"/>
      <c r="T73" s="6" t="n"/>
      <c r="U73" s="6" t="n"/>
      <c r="V73" s="6" t="n"/>
      <c r="W73" s="6" t="n"/>
      <c r="X73" s="6" t="n"/>
      <c r="Y73" s="6" t="n"/>
      <c r="Z73" s="6" t="n"/>
      <c r="AA73" s="6" t="n"/>
    </row>
    <row r="74" ht="58.5" customHeight="1">
      <c r="A74" s="90" t="inlineStr">
        <is>
          <t>F-SEC-03</t>
        </is>
      </c>
      <c r="B74" s="91" t="inlineStr">
        <is>
          <t>N3 섹션 확인</t>
        </is>
      </c>
      <c r="C74" s="5" t="inlineStr">
        <is>
          <t>N3</t>
        </is>
      </c>
      <c r="D74" s="9" t="inlineStr">
        <is>
          <t>★액션 2개 · 무조작 통과 · 재정렬 불가</t>
        </is>
      </c>
      <c r="E74" s="9" t="inlineStr">
        <is>
          <t>결과물이 썸네일이 아니면 액션은 [되살리기](제외→포함)와 [제외하기](포함→제외) 2개뿐이다. 아무것도 건드리지 않고 [이대로 진행]하면 권고대로 진행된다(무조작 통과 — 전자동과 동일한 결과, 클릭 0회). 순서 재정렬은 불가하다 — 원본 세로 순서 고정.</t>
        </is>
      </c>
      <c r="F74" s="5" t="inlineStr">
        <is>
          <t>P0</t>
        </is>
      </c>
      <c r="G74" s="5" t="inlineStr">
        <is>
          <t>must</t>
        </is>
      </c>
      <c r="H74" s="268" t="inlineStr">
        <is>
          <t>O</t>
        </is>
      </c>
      <c r="I74" s="9" t="inlineStr">
        <is>
          <t>① 결과물이 썸네일이 아니면 액션이 되살리기/제외하기 2개뿐 ② 무조작 [이대로 진행] 가능 ③ 순서 변경 UI가 존재하지 않음 ④ [이대로 진행] 시 번역(N4)이 시작됨</t>
        </is>
      </c>
      <c r="J74" s="5" t="inlineStr">
        <is>
          <t>—</t>
        </is>
      </c>
      <c r="K74" s="5" t="inlineStr">
        <is>
          <t>v3.0 신설 · 변경안 §0 결정 4·§2 화면 3 · 결과물이 썸네일이면 F-THM-04(대표이미지 지정)가 더해진다</t>
        </is>
      </c>
      <c r="L74" s="5" t="inlineStr">
        <is>
          <t>【근거】 재정렬 불가 — 허용하면 그것이 곧 배치 편집이고, 예람안이 삭제한 자유 배치가 뒷문으로 돌아온다</t>
        </is>
      </c>
      <c r="M74" s="5" t="inlineStr">
        <is>
          <t>v3.0 신설 · 9/1 — "액션 2개"는 N3의 액션이 2개라는 뜻이다. 검수(N5)의 섹션 제외(F-CFM-14)는 별개 기능이며 N3의 액션 수와 무관하다 · v3.2 수정 — 액션 2개를 결과물이 썸네일이 아닌 경우로 조건화(F-THM-04) · 재정렬 불가 근거를 근거 열로 이관</t>
        </is>
      </c>
      <c r="N74" s="6" t="n"/>
      <c r="O74" s="6" t="n"/>
      <c r="P74" s="6" t="n"/>
      <c r="Q74" s="6" t="n"/>
      <c r="R74" s="6" t="n"/>
      <c r="S74" s="6" t="n"/>
      <c r="T74" s="6" t="n"/>
      <c r="U74" s="6" t="n"/>
      <c r="V74" s="6" t="n"/>
      <c r="W74" s="6" t="n"/>
      <c r="X74" s="6" t="n"/>
      <c r="Y74" s="6" t="n"/>
      <c r="Z74" s="6" t="n"/>
      <c r="AA74" s="6" t="n"/>
    </row>
    <row r="75" ht="63.75" customHeight="1">
      <c r="A75" s="90" t="inlineStr">
        <is>
          <t>F-SEC-04</t>
        </is>
      </c>
      <c r="B75" s="91" t="inlineStr">
        <is>
          <t>N3 섹션 확인</t>
        </is>
      </c>
      <c r="C75" s="5" t="inlineStr">
        <is>
          <t>N3</t>
        </is>
      </c>
      <c r="D75" s="9" t="inlineStr">
        <is>
          <t>★판정 배지 체계 (4종)</t>
        </is>
      </c>
      <c r="E75" s="9" t="inlineStr">
        <is>
          <t>배지 4종: 🔴 규제 위반(국가 규제 — FDA·약기법, 기본 제외 버킷, 9월 활성) / 🔴 채널 정책(아마존 A+ 리뷰·가격·연락처 금지 등, 기본 제외 버킷, 9월은 티저만 — 규격이 원본 고정이므로) / 🟡 현지 무의미(국내 배송비·계좌·카카오톡·국내 전화 등, 기본 제외 버킷, 9월 활성) / 🏷 현지 기준 수정 필요(교환·반품 정책·A/S·국내 인증마크, 포함 버킷 배지만, 9월 배지만).</t>
        </is>
      </c>
      <c r="F75" s="5" t="inlineStr">
        <is>
          <t>P0</t>
        </is>
      </c>
      <c r="G75" s="5" t="inlineStr">
        <is>
          <t>must</t>
        </is>
      </c>
      <c r="H75" s="268" t="inlineStr">
        <is>
          <t>O</t>
        </is>
      </c>
      <c r="I75" s="9" t="inlineStr">
        <is>
          <t>① 배지 4종이 기준·기본 위치대로 동작 ② 채널 정책은 9월 티저로만 표시됨 ③ 근거(조문·패턴)가 [보기]로 제공됨</t>
        </is>
      </c>
      <c r="J75" s="9" t="inlineStr">
        <is>
          <t>판정 근거 조회 실패 시 배지는 유지하되 근거 영역에 오류를 표시한다</t>
        </is>
      </c>
      <c r="K75" s="5" t="inlineStr">
        <is>
          <t>v3.0 신설 · 판정 데이터는 F-TRN-07(규제)·F-LOC-01(현지 부적합) · 티저 문구 예: "아마존에 올린다면: 리뷰 섹션 삭제 대상 · 이 페이지는 A+ 모듈 7종으로 분해 필요 (12월 지원 예정)"</t>
        </is>
      </c>
      <c r="L75" s="5" t="inlineStr">
        <is>
          <t>【근거】 제외 버킷 배치 근거 — 현지 무의미(①확실)를 제외 버킷에 넣는 근거: 패턴 매칭이라 규제 사전 수준으로 확실하고, 포함 버킷에 두면 셀러가 하나씩 제외하는 수작업이 되며, 카카오톡 문의를 자동으로 빼주는 것이 "각국의 커머스 관습까지 반영"을 증명하는 가장 직접적인 장면이기 때문(변경안 §2)</t>
        </is>
      </c>
      <c r="M75" s="5" t="inlineStr">
        <is>
          <t>v3.0 신설</t>
        </is>
      </c>
      <c r="N75" s="6" t="n"/>
      <c r="O75" s="6" t="n"/>
      <c r="P75" s="6" t="n"/>
      <c r="Q75" s="6" t="n"/>
      <c r="R75" s="6" t="n"/>
      <c r="S75" s="6" t="n"/>
      <c r="T75" s="6" t="n"/>
      <c r="U75" s="6" t="n"/>
      <c r="V75" s="6" t="n"/>
      <c r="W75" s="6" t="n"/>
      <c r="X75" s="6" t="n"/>
      <c r="Y75" s="6" t="n"/>
      <c r="Z75" s="6" t="n"/>
      <c r="AA75" s="6" t="n"/>
    </row>
    <row r="76" ht="94.5" customHeight="1">
      <c r="A76" s="90" t="inlineStr">
        <is>
          <t>F-SEC-05</t>
        </is>
      </c>
      <c r="B76" s="91" t="inlineStr">
        <is>
          <t>N3 섹션 확인</t>
        </is>
      </c>
      <c r="C76" s="5" t="inlineStr">
        <is>
          <t>N3</t>
        </is>
      </c>
      <c r="D76" s="9" t="inlineStr">
        <is>
          <t>★삭제 내역 노출</t>
        </is>
      </c>
      <c r="E76" s="271" t="inlineStr">
        <is>
          <t>표시 항목: 어느 섹션(썸네일+원본 내 위치) / 무엇 때문에(문제 문구) / 어느 기준(예: 미국 FDA — OTC 의약품 클레임) / 근거(조문 [보기]) / 되돌리기([되살리기]). 세 곳에 남기되 역할이 다르다(NFR-31) — ① 화면(N3): 셀러가 확인하고 되살리는 지점 ② content.csv: ★셀러가 내려받는 유일한 증빙. ③ manifest.json: 서버 내부 데이터. 되살리기·재생성이 원래 판정을 복원하는 근거이며 셀러에게 배포하지 않는다. 결과물만 보고는 알 수 없는 정보이므로 어느 쪽에서도 누락되지 않아야 한다.</t>
        </is>
      </c>
      <c r="F76" s="5" t="inlineStr">
        <is>
          <t>P0</t>
        </is>
      </c>
      <c r="G76" s="5" t="inlineStr">
        <is>
          <t>must</t>
        </is>
      </c>
      <c r="H76" s="268" t="inlineStr">
        <is>
          <t>O</t>
        </is>
      </c>
      <c r="I76" s="9" t="inlineStr">
        <is>
          <t>① 제외 섹션마다 5개 표시 항목이 모두 제공됨 ② 동일 정보가 content.csv(셀러 배포)와 manifest.json(서버 내부)에 각각 누락 없이 포함됨 ③ ★셀러가 받는 파일만으로 5개 표시 항목의 근거를 확인할 수 있음</t>
        </is>
      </c>
      <c r="J76" s="5" t="inlineStr">
        <is>
          <t>—</t>
        </is>
      </c>
      <c r="K76" s="5" t="inlineStr">
        <is>
          <t>v3.0 신설 · 변경안 §2 "삭제 내역 노출은 필수 요건"</t>
        </is>
      </c>
      <c r="L76" s="5" t="n"/>
      <c r="M76" s="5" t="inlineStr">
        <is>
          <t>v3.0 신설 · 9/1 — manifest가 셀러 배포 대상에서 빠지면서 content.csv가 단독 증빙이 됨.</t>
        </is>
      </c>
      <c r="N76" s="6" t="n"/>
      <c r="O76" s="6" t="n"/>
      <c r="P76" s="6" t="n"/>
      <c r="Q76" s="6" t="n"/>
      <c r="R76" s="6" t="n"/>
      <c r="S76" s="6" t="n"/>
      <c r="T76" s="6" t="n"/>
      <c r="U76" s="6" t="n"/>
      <c r="V76" s="6" t="n"/>
      <c r="W76" s="6" t="n"/>
      <c r="X76" s="6" t="n"/>
      <c r="Y76" s="6" t="n"/>
      <c r="Z76" s="6" t="n"/>
      <c r="AA76" s="6" t="n"/>
    </row>
    <row r="77" ht="63.75" customHeight="1">
      <c r="A77" s="90" t="inlineStr">
        <is>
          <t>F-SEC-06</t>
        </is>
      </c>
      <c r="B77" s="91" t="inlineStr">
        <is>
          <t>N3 섹션 확인</t>
        </is>
      </c>
      <c r="C77" s="5" t="inlineStr">
        <is>
          <t>N3</t>
        </is>
      </c>
      <c r="D77" s="9" t="inlineStr">
        <is>
          <t>★제외 사유 코드 기록</t>
        </is>
      </c>
      <c r="E77" s="9" t="inlineStr">
        <is>
          <t>섹션별 제외·복귀 사유를 코드로 기록한다: auto_regulatory(시스템 — 규제 위반, +조문) / auto_channel(시스템 — 채널 정책, 12월) / auto_local_irrelevant(시스템 — 현지 무의미) / user_manual(사용자 직접 제외) / restored_by_user(사용자가 권고를 무시하고 되살림, +원래 판정). user_manual은 N3과 N5(F-CFM-14) 양쪽의 사용자 직접 제외에 공통으로 쓰며 새 코드를 만들지 않는다.</t>
        </is>
      </c>
      <c r="F77" s="5" t="inlineStr">
        <is>
          <t>P0</t>
        </is>
      </c>
      <c r="G77" s="5" t="inlineStr">
        <is>
          <t>must</t>
        </is>
      </c>
      <c r="H77" s="268" t="inlineStr">
        <is>
          <t>O</t>
        </is>
      </c>
      <c r="I77" s="5" t="inlineStr">
        <is>
          <t>① 5종 사유 코드가 기록됨 ② restored_by_user에 원래 판정이 함께 남음 ③ content.csv exclusion_reason 열과 일치</t>
        </is>
      </c>
      <c r="J77" s="5" t="inlineStr">
        <is>
          <t>—</t>
        </is>
      </c>
      <c r="K77" s="5" t="inlineStr">
        <is>
          <t>v3.0 신설 · 변경안 §2 제외 사유 기록 · PL-25(판정 책임 셀러)</t>
        </is>
      </c>
      <c r="L77" s="5" t="inlineStr">
        <is>
          <t>【근거】 restored_by_user의 의미 — restored_by_user는 판정 책임이 셀러에게 있음을 보여주는 근거가 된다(PL-25, v2.5 "판정 책임 셀러"와 연결)</t>
        </is>
      </c>
      <c r="M77" s="5" t="inlineStr">
        <is>
          <t>v3.0 신설</t>
        </is>
      </c>
      <c r="N77" s="6" t="n"/>
      <c r="O77" s="6" t="n"/>
      <c r="P77" s="6" t="n"/>
      <c r="Q77" s="6" t="n"/>
      <c r="R77" s="6" t="n"/>
      <c r="S77" s="6" t="n"/>
      <c r="T77" s="6" t="n"/>
      <c r="U77" s="6" t="n"/>
      <c r="V77" s="6" t="n"/>
      <c r="W77" s="6" t="n"/>
      <c r="X77" s="6" t="n"/>
      <c r="Y77" s="6" t="n"/>
      <c r="Z77" s="6" t="n"/>
      <c r="AA77" s="6" t="n"/>
    </row>
    <row r="78" ht="51" customHeight="1">
      <c r="A78" s="90" t="inlineStr">
        <is>
          <t>F-SEC-07</t>
        </is>
      </c>
      <c r="B78" s="91" t="inlineStr">
        <is>
          <t>N3 섹션 확인</t>
        </is>
      </c>
      <c r="C78" s="9" t="inlineStr">
        <is>
          <t>처리</t>
        </is>
      </c>
      <c r="D78" s="9" t="inlineStr">
        <is>
          <t>★수평 절단 + 스택</t>
        </is>
      </c>
      <c r="E78" s="9" t="inlineStr">
        <is>
          <t>제외된 섹션의 자리는 아래가 위로 당겨지는 수평 절단 + 스택으로 처리한다. 구멍 없이 전체 높이만 줄어든다. 섹션을 빼고 남은 것을 세로로 이어붙이면 배치가 자명해지므로 캔버스가 필요 없다. 조판(F-INP-03)은 이 스택 오프셋을 반영한다.</t>
        </is>
      </c>
      <c r="F78" s="5" t="inlineStr">
        <is>
          <t>P0</t>
        </is>
      </c>
      <c r="G78" s="5" t="inlineStr">
        <is>
          <t>must</t>
        </is>
      </c>
      <c r="H78" s="268" t="inlineStr">
        <is>
          <t>O</t>
        </is>
      </c>
      <c r="I78" s="9" t="inlineStr">
        <is>
          <t>① 제외 섹션 제거 후 빈 공간이 없음 ② 잔여 섹션의 상대 순서·내부 좌표가 유지됨 ③ 전체 높이가 제외분만큼 감소</t>
        </is>
      </c>
      <c r="J78" s="5" t="inlineStr">
        <is>
          <t>—</t>
        </is>
      </c>
      <c r="K78" s="5" t="inlineStr">
        <is>
          <t>v3.0 신설 · 보완안 §2 · 썸네일 입력에는 미적용(F-THM-03, 12월)</t>
        </is>
      </c>
      <c r="L78" s="5" t="n"/>
      <c r="M78" s="5" t="inlineStr">
        <is>
          <t>v3.0 신설</t>
        </is>
      </c>
      <c r="N78" s="6" t="n"/>
      <c r="O78" s="6" t="n"/>
      <c r="P78" s="6" t="n"/>
      <c r="Q78" s="6" t="n"/>
      <c r="R78" s="6" t="n"/>
      <c r="S78" s="6" t="n"/>
      <c r="T78" s="6" t="n"/>
      <c r="U78" s="6" t="n"/>
      <c r="V78" s="6" t="n"/>
      <c r="W78" s="6" t="n"/>
      <c r="X78" s="6" t="n"/>
      <c r="Y78" s="6" t="n"/>
      <c r="Z78" s="6" t="n"/>
      <c r="AA78" s="6" t="n"/>
    </row>
    <row r="79" ht="155.25" customHeight="1">
      <c r="A79" s="90" t="inlineStr">
        <is>
          <t>F-TXT-05</t>
        </is>
      </c>
      <c r="B79" s="91" t="inlineStr">
        <is>
          <t>N3 섹션 확인</t>
        </is>
      </c>
      <c r="C79" s="5" t="inlineStr">
        <is>
          <t>N3</t>
        </is>
      </c>
      <c r="D79" s="9" t="inlineStr">
        <is>
          <t>위험 표현 자동 판정 (배지 공급)</t>
        </is>
      </c>
      <c r="E79" s="9" t="inlineStr">
        <is>
          <t>타겟 국가·규제 분류 기준으로 규제 사전에서 위험 표현을 자동 검출해 섹션 확인(N3)의 판정 배지(F-SEC-04)에 공급한다. 브랜드 금지용어와 병합한다. 판정 결과는 섹션·문구 단위 판정 근거(조문 포함)로 노출한다.</t>
        </is>
      </c>
      <c r="F79" s="31" t="inlineStr">
        <is>
          <t>P0</t>
        </is>
      </c>
      <c r="G79" s="31" t="inlineStr">
        <is>
          <t>must</t>
        </is>
      </c>
      <c r="H79" s="268" t="inlineStr">
        <is>
          <t>O</t>
        </is>
      </c>
      <c r="I79" s="9" t="inlineStr">
        <is>
          <t>① 위험 표현이 섹션 확인 배지·근거로 노출됨 ② 국가별 다른 사전 적용 ③ 규제 분류 선택·변경 시 판정이 갱신됨</t>
        </is>
      </c>
      <c r="J79" s="9" t="inlineStr">
        <is>
          <t>사전 조회 실패 시 제안을 생략하되 번역 단계 검증은 정상 수행</t>
        </is>
      </c>
      <c r="K79" s="5" t="inlineStr">
        <is>
          <t>RAG 규제 DB</t>
        </is>
      </c>
      <c r="L79" s="5" t="n"/>
      <c r="M79" s="31" t="inlineStr">
        <is>
          <t>v2.5 수정 · 조회 축에 규제 분류 추가 · v3.0 수정 — S5 제안 목록→N3 판정 배지 공급으로 재정의 · v3.0 수정 — 구 S번호 정정</t>
        </is>
      </c>
      <c r="N79" s="6" t="n"/>
      <c r="O79" s="6" t="n"/>
      <c r="P79" s="6" t="n"/>
      <c r="Q79" s="6" t="n"/>
      <c r="R79" s="6" t="n"/>
      <c r="S79" s="6" t="n"/>
      <c r="T79" s="6" t="n"/>
      <c r="U79" s="6" t="n"/>
      <c r="V79" s="6" t="n"/>
      <c r="W79" s="6" t="n"/>
      <c r="X79" s="6" t="n"/>
      <c r="Y79" s="6" t="n"/>
      <c r="Z79" s="6" t="n"/>
      <c r="AA79" s="6" t="n"/>
    </row>
    <row r="80" ht="100.5" customHeight="1">
      <c r="A80" s="92" t="inlineStr">
        <is>
          <t>F-TRN-01</t>
        </is>
      </c>
      <c r="B80" s="93" t="inlineStr">
        <is>
          <t>N4 번역</t>
        </is>
      </c>
      <c r="C80" s="35" t="inlineStr">
        <is>
          <t>N2·N4</t>
        </is>
      </c>
      <c r="D80" s="36" t="inlineStr">
        <is>
          <t>번역 진행 표시</t>
        </is>
      </c>
      <c r="E80" s="36" t="inlineStr">
        <is>
          <t>분석(N2)·번역(N4) 처리 화면에서 진행 상태를 표시한다. 초장축 원본은 처리 시간이 길므로 진행률과 함께 현재 단계(OCR → 섹션 분해 → 판정 / 인페인팅 ∥ 1차 번역 ∥ 규제 검증 → 조판·렌더)를 노출한다.</t>
        </is>
      </c>
      <c r="F80" s="37" t="inlineStr">
        <is>
          <t>P0</t>
        </is>
      </c>
      <c r="G80" s="37" t="inlineStr">
        <is>
          <t>must</t>
        </is>
      </c>
      <c r="H80" s="269" t="inlineStr">
        <is>
          <t>O</t>
        </is>
      </c>
      <c r="I80" s="36" t="inlineStr">
        <is>
          <t>① 진행률·현재 단계 실시간 갱신 ② 완료 시 다음 화면으로 자동 전환</t>
        </is>
      </c>
      <c r="J80" s="36" t="inlineStr">
        <is>
          <t>장시간 무응답 시 타임아웃 처리 후 재시도 안내</t>
        </is>
      </c>
      <c r="K80" s="35" t="n"/>
      <c r="L80" s="35" t="n"/>
      <c r="M80" s="37" t="inlineStr">
        <is>
          <t>v3.0 수정 — N2·N4 처리 화면 공용, 현재 단계 노출 추가</t>
        </is>
      </c>
      <c r="N80" s="6" t="n"/>
      <c r="O80" s="6" t="n"/>
      <c r="P80" s="6" t="n"/>
      <c r="Q80" s="6" t="n"/>
      <c r="R80" s="6" t="n"/>
      <c r="S80" s="6" t="n"/>
      <c r="T80" s="6" t="n"/>
      <c r="U80" s="6" t="n"/>
      <c r="V80" s="6" t="n"/>
      <c r="W80" s="6" t="n"/>
      <c r="X80" s="6" t="n"/>
      <c r="Y80" s="6" t="n"/>
      <c r="Z80" s="6" t="n"/>
      <c r="AA80" s="6" t="n"/>
    </row>
    <row r="81" ht="196.5" customHeight="1">
      <c r="A81" s="94" t="inlineStr">
        <is>
          <t>F-TRN-02</t>
        </is>
      </c>
      <c r="B81" s="95" t="inlineStr">
        <is>
          <t>N4 번역</t>
        </is>
      </c>
      <c r="C81" s="5" t="inlineStr">
        <is>
          <t>N4</t>
        </is>
      </c>
      <c r="D81" s="5" t="inlineStr">
        <is>
          <t>★RAG 기반 번역</t>
        </is>
      </c>
      <c r="E81" s="9" t="inlineStr">
        <is>
          <t>범용 LLM에 도메인 용어집을 검색 주입해 번역한다. 브랜드 보이스와 핵심 키워드를 프롬프트에 함께 반영한다.</t>
        </is>
      </c>
      <c r="F81" s="31" t="inlineStr">
        <is>
          <t>P0</t>
        </is>
      </c>
      <c r="G81" s="31" t="inlineStr">
        <is>
          <t>must</t>
        </is>
      </c>
      <c r="H81" s="268" t="inlineStr">
        <is>
          <t>O</t>
        </is>
      </c>
      <c r="I81" s="9" t="inlineStr">
        <is>
          <t>① 용어집 검색 결과가 프롬프트에 주입됨 ② 등록 용어가 일관되게 적용 ③ 브랜드 보이스 반영</t>
        </is>
      </c>
      <c r="J81" s="9" t="inlineStr">
        <is>
          <t>용어집 조회 실패 시 일반 번역으로 폴백하고 해당 사실을 표시</t>
        </is>
      </c>
      <c r="K81" s="5" t="inlineStr">
        <is>
          <t>★v1.4: 파인튜닝·LoRA 폐기</t>
        </is>
      </c>
      <c r="L81" s="5" t="inlineStr">
        <is>
          <t>【근거】 RAG 채택 — 파인튜닝 대신 RAG를 쓰는 이유는 용어집만 갱신하면 되기 때문이며, 신조어가 빠르게 생기는 뷰티 도메인에 적합하다</t>
        </is>
      </c>
      <c r="M81" s="31" t="n"/>
      <c r="N81" s="6" t="n"/>
      <c r="O81" s="6" t="n"/>
      <c r="P81" s="6" t="n"/>
      <c r="Q81" s="6" t="n"/>
      <c r="R81" s="6" t="n"/>
      <c r="S81" s="6" t="n"/>
      <c r="T81" s="6" t="n"/>
      <c r="U81" s="6" t="n"/>
      <c r="V81" s="6" t="n"/>
      <c r="W81" s="6" t="n"/>
      <c r="X81" s="6" t="n"/>
      <c r="Y81" s="6" t="n"/>
      <c r="Z81" s="6" t="n"/>
      <c r="AA81" s="6" t="n"/>
    </row>
    <row r="82" ht="86.25" customHeight="1">
      <c r="A82" s="94" t="inlineStr">
        <is>
          <t>F-TRN-02a</t>
        </is>
      </c>
      <c r="B82" s="95" t="inlineStr">
        <is>
          <t>N4 번역</t>
        </is>
      </c>
      <c r="C82" s="9" t="inlineStr">
        <is>
          <t>처리</t>
        </is>
      </c>
      <c r="D82" s="9" t="inlineStr">
        <is>
          <t>★번역 단위 및 순서</t>
        </is>
      </c>
      <c r="E82" s="271" t="inlineStr">
        <is>
          <t>번역은 원본 세로 순서로 수행한다. 그 순서를 문맥으로 삼는다. 제외 버킷 섹션의 텍스트는 번역 대상에서 제외한다.</t>
        </is>
      </c>
      <c r="F82" s="31" t="inlineStr">
        <is>
          <t>P0</t>
        </is>
      </c>
      <c r="G82" s="31" t="inlineStr">
        <is>
          <t>must</t>
        </is>
      </c>
      <c r="H82" s="268" t="inlineStr">
        <is>
          <t>O</t>
        </is>
      </c>
      <c r="I82" s="9" t="inlineStr">
        <is>
          <t>① 원본 세로 순서대로 번역됨 ② 제외 섹션의 텍스트는 번역되지 않음 ③ 앞뒤 블록이 문맥으로 제공됨</t>
        </is>
      </c>
      <c r="J82" s="16" t="inlineStr">
        <is>
          <t>—</t>
        </is>
      </c>
      <c r="K82" s="5" t="inlineStr">
        <is>
          <t>v1.8 · 결과물 1종에 따라 탭 축 제거</t>
        </is>
      </c>
      <c r="L82" s="5" t="n"/>
      <c r="M82" s="31" t="inlineStr">
        <is>
          <t>v3.0 수정 — 순서 기준 배치→원본 세로 순서, 모듈·탭 문구 제거</t>
        </is>
      </c>
      <c r="N82" s="6" t="n"/>
      <c r="O82" s="6" t="n"/>
      <c r="P82" s="6" t="n"/>
      <c r="Q82" s="6" t="n"/>
      <c r="R82" s="6" t="n"/>
      <c r="S82" s="6" t="n"/>
      <c r="T82" s="6" t="n"/>
      <c r="U82" s="6" t="n"/>
      <c r="V82" s="6" t="n"/>
      <c r="W82" s="6" t="n"/>
      <c r="X82" s="6" t="n"/>
      <c r="Y82" s="6" t="n"/>
      <c r="Z82" s="6" t="n"/>
      <c r="AA82" s="6" t="n"/>
    </row>
    <row r="83" ht="72.75" customHeight="1">
      <c r="A83" s="94" t="inlineStr">
        <is>
          <t>F-TRN-02b</t>
        </is>
      </c>
      <c r="B83" s="95" t="inlineStr">
        <is>
          <t>N4 번역</t>
        </is>
      </c>
      <c r="C83" s="5" t="inlineStr">
        <is>
          <t>N4</t>
        </is>
      </c>
      <c r="D83" s="9" t="inlineStr">
        <is>
          <t>★브랜드 톤 프롬프트 주입</t>
        </is>
      </c>
      <c r="E83" s="5" t="inlineStr">
        <is>
          <t>F-BRD-03(브랜드 개요)과 F-BRD-05(핵심 고객층)에 셀러가 입력한 설명을 번역 프롬프트에 주입해 톤을 지정한다. 값이 비어 있으면 중립 톤으로 번역한다.</t>
        </is>
      </c>
      <c r="F83" s="31" t="inlineStr">
        <is>
          <t>P0</t>
        </is>
      </c>
      <c r="G83" s="31" t="inlineStr">
        <is>
          <t>must</t>
        </is>
      </c>
      <c r="H83" s="268" t="inlineStr">
        <is>
          <t>O</t>
        </is>
      </c>
      <c r="I83" s="9" t="inlineStr">
        <is>
          <t>① 브랜드 개요·핵심 고객층이 프롬프트에 포함됨 ② 값 변경 시 이후 번역에 반영됨</t>
        </is>
      </c>
      <c r="J83" s="9" t="inlineStr">
        <is>
          <t>값이 비어 있으면 경고 없이 중립 톤 적용</t>
        </is>
      </c>
      <c r="K83" s="5" t="inlineStr">
        <is>
          <t>v1.5 신설 · F-BRD-04 삭제에 따른 대체</t>
        </is>
      </c>
      <c r="L83" s="5" t="n"/>
      <c r="M83" s="31" t="n"/>
      <c r="N83" s="6" t="n"/>
      <c r="O83" s="6" t="n"/>
      <c r="P83" s="6" t="n"/>
      <c r="Q83" s="6" t="n"/>
      <c r="R83" s="6" t="n"/>
      <c r="S83" s="6" t="n"/>
      <c r="T83" s="6" t="n"/>
      <c r="U83" s="6" t="n"/>
      <c r="V83" s="6" t="n"/>
      <c r="W83" s="6" t="n"/>
      <c r="X83" s="6" t="n"/>
      <c r="Y83" s="6" t="n"/>
      <c r="Z83" s="6" t="n"/>
      <c r="AA83" s="6" t="n"/>
    </row>
    <row r="84" ht="51" customHeight="1">
      <c r="A84" s="94" t="inlineStr">
        <is>
          <t>F-TRN-02c</t>
        </is>
      </c>
      <c r="B84" s="95" t="inlineStr">
        <is>
          <t>N4 번역</t>
        </is>
      </c>
      <c r="C84" s="5" t="inlineStr">
        <is>
          <t>N4</t>
        </is>
      </c>
      <c r="D84" s="9" t="inlineStr">
        <is>
          <t>★용어집 적용 검증 (강제 항목)</t>
        </is>
      </c>
      <c r="E84" s="9" t="inlineStr">
        <is>
          <t>용어집 항목 중 enforcement='강제'로 지정된 항목이 번역 결과에 실제로 사용되었는지 검사한다. 강제 대상은 성분명(INCI 표준명)·브랜드명·인증 공식 명칭이며, 마케팅 표현 등 enforcement='참고' 항목은 검사하지 않는다. 미적용 강제 항목은 목록으로 표시하고 F-CFM-05의 확인 필요 신호로 넘긴다.</t>
        </is>
      </c>
      <c r="F84" s="31" t="inlineStr">
        <is>
          <t>P0</t>
        </is>
      </c>
      <c r="G84" s="31" t="inlineStr">
        <is>
          <t>must</t>
        </is>
      </c>
      <c r="H84" s="268" t="inlineStr">
        <is>
          <t>O</t>
        </is>
      </c>
      <c r="I84" s="9" t="inlineStr">
        <is>
          <t>① 강제 항목의 적용 여부가 판정됨 ② 참고 항목은 검사 대상에서 제외됨 ③ 미적용 강제 항목이 사용자에게 표시됨</t>
        </is>
      </c>
      <c r="J84" s="9" t="inlineStr">
        <is>
          <t>강제 항목이 문맥상 부적절해 미적용된 경우도 표시하되 차단하지 않는다</t>
        </is>
      </c>
      <c r="K84" s="5" t="inlineStr">
        <is>
          <t>v1.7 · 용어집 강제/참고 구분 도입 · F-TRN-06 enforcement 필드 전제</t>
        </is>
      </c>
      <c r="L84" s="246" t="n"/>
      <c r="M84" s="31" t="n"/>
      <c r="N84" s="6" t="n"/>
      <c r="O84" s="6" t="n"/>
      <c r="P84" s="6" t="n"/>
      <c r="Q84" s="6" t="n"/>
      <c r="R84" s="6" t="n"/>
      <c r="S84" s="6" t="n"/>
      <c r="T84" s="6" t="n"/>
      <c r="U84" s="6" t="n"/>
      <c r="V84" s="6" t="n"/>
      <c r="W84" s="6" t="n"/>
      <c r="X84" s="6" t="n"/>
      <c r="Y84" s="6" t="n"/>
      <c r="Z84" s="6" t="n"/>
      <c r="AA84" s="6" t="n"/>
    </row>
    <row r="85" ht="114" customHeight="1">
      <c r="A85" s="94" t="inlineStr">
        <is>
          <t>F-TRN-02d</t>
        </is>
      </c>
      <c r="B85" s="95" t="inlineStr">
        <is>
          <t>N4 번역</t>
        </is>
      </c>
      <c r="C85" s="9" t="inlineStr">
        <is>
          <t>처리</t>
        </is>
      </c>
      <c r="D85" s="9" t="inlineStr">
        <is>
          <t>★증분 번역</t>
        </is>
      </c>
      <c r="E85" s="9" t="inlineStr">
        <is>
          <t>[12월] 섹션 되살리기(F-SEC-03)로 번역 대상 블록이 늘어나면 늘어난 블록만 번역한다. ★MVP에는 되돌림(F-NAV-02)이 없어 N3 이후 되살리기가 발생하지 않으므로 발동 경로가 없다 — 되돌림과 함께 12월에 동작한다. 검수(N5)에서 블록이 추가되는 경로는 존재하지 않는다(원문 입력·블록 신규 생성 없음 — PL-26). 전체 재번역은 수행하지 않는다. 일관성은 ① 용어집 RAG ② 기번역 결과를 컨텍스트로 주입 ③ 원본 순서상 앞뒤 블록을 문맥으로 제공하여 확보한다. 사용자 수정 블록은 덮어쓰지 않는다.</t>
        </is>
      </c>
      <c r="F85" s="31" t="inlineStr">
        <is>
          <t>P1</t>
        </is>
      </c>
      <c r="G85" s="31" t="inlineStr">
        <is>
          <t>should</t>
        </is>
      </c>
      <c r="H85" s="268" t="inlineStr">
        <is>
          <t>X</t>
        </is>
      </c>
      <c r="I85" s="9" t="inlineStr">
        <is>
          <t>① 되살린 섹션의 블록만 재번역됨 ② 손대지 않은 블록의 번역문이 변경되지 않음 ③ 기번역 결과가 프롬프트에 포함됨 ④ 사용자 수정 블록이 덮어써지지 않음</t>
        </is>
      </c>
      <c r="J85" s="9" t="inlineStr">
        <is>
          <t>기번역 컨텍스트가 프롬프트 상한을 넘으면 용어집과 배치상 인접 블록을 우선한다</t>
        </is>
      </c>
      <c r="K85" s="5" t="inlineStr">
        <is>
          <t>v1.5 수정 · 문맥 기준을 배치 순서로 변경 · 전체 재번역 버튼 없음</t>
        </is>
      </c>
      <c r="L85" s="5" t="n"/>
      <c r="M85" s="31" t="inlineStr">
        <is>
          <t>v3.0 수정 — 트리거를 조각 추가→섹션 되살리기로 · v3.0 수정 — must→should(발동 경로가 12월 되돌림에 종속) · 검수 블록 추가 트리거 삭제</t>
        </is>
      </c>
      <c r="N85" s="6" t="n"/>
      <c r="O85" s="6" t="n"/>
      <c r="P85" s="6" t="n"/>
      <c r="Q85" s="6" t="n"/>
      <c r="R85" s="6" t="n"/>
      <c r="S85" s="6" t="n"/>
      <c r="T85" s="6" t="n"/>
      <c r="U85" s="6" t="n"/>
      <c r="V85" s="6" t="n"/>
      <c r="W85" s="6" t="n"/>
      <c r="X85" s="6" t="n"/>
      <c r="Y85" s="6" t="n"/>
      <c r="Z85" s="6" t="n"/>
      <c r="AA85" s="6" t="n"/>
    </row>
    <row r="86" ht="72.75" customHeight="1">
      <c r="A86" s="94" t="inlineStr">
        <is>
          <t>F-TRN-03</t>
        </is>
      </c>
      <c r="B86" s="95" t="inlineStr">
        <is>
          <t>N4 번역</t>
        </is>
      </c>
      <c r="C86" s="5" t="inlineStr">
        <is>
          <t>N4</t>
        </is>
      </c>
      <c r="D86" s="9" t="inlineStr">
        <is>
          <t>★규제 검증 · 근거</t>
        </is>
      </c>
      <c r="E86" s="9" t="inlineStr">
        <is>
          <t>번역 결과가 타겟 국가·규제 분류의 규제를 위반하지 않는지 검사하고 판단 근거를 자연어로 제시한다. 국가는 F-LNG-01, 규제 분류는 F-LNG-03의 선택값을 따른다.</t>
        </is>
      </c>
      <c r="F86" s="31" t="inlineStr">
        <is>
          <t>P0</t>
        </is>
      </c>
      <c r="G86" s="31" t="inlineStr">
        <is>
          <t>must</t>
        </is>
      </c>
      <c r="H86" s="268" t="inlineStr">
        <is>
          <t>O</t>
        </is>
      </c>
      <c r="I86" s="9" t="inlineStr">
        <is>
          <t>① 위반 블록이 표시됨 ② 근거가 읽기 전용으로 제공됨 ③ 국가 또는 규제 분류 변경 시 재검증됨</t>
        </is>
      </c>
      <c r="J86" s="5" t="inlineStr">
        <is>
          <t>—</t>
        </is>
      </c>
      <c r="K86" s="5" t="inlineStr">
        <is>
          <t>F-TRN-03a·b로 분해 · v2.5 ⚠ LLM 판정 프롬프트에 규제 분류를 반드시 전달한다 — OTC 모노그래프 허용 문구는 화장품 기준으로는 의약품 클레임으로 읽히므로, 누락 시 정상 문구를 전부 위반으로 오탐한다</t>
        </is>
      </c>
      <c r="L86" s="5" t="n"/>
      <c r="M86" s="31" t="inlineStr">
        <is>
          <t>v2.5 수정</t>
        </is>
      </c>
      <c r="N86" s="6" t="n"/>
      <c r="O86" s="6" t="n"/>
      <c r="P86" s="6" t="n"/>
      <c r="Q86" s="6" t="n"/>
      <c r="R86" s="6" t="n"/>
      <c r="S86" s="6" t="n"/>
      <c r="T86" s="6" t="n"/>
      <c r="U86" s="6" t="n"/>
      <c r="V86" s="6" t="n"/>
      <c r="W86" s="6" t="n"/>
      <c r="X86" s="6" t="n"/>
      <c r="Y86" s="6" t="n"/>
      <c r="Z86" s="6" t="n"/>
      <c r="AA86" s="6" t="n"/>
    </row>
    <row r="87" ht="86.25" customHeight="1">
      <c r="A87" s="94" t="inlineStr">
        <is>
          <t>F-TRN-03a</t>
        </is>
      </c>
      <c r="B87" s="95" t="inlineStr">
        <is>
          <t>N4 번역</t>
        </is>
      </c>
      <c r="C87" s="5" t="inlineStr">
        <is>
          <t>N4</t>
        </is>
      </c>
      <c r="D87" s="9" t="inlineStr">
        <is>
          <t>★금지표현 사전 매칭</t>
        </is>
      </c>
      <c r="E87" s="9" t="inlineStr">
        <is>
          <t>국가별·규제 분류별 규제 사전과 대조해 금지 표현을 룰 기반으로 검출한다. 사전 조회 키는 (target_country, regulatory_class) 조합이다. LLM 판정과 별개로 수행해 누락을 줄인다. ① 검수(N5)에서 셀 수정 시 자동 재실행한다(재렌더와 함께). 차단이 아니라 경고이며 룰 기반이라 비용이 무시 가능하다. ② 현지 부적합 사전(F-LOC-01)도 동일 룰 엔진으로 매칭한다. ③ 12월 2차 번역 파생 후에도 재검증한다 — 압축 과정에서 단서 조항이 빠지면 위반이 된다(F-TRN-10).</t>
        </is>
      </c>
      <c r="F87" s="31" t="inlineStr">
        <is>
          <t>P0</t>
        </is>
      </c>
      <c r="G87" s="31" t="inlineStr">
        <is>
          <t>must</t>
        </is>
      </c>
      <c r="H87" s="268" t="inlineStr">
        <is>
          <t>O</t>
        </is>
      </c>
      <c r="I87" s="9" t="inlineStr">
        <is>
          <t>① 사전 등록어가 100% 검출됨 ② 검출 위치가 블록 단위로 표시됨 ③ 국가와 규제 분류 조합으로 사전이 조회됨 ④ 검수 셀 수정 시 자동 재실행됨 ⑤ 2차 번역 파생 시 재검증됨(12월)</t>
        </is>
      </c>
      <c r="J87" s="9" t="inlineStr">
        <is>
          <t>사전 미보유 국가는 검증을 건너뛰고 경고 / 해당 규제 분류의 사전 항목이 없으면 국가 공통(common) 항목으로 폴백하고 그 사실을 표시한다(기본안 — 세부 정책 OI-47)</t>
        </is>
      </c>
      <c r="K87" s="5" t="inlineStr">
        <is>
          <t>v1.5 신설 · v2.5 조회 축에 regulatory_class 추가 · 사전 데이터는 F-TRN-07 · 변경안 §2 화면 5</t>
        </is>
      </c>
      <c r="L87" s="5" t="n"/>
      <c r="M87" s="31" t="inlineStr">
        <is>
          <t>v2.5 수정 · v3.0 수정 — 검수 수정 시 자동 재실행 추가(OI-19 결론 변경) · 현지 부적합 사전 연동</t>
        </is>
      </c>
      <c r="N87" s="6" t="n"/>
      <c r="O87" s="6" t="n"/>
      <c r="P87" s="6" t="n"/>
      <c r="Q87" s="6" t="n"/>
      <c r="R87" s="6" t="n"/>
      <c r="S87" s="6" t="n"/>
      <c r="T87" s="6" t="n"/>
      <c r="U87" s="6" t="n"/>
      <c r="V87" s="6" t="n"/>
      <c r="W87" s="6" t="n"/>
      <c r="X87" s="6" t="n"/>
      <c r="Y87" s="6" t="n"/>
      <c r="Z87" s="6" t="n"/>
      <c r="AA87" s="6" t="n"/>
    </row>
    <row r="88" ht="45" customHeight="1">
      <c r="A88" s="94" t="inlineStr">
        <is>
          <t>F-TRN-03b</t>
        </is>
      </c>
      <c r="B88" s="95" t="inlineStr">
        <is>
          <t>N4 번역</t>
        </is>
      </c>
      <c r="C88" s="5" t="inlineStr">
        <is>
          <t>N4</t>
        </is>
      </c>
      <c r="D88" s="9" t="inlineStr">
        <is>
          <t>대체 표현 제안</t>
        </is>
      </c>
      <c r="E88" s="9" t="inlineStr">
        <is>
          <t>규제 위반으로 판정된 표현에 대해 허용 가능한 대체 표현을 제안한다.</t>
        </is>
      </c>
      <c r="F88" s="31" t="inlineStr">
        <is>
          <t>P1</t>
        </is>
      </c>
      <c r="G88" s="31" t="inlineStr">
        <is>
          <t>should</t>
        </is>
      </c>
      <c r="H88" s="268" t="inlineStr">
        <is>
          <t>X</t>
        </is>
      </c>
      <c r="I88" s="9" t="inlineStr">
        <is>
          <t>① 위반 블록마다 대체안 제시 ② 수락 시 번역문에 반영</t>
        </is>
      </c>
      <c r="J88" s="5" t="inlineStr">
        <is>
          <t>—</t>
        </is>
      </c>
      <c r="K88" s="5" t="inlineStr">
        <is>
          <t>v1.5 신설 · v2.5</t>
        </is>
      </c>
      <c r="L88" s="5" t="inlineStr">
        <is>
          <t>12월 착수 시 규제 분류별 분기 — 화장품은 대체 표현 제안, OTC는 모노그래프 허용 목록 내 표현으로 한정. 근거: 21 CFR 333.350(b) 등이 '열거된 용도만을 기술하는 다른 진실된 문구'로 제한</t>
        </is>
      </c>
      <c r="M88" s="31" t="inlineStr">
        <is>
          <t>v2.5 수정</t>
        </is>
      </c>
      <c r="N88" s="6" t="n"/>
      <c r="O88" s="6" t="n"/>
      <c r="P88" s="6" t="n"/>
      <c r="Q88" s="6" t="n"/>
      <c r="R88" s="6" t="n"/>
      <c r="S88" s="6" t="n"/>
      <c r="T88" s="6" t="n"/>
      <c r="U88" s="6" t="n"/>
      <c r="V88" s="6" t="n"/>
      <c r="W88" s="6" t="n"/>
      <c r="X88" s="6" t="n"/>
      <c r="Y88" s="6" t="n"/>
      <c r="Z88" s="6" t="n"/>
      <c r="AA88" s="6" t="n"/>
    </row>
    <row r="89" ht="178.5" customHeight="1">
      <c r="A89" s="94" t="inlineStr">
        <is>
          <t>F-TRN-04</t>
        </is>
      </c>
      <c r="B89" s="95" t="inlineStr">
        <is>
          <t>N4 번역</t>
        </is>
      </c>
      <c r="C89" s="276" t="inlineStr">
        <is>
          <t>처리</t>
        </is>
      </c>
      <c r="D89" s="276" t="inlineStr">
        <is>
          <t>★번역 텍스트 HTML 배치</t>
        </is>
      </c>
      <c r="E89" s="276" t="inlineStr">
        <is>
          <t>번역된 텍스트를 인페인팅된 배경 위 원본 박스에 조판한다. 원문의 색·크기·정렬 스타일을 승계한다(F-STY). 조판 시 실제 렌더 폭을 측정해 원본 박스 폭을 넘는지 블록 단위로 판정한다 — 측정 방법은 구현이 정한다. 폭을 넘으면 조판 조정으로 수렴시키며 수단은 폰트 축소(−10% 상한)와 줄바꿈 위치뿐이다 — 줄 추가와 자간 조정은 하지 않는다(9월 규격 그대로 경로). 조정 상한 안에서 수렴하지 않으면 문장을 잘라내지 않고 폭을 넘긴 상태로 렌더하며, 해당 블록을 폭 초과로 표시해 검수(N5)에서 셀러가 직접 줄이도록 넘긴다(F-CFM-05·F-CFM-02). 조판 조정은 시스템 전용이다 — 사용자에게 조정 UI를 노출하지 않고 조정 내역을 알림으로만 표시한다(F-CFM-12). 조정 내역은 content.csv의 auto_adjust 열에 기록한다.</t>
        </is>
      </c>
      <c r="F89" s="277" t="inlineStr">
        <is>
          <t>P0</t>
        </is>
      </c>
      <c r="G89" s="277" t="inlineStr">
        <is>
          <t>must</t>
        </is>
      </c>
      <c r="H89" s="278" t="inlineStr">
        <is>
          <t>O</t>
        </is>
      </c>
      <c r="I89" s="276" t="inlineStr">
        <is>
          <t>① 원문 스타일 승계 ② 언어별 폰트 적용 ③ 자동 조정이 −10% 상한 안에서 수행되고 내역이 기록됨 ④ 조정 UI가 사용자에게 노출되지 않음 ⑤ ★렌더 폭이 원본 박스 폭을 넘는지 블록 단위로 판정됨 ⑥ ★조정 상한 안에서 수렴하지 않은 블록이 폭 초과로 표시되고 문장이 잘리지 않음</t>
        </is>
      </c>
      <c r="J89" s="276" t="inlineStr">
        <is>
          <t>폰트 하한으로도 들어가지 않으면 넘치게 두고 경고 배지를 단다 — 문장을 잘라내지 않는다. 잘리면 규제 단서 조항("helps", "the appearance of")이 먼저 사라져 우리가 만든 위반이 된다 / 12월 2a(A+)는 아마존이 렌더하므로 조판 조정 개념이 없고, 2b 긴 이미지형의 가변 높이 슬롯은 12월 별도 검토</t>
        </is>
      </c>
      <c r="K89" s="256" t="inlineStr">
        <is>
          <t>F-TRN-02a 배치 순서 기준 · 폭 초과 신호의 표시는 F-CFM-05 · 셀 수정 후 재판정은 F-CFM-02</t>
        </is>
      </c>
      <c r="L89" s="256" t="inlineStr">
        <is>
          <t>【근거】 폭 수렴 수단을 조판 조정으로 한정 — 번역 후보를 여러 개 만들어 고르게 하면 재번역이 문장을 바꿔 규제 재검증이 따라오고, 길이를 줄이는 과정에서 단서 조항("helps", "the appearance of")이 먼저 빠져 위반이 만들어진다. 렌더 폭 측정도 후보 수만큼 배수로 늘어나는데 렌더가 파이프라인에서 가장 비싼 단계다 · 【기각】 폭 초과 시 재번역 — 같은 이유 · 【근거】 줄 추가 미채택 — 줄을 늘리면 원본 좌표 절대 배치(F-INP-03)를 지킬 때 아래 요소와 겹치고, 밀어내면 결과물 높이가 달라져 검수의 슬라이더 대조 전제(F-CRP-01a ③ — 같은 섹션 집합·같은 높이)가 깨진다 · 줄 추가 미채택 (2) — 원본 박스 아래에 줄을 넣을 여백이 있는지 판정하려면 인페인팅 배경에서 빈 공간을 찾아야 하는데 MVP 범위를 넘고, 무엇보다 줄 추가는 자리를 바꾸는 레이아웃 편집이라 PL-26이 막으려던 것이 시스템 쪽에 남는 형태가 된다 · 자간 미채택 — 자간은 한글·영문 혼용에서 가독성이 급격히 나빠지는 데 비해 얻는 폭이 −2% 수준이고 폰트 축소와 중복된다 · 조판 방식 — HTML 요소(v1.7 확정)</t>
        </is>
      </c>
      <c r="M89" s="277" t="inlineStr">
        <is>
          <t>v3.2.1 수정 — 렌더 폭 실측과 폭 초과 판정을 흡수(F-TRN-08 폐기). 조판 조정이 폭 수렴의 유일한 수단이 됐다 · v3.0 수정 — 자동 축소를 루프 최후 수단으로 강등, 상한 −10%·알림 전용 · v3.0 수정 — 조판 조정에서 줄 추가·자간 삭제(9월 경로) · 잘라내기 금지 명시 · 폰트 하한 절대값 전환 예고 · 9/1 — 상대값(−10%)은 잠정. 48px 헤드라인과 26px 본문에 같은 비율을 적용하는 것이 성립하지 않으므로 V4에서 원본 폰트 크기 분포를 실측한 뒤 절대 하한(px)으로 전환한다. 하한 값은 미정이며 임의 확정 금지 — 24px(F-CH-05a)은 아마존 A+ 기준이라 9월 원본 규격에 적용할 근거가 없고, 원본이 이미 24px 미만인 블록에 적용하면 번역문이 원문보다 커진다</t>
        </is>
      </c>
      <c r="N89" s="6" t="n"/>
      <c r="O89" s="6" t="n"/>
      <c r="P89" s="6" t="n"/>
      <c r="Q89" s="6" t="n"/>
      <c r="R89" s="6" t="n"/>
      <c r="S89" s="6" t="n"/>
      <c r="T89" s="6" t="n"/>
      <c r="U89" s="6" t="n"/>
      <c r="V89" s="6" t="n"/>
      <c r="W89" s="6" t="n"/>
      <c r="X89" s="6" t="n"/>
      <c r="Y89" s="6" t="n"/>
      <c r="Z89" s="6" t="n"/>
      <c r="AA89" s="6" t="n"/>
    </row>
    <row r="90" ht="102" customHeight="1">
      <c r="A90" s="94" t="inlineStr">
        <is>
          <t>F-TRN-05</t>
        </is>
      </c>
      <c r="B90" s="95" t="inlineStr">
        <is>
          <t>N4 번역</t>
        </is>
      </c>
      <c r="C90" s="5" t="inlineStr">
        <is>
          <t>N4</t>
        </is>
      </c>
      <c r="D90" s="9" t="inlineStr">
        <is>
          <t>번역 실패 처리</t>
        </is>
      </c>
      <c r="E90" s="9" t="inlineStr">
        <is>
          <t>작업 수준의 번역 실패를 처리한다. 성공한 블록이 하나도 없거나 실패 원인이 블록이 아니라 작업 수준(인증 실패·규제 사전 로드 실패·큐 유실 등)인 경우, N회 재시도 후 작업 상태를 '오류'로 전환하고 사유를 표시한다. 오류 상태에서 '번역중'으로 복귀해 재시도할 수 있다(05_상태_정책). 일부 블록만 실패한 경우(성공 블록 1개 이상)는 이 기능의 대상이 아니며 F-JOB-06을 따른다 — 성공분을 유지한 채 실패 블록에 인라인 배지를 달고 N5로 진행한다. 실패 블록은 원문이 남아 있고 N5에서 번역문을 직접 입력해(F-CFM-02) 구제할 수 있으므로 작업을 오류로 막지 않는다.</t>
        </is>
      </c>
      <c r="F90" s="31" t="inlineStr">
        <is>
          <t>P0</t>
        </is>
      </c>
      <c r="G90" s="31" t="inlineStr">
        <is>
          <t>must</t>
        </is>
      </c>
      <c r="H90" s="268" t="inlineStr">
        <is>
          <t>O</t>
        </is>
      </c>
      <c r="I90" s="9" t="inlineStr">
        <is>
          <t>① 작업 수준 실패 시에만 오류 상태로 전환됨 ② 사유 코드·메시지 노출 ③ 오류 상태에서 재시도 버튼 제공 ④ 부분 실패(성공 1개 이상)는 오류로 전환되지 않고 N5로 진행됨</t>
        </is>
      </c>
      <c r="J90" s="9" t="inlineStr">
        <is>
          <t>일부 블록만 실패하면 F-JOB-06에 따라 성공분을 유지하고 실패 블록만 개별 재시도·배지 표시한다. 부분/전체 실패의 판정 기준은 성공 블록 수 0건 여부다</t>
        </is>
      </c>
      <c r="K90" s="5" t="n"/>
      <c r="L90" s="246" t="n"/>
      <c r="M90" s="31" t="n"/>
      <c r="N90" s="6" t="n"/>
      <c r="O90" s="6" t="n"/>
      <c r="P90" s="6" t="n"/>
      <c r="Q90" s="6" t="n"/>
      <c r="R90" s="6" t="n"/>
      <c r="S90" s="6" t="n"/>
      <c r="T90" s="6" t="n"/>
      <c r="U90" s="6" t="n"/>
      <c r="V90" s="6" t="n"/>
      <c r="W90" s="6" t="n"/>
      <c r="X90" s="6" t="n"/>
      <c r="Y90" s="6" t="n"/>
      <c r="Z90" s="6" t="n"/>
      <c r="AA90" s="6" t="n"/>
    </row>
    <row r="91" ht="51" customHeight="1">
      <c r="A91" s="94" t="inlineStr">
        <is>
          <t>F-TRN-06</t>
        </is>
      </c>
      <c r="B91" s="95" t="inlineStr">
        <is>
          <t>N4 번역</t>
        </is>
      </c>
      <c r="C91" s="5" t="inlineStr">
        <is>
          <t>O3</t>
        </is>
      </c>
      <c r="D91" s="9" t="inlineStr">
        <is>
          <t>★다국어 용어집 관리</t>
        </is>
      </c>
      <c r="E91" s="9" t="inlineStr">
        <is>
          <t>한국어를 출발어로 하는 도착어별·내부 카테고리별 용어쌍을 관리한다. 각 항목에 enforcement(강제/참고) 구분을 둔다. 강제는 성분명·브랜드명·인증 공식 명칭으로 F-TRN-02c의 검사 대상이며, 참고는 마케팅 표현으로 RAG 예시로만 주입된다. MVP는 KO→EN, 12월 KO→JA를 추가한다.</t>
        </is>
      </c>
      <c r="F91" s="31" t="inlineStr">
        <is>
          <t>P1</t>
        </is>
      </c>
      <c r="G91" s="31" t="inlineStr">
        <is>
          <t>should</t>
        </is>
      </c>
      <c r="H91" s="268" t="inlineStr">
        <is>
          <t>X</t>
        </is>
      </c>
      <c r="I91" s="9" t="inlineStr">
        <is>
          <t>① 도착어·카테고리별 용어집이 분리 관리됨 ② 항목마다 enforcement가 지정됨 ③ 강제 항목만 검증 대상이 됨 ④ 용어쌍 추가·수정·삭제 가능</t>
        </is>
      </c>
      <c r="J91" s="9" t="inlineStr">
        <is>
          <t>도착어 용어집이 비어 있으면 경고 후 범용 번역으로 진행</t>
        </is>
      </c>
      <c r="K91" s="5" t="inlineStr">
        <is>
          <t>v1.7 · enforcement 필드 신설 · A-CFG-02(12월) 운영 화면</t>
        </is>
      </c>
      <c r="L91" s="5" t="n"/>
      <c r="M91" s="31" t="n"/>
      <c r="N91" s="6" t="n"/>
      <c r="O91" s="6" t="n"/>
      <c r="P91" s="6" t="n"/>
      <c r="Q91" s="6" t="n"/>
      <c r="R91" s="6" t="n"/>
      <c r="S91" s="6" t="n"/>
      <c r="T91" s="6" t="n"/>
      <c r="U91" s="6" t="n"/>
      <c r="V91" s="6" t="n"/>
      <c r="W91" s="6" t="n"/>
      <c r="X91" s="6" t="n"/>
      <c r="Y91" s="6" t="n"/>
      <c r="Z91" s="6" t="n"/>
      <c r="AA91" s="6" t="n"/>
    </row>
    <row r="92" ht="81" customHeight="1">
      <c r="A92" s="94" t="inlineStr">
        <is>
          <t>F-TRN-07</t>
        </is>
      </c>
      <c r="B92" s="95" t="inlineStr">
        <is>
          <t>N4 번역</t>
        </is>
      </c>
      <c r="C92" s="5" t="inlineStr">
        <is>
          <t>-</t>
        </is>
      </c>
      <c r="D92" s="9" t="inlineStr">
        <is>
          <t>★규제 사전 마스터 관리</t>
        </is>
      </c>
      <c r="E92" s="271" t="inlineStr">
        <is>
          <t>국가별·규제 분류별 규제 표현 사전을 데이터로 보유한다. 항목은 출발 표현, 변형 표현, 타겟 국가, 규제 분류, 판정 상태(규제/조건부/허용), 대체 표현, 사유, 근거 출처 유형, 근거 문서·조문·URL, 확인일자로 구성한다. 미국의 근거 출처 유형은 FDA 공식 문서·Warning Letter·OTC 모노그래프 중 하나를 명시하며, 규제 변동에 대비해 확인일자를 필수로 관리한다. 코드 수정 없이 데이터 추가만으로 국가·규제 분류·항목을 확장할 수 있어야 한다.</t>
        </is>
      </c>
      <c r="F92" s="31" t="inlineStr">
        <is>
          <t>P0</t>
        </is>
      </c>
      <c r="G92" s="31" t="inlineStr">
        <is>
          <t>should</t>
        </is>
      </c>
      <c r="H92" s="268" t="inlineStr">
        <is>
          <t>X</t>
        </is>
      </c>
      <c r="I92" s="9" t="inlineStr">
        <is>
          <t>① 데이터 추가만으로 신규 국가·규제 분류 사용 가능 ② 각 항목에 근거 출처 유형과 확인일자 보유 ③ (target_country, regulatory_class) 복합 인덱스 조회 ④ F-TRN-03a·F-TXT-05가 이 데이터를 읽음</t>
        </is>
      </c>
      <c r="J92" s="9" t="inlineStr">
        <is>
          <t>근거 출처 유형·확인일자가 없는 항목은 등록할 수 없다 / 조회 실패 시 F-TRN-03a는 검증을 건너뛰고 경고를 표시한다</t>
        </is>
      </c>
      <c r="K92" s="5" t="inlineStr">
        <is>
          <t>v2.5 신설 · F-CH-01·F-TRN-06과 동일 패턴 · 스키마·시드는 MVP부터 사용(PL-16·NFR-28) · 편집 콘솔은 A-CFG-02(12월) · MVP 물량: (미국×화장품)·(미국×OTC) 2벌 + 국가 공통 계층</t>
        </is>
      </c>
      <c r="L92" s="5" t="n"/>
      <c r="M92" s="275" t="inlineStr">
        <is>
          <t>신설</t>
        </is>
      </c>
      <c r="N92" s="6" t="n"/>
      <c r="O92" s="6" t="n"/>
      <c r="P92" s="6" t="n"/>
      <c r="Q92" s="6" t="n"/>
      <c r="R92" s="6" t="n"/>
      <c r="S92" s="6" t="n"/>
      <c r="T92" s="6" t="n"/>
      <c r="U92" s="6" t="n"/>
      <c r="V92" s="6" t="n"/>
      <c r="W92" s="6" t="n"/>
      <c r="X92" s="6" t="n"/>
      <c r="Y92" s="6" t="n"/>
      <c r="Z92" s="6" t="n"/>
      <c r="AA92" s="6" t="n"/>
    </row>
    <row r="93" ht="191.25" customHeight="1">
      <c r="A93" s="94" t="inlineStr">
        <is>
          <t>F-TRN-09</t>
        </is>
      </c>
      <c r="B93" s="95" t="inlineStr">
        <is>
          <t>N4 번역</t>
        </is>
      </c>
      <c r="C93" s="276" t="inlineStr">
        <is>
          <t>처리</t>
        </is>
      </c>
      <c r="D93" s="276" t="inlineStr">
        <is>
          <t>★1차 번역 — 상시 생성 공통 자산</t>
        </is>
      </c>
      <c r="E93" s="276" t="inlineStr">
        <is>
          <t>번역은 단일 단계다 — 항상 원본 박스 폭에 맞춘 1차 번역을 생성한다(규격 선택과 무관). 규격 그대로 경로에서는 최종 산출물이고, 규격 변경 경로에서는 2차 번역의 입력이자 재사용 자산이다. 어느 경우든 content.csv에 trans_1 열로 남는다(PL-27). ★블록마다 번역문을 하나 생성하며 대체 후보를 만들지 않는다.</t>
        </is>
      </c>
      <c r="F93" s="256" t="inlineStr">
        <is>
          <t>P0</t>
        </is>
      </c>
      <c r="G93" s="256" t="inlineStr">
        <is>
          <t>must</t>
        </is>
      </c>
      <c r="H93" s="278" t="inlineStr">
        <is>
          <t>O</t>
        </is>
      </c>
      <c r="I93" s="276" t="inlineStr">
        <is>
          <t>① 규격 선택과 무관하게 1차 번역이 생성됨 ② content.csv trans_1 열에 항상 존재 ③ 다른 규격 생성 시 1차 번역이 재번역 없이 재사용됨 ④ ★블록당 번역문이 1건만 생성됨</t>
        </is>
      </c>
      <c r="J93" s="256" t="inlineStr">
        <is>
          <t>—</t>
        </is>
      </c>
      <c r="K93" s="256" t="inlineStr">
        <is>
          <t>v3.0 신설 · 변경안 §3-1</t>
        </is>
      </c>
      <c r="L93" s="256" t="inlineStr">
        <is>
          <t>【근거】 단일 단계의 효과 — 1차 번역이 재사용되므로 두 산출물의 문구가 일관된다</t>
        </is>
      </c>
      <c r="M93" s="256" t="inlineStr">
        <is>
          <t>v3.0 신설 · v3.2.1 수정 — 블록당 1건 명시(번역 후보 폐기)</t>
        </is>
      </c>
      <c r="N93" s="6" t="n"/>
      <c r="O93" s="6" t="n"/>
      <c r="P93" s="6" t="n"/>
      <c r="Q93" s="6" t="n"/>
      <c r="R93" s="6" t="n"/>
      <c r="S93" s="6" t="n"/>
      <c r="T93" s="6" t="n"/>
      <c r="U93" s="6" t="n"/>
      <c r="V93" s="6" t="n"/>
      <c r="W93" s="6" t="n"/>
      <c r="X93" s="6" t="n"/>
      <c r="Y93" s="6" t="n"/>
      <c r="Z93" s="6" t="n"/>
      <c r="AA93" s="6" t="n"/>
    </row>
    <row r="94" ht="51" customHeight="1">
      <c r="A94" s="94" t="inlineStr">
        <is>
          <t>F-TRN-10</t>
        </is>
      </c>
      <c r="B94" s="95" t="inlineStr">
        <is>
          <t>N4 번역</t>
        </is>
      </c>
      <c r="C94" s="276" t="inlineStr">
        <is>
          <t>처리(12월)</t>
        </is>
      </c>
      <c r="D94" s="276" t="inlineStr">
        <is>
          <t>★2차 번역 — 1차 번역에서 파생 (선별→압축)</t>
        </is>
      </c>
      <c r="E94" s="256" t="inlineStr">
        <is>
          <t>[12월] 규격 변경 시 2차 번역를 1차 번역에서 파생한다. 작업 순서는 선별 → 압축이며 ★두 단계의 단위가 다르다. 선별은 블록(문단) 단위다 — 어떤 블록을 슬롯에 가져갈지 먼저 고르며 블록을 쪼개 담지 않는다. 압축은 선별한 블록 안에서 문장 단위로 줄인다 — 슬롯 제약을 넘칠 때만 수행한다. 선별이 블록 단위이므로 출처는 origin_block_ids로 완전히 표현되며, 블록 안에서 어떤 문장이 남았는지는 기록하지 않는다. 파생 시 각 2차 번역 항목에 출처 블록을 origin_block_ids(배열, F-EXP-03)로 기록한다. 어떤 블록도 담지 못해 빈 슬롯이 남으면 그 슬롯을 1차 번역으로 채우고 슬롯 제약 초과 상태로 표시한다. 12월 폴백은 9월보다 한 칸 짧다: 조판 조정 수단이 없다(아마존이 렌더하므로 폰트를 줄일 수 없다). 2차 번역에도 규제 검증을 다시 돌린다.</t>
        </is>
      </c>
      <c r="F94" s="256" t="inlineStr">
        <is>
          <t>P1</t>
        </is>
      </c>
      <c r="G94" s="256" t="inlineStr">
        <is>
          <t>should</t>
        </is>
      </c>
      <c r="H94" s="278" t="inlineStr">
        <is>
          <t>X</t>
        </is>
      </c>
      <c r="I94" s="276" t="inlineStr">
        <is>
          <t>① 2차 번역가 1차 번역에서 파생됨(원문 직접 번역 아님) ② 선별(블록 단위)이 압축(선별한 블록 안에서 문장 단위)보다 먼저 수행됨 ③ 파생 후 규제 재검증 수행 ④ content.csv trans_2 열에 기록됨 ⑤ 각 항목에 origin_block_ids가 기록됨 ⑥ 빈 슬롯이 1차 번역으로 채워지고 슬롯 제약 초과로 표시됨 ⑦ ★블록이 쪼개져 여러 슬롯에 나뉘어 담기지 않음</t>
        </is>
      </c>
      <c r="J94" s="276" t="inlineStr">
        <is>
          <t>어떤 선별·압축으로도 제약을 못 맞추면 해당 슬롯을 1차 번역으로 채우고 초과 상태로 표시한다 / 2차 번역에 쓰이지 않은 1차 번역 블록을 "선별 탈락"이라 부르지 않는다. 사용되지 않은 블록은 N5에 표시하지 않는다.</t>
        </is>
      </c>
      <c r="K94" s="256" t="inlineStr">
        <is>
          <t>v3.0 신설 · 변경안 §3-2·§3-3 · "선별 탈락" 용어 금지 · 미사용 문장 N5 미표시</t>
        </is>
      </c>
      <c r="L94" s="279" t="inlineStr">
        <is>
          <t xml:space="preserve">【근거】 파생 방식 — 원문을 템플릿에 직접 매칭하지 않는 이유: ① 1차 번역은 셀러가 검수·수정한 문장이다 — 원문에서 다시 번역하면 그 수정이 증발한다 ② 규제 검증이 1차 번역 블록 단위로 이미 끝났다 ③ 용어집 일관성 — 제품명·성분명 표기가 자사몰과 아마존에서 갈리는 사고를 구조적으로 막는다 · 블록 통째 선별 — 통째로 버리는 것이 뭉개는 것보다 안전하다(문장을 뭉개면 규제 단서 조항 "helps"·"the appearance of"가 먼저 지워진다) · 블록 내 잔존 문장 미기록 — 사용되지 않은 것을 화면에 표시하지 않기로 했으므로(예외 처리) 추적할 이유가 없다 · origin_block_ids 배열 — 여러 1차 블록이 한 슬롯으로 합쳐질 수 있으므로 배열이며, 이것이 12월 섹션↔모듈 하이라이트 연동(F-CFM-13)의 유일한 연결 수단이다 · 파생 후 규제 재검증 — 사전 매칭이라 비용은 무시 가능 · A+ 제약의 성격 — 참고: A+ 텍스트 필드는 픽셀 폭이 아니라 글자수 제약이다("또 줄인다"가 아니라 "다른 자로 재단한다") · 수정 역전파 미지원 — 2차 번역에서 고친 내용이 1차 번역에 반영되지 않아 세 번째 규격에서 같은 오역이 재발할 수 있는 문제는 빈도가 낮고, 용어 수준 수정의 용어집 반영은 확인 절차와 함께 12월 후보다(OI-50) ·  미사용 블록 N5 미표시 — 결과에 반영되지 않는 작업을 시키는 구조가 되고(변경안 §3-3), A+ 5개 모듈에 원본 8섹션 138블록이면 목록이 100개를 넘어 무의미하다 </t>
        </is>
      </c>
      <c r="M94" s="256" t="inlineStr">
        <is>
          <t>v3.2.1 수정 — 슬롯별 후보 생성 삭제(F-CFM-11 폐기). 빈 슬롯은 1차 번역으로 채우고 초과 표시 · v3.0 신설 · 9/1 — origin_block_ids 기록 의무 추가 · 9/1 — 슬롯별 후보 생성 단계 추가(화면정의서 N5의 [다른 번역 보기]가 12월에도 채울 데이터를 갖게 됨) · 9/1 — 선별 단위를 블록(문단)으로 확정, 압축은 선별한 블록 안에서 문장 단위. F-INP-02a(블록 1건 = 문단 1개)와 어긋나던 산문 용어를 정정 — 변경안 §3-3의 표현이 블록 정의 확정 전에 쓰인 데서 온 잔재</t>
        </is>
      </c>
      <c r="N94" s="6" t="n"/>
      <c r="O94" s="6" t="n"/>
      <c r="P94" s="6" t="n"/>
      <c r="Q94" s="6" t="n"/>
      <c r="R94" s="6" t="n"/>
      <c r="S94" s="6" t="n"/>
      <c r="T94" s="6" t="n"/>
      <c r="U94" s="6" t="n"/>
      <c r="V94" s="6" t="n"/>
      <c r="W94" s="6" t="n"/>
      <c r="X94" s="6" t="n"/>
      <c r="Y94" s="6" t="n"/>
      <c r="Z94" s="6" t="n"/>
      <c r="AA94" s="6" t="n"/>
    </row>
    <row r="95" ht="285" customHeight="1">
      <c r="A95" s="101" t="inlineStr">
        <is>
          <t>F-LOC-01</t>
        </is>
      </c>
      <c r="B95" s="102" t="inlineStr">
        <is>
          <t>현지 부적합 판정</t>
        </is>
      </c>
      <c r="C95" s="36" t="inlineStr">
        <is>
          <t>처리</t>
        </is>
      </c>
      <c r="D95" s="36" t="inlineStr">
        <is>
          <t>★현지 부적합 판정 사전</t>
        </is>
      </c>
      <c r="E95" s="270" t="inlineStr">
        <is>
          <t>현지(도착 시장)에서 무의미하거나 수정이 필요한 요소를 판정하는 사전. 규제 사전(F-TRN-07)과 동일 스키마이며 10~20 패턴으로 시작한다. 매칭 엔진은 F-TRN-03a와 공용.</t>
        </is>
      </c>
      <c r="F95" s="35" t="inlineStr">
        <is>
          <t>P0</t>
        </is>
      </c>
      <c r="G95" s="35" t="inlineStr">
        <is>
          <t>must</t>
        </is>
      </c>
      <c r="H95" s="269" t="inlineStr">
        <is>
          <t>O</t>
        </is>
      </c>
      <c r="I95" s="36" t="inlineStr">
        <is>
          <t>① 패턴 매칭으로 검출됨(의미 판정 아님) ② 사전 데이터 추가만으로 패턴이 늘어남 ③ 검출 결과가 F-SEC-04 배지·기본 버킷에 반영됨</t>
        </is>
      </c>
      <c r="J95" s="36" t="inlineStr">
        <is>
          <t>사전 조회 실패 시 현지 부적합 판정을 생략하되 규제 판정은 정상 수행한다</t>
        </is>
      </c>
      <c r="K95" s="35" t="inlineStr">
        <is>
          <t>v3.0 신설 · 변경안 §2 신규 사전 · 시드 구축은 데이터 담당</t>
        </is>
      </c>
      <c r="L95" s="280" t="inlineStr">
        <is>
          <t xml:space="preserve">원화 표기·계좌 패턴·플랫폼 로고(카카오톡 등)·국내 전화 형식·국내 배송비·국내 한정 이벤트 등. "데이터 추가만으로 확장"이라는 F-TRN-07 설계 철학의 두 번째 실증 사례가 되며 X안(일본 확장)의 예고편 역할도 한다. </t>
        </is>
      </c>
      <c r="M95" s="35" t="inlineStr">
        <is>
          <t>v3.0 신설</t>
        </is>
      </c>
      <c r="N95" s="6" t="n"/>
      <c r="O95" s="6" t="n"/>
      <c r="P95" s="6" t="n"/>
      <c r="Q95" s="6" t="n"/>
      <c r="R95" s="6" t="n"/>
      <c r="S95" s="6" t="n"/>
      <c r="T95" s="6" t="n"/>
      <c r="U95" s="6" t="n"/>
      <c r="V95" s="6" t="n"/>
      <c r="W95" s="6" t="n"/>
      <c r="X95" s="6" t="n"/>
      <c r="Y95" s="6" t="n"/>
      <c r="Z95" s="6" t="n"/>
      <c r="AA95" s="6" t="n"/>
    </row>
    <row r="96" ht="51" customHeight="1">
      <c r="A96" s="103" t="inlineStr">
        <is>
          <t>F-LOC-02</t>
        </is>
      </c>
      <c r="B96" s="104" t="inlineStr">
        <is>
          <t>현지 부적합 판정</t>
        </is>
      </c>
      <c r="C96" s="9" t="inlineStr">
        <is>
          <t>처리</t>
        </is>
      </c>
      <c r="D96" s="9" t="inlineStr">
        <is>
          <t>★현지 부적합 3유형 처리</t>
        </is>
      </c>
      <c r="E96" s="271" t="inlineStr">
        <is>
          <t>현지 부적합을 세 유형으로 나눈다: ① 확실히 무의미(패턴 매칭으로 확실 — 원화·계좌·플랫폼 로고·국내 전화) → 제외 버킷 / ② 수정 필요(해외에도 필요하나 내용이 달라져야 함 — 교환·반품, A/S, 국내 인증마크) → 포함 버킷 + 🏷 배지 / ③ 문화적 차이(과장 그래픽·연예인 마케팅 — 판정 난이도 높음) → 9월 제외, 12월 검토.</t>
        </is>
      </c>
      <c r="F96" s="5" t="inlineStr">
        <is>
          <t>P0</t>
        </is>
      </c>
      <c r="G96" s="5" t="inlineStr">
        <is>
          <t>must</t>
        </is>
      </c>
      <c r="H96" s="268" t="inlineStr">
        <is>
          <t>O</t>
        </is>
      </c>
      <c r="I96" s="9" t="inlineStr">
        <is>
          <t>① 유형별 기본 버킷·배지가 규칙대로 적용됨 ② ③유형은 9월 판정 대상에서 제외됨</t>
        </is>
      </c>
      <c r="J96" s="5" t="inlineStr">
        <is>
          <t>—</t>
        </is>
      </c>
      <c r="K96" s="5" t="inlineStr">
        <is>
          <t>v3.0 신설 · 변경안 §2 유형표</t>
        </is>
      </c>
      <c r="L96" s="5" t="n"/>
      <c r="M96" s="5" t="inlineStr">
        <is>
          <t>v3.0 신설</t>
        </is>
      </c>
      <c r="N96" s="6" t="n"/>
      <c r="O96" s="6" t="n"/>
      <c r="P96" s="6" t="n"/>
      <c r="Q96" s="6" t="n"/>
      <c r="R96" s="6" t="n"/>
      <c r="S96" s="6" t="n"/>
      <c r="T96" s="6" t="n"/>
      <c r="U96" s="6" t="n"/>
      <c r="V96" s="6" t="n"/>
      <c r="W96" s="6" t="n"/>
      <c r="X96" s="6" t="n"/>
      <c r="Y96" s="6" t="n"/>
      <c r="Z96" s="6" t="n"/>
      <c r="AA96" s="6" t="n"/>
    </row>
    <row r="97" ht="68.25" customHeight="1">
      <c r="A97" s="103" t="inlineStr">
        <is>
          <t>F-LOC-03</t>
        </is>
      </c>
      <c r="B97" s="104" t="inlineStr">
        <is>
          <t>현지 부적합 판정</t>
        </is>
      </c>
      <c r="C97" s="5" t="inlineStr">
        <is>
          <t>N3</t>
        </is>
      </c>
      <c r="D97" s="9" t="inlineStr">
        <is>
          <t>★채널 정책 판정 · 티저</t>
        </is>
      </c>
      <c r="E97" s="9" t="inlineStr">
        <is>
          <t>채널(규격) 정책 위반을 판정한다 — 아마존 A+의 리뷰 인용·가격·연락처 금지, 대표이미지 텍스트 금지(F-CH-06) 등. 9월에는 규격이 원본 고정이므로 티저로만 노출한다. ★셀러가 채널을 고른 적이 없으므로 문구는 단정형이 아니라 가정형으로 쓴다(PL-18): "아마존에 올린다면: 리뷰 섹션 삭제 대상 · 이 페이지는 A+ 모듈 7종으로 분해 필요 (12월 지원 예정)". 12월 규격 변경이 열리면 같은 화면에서 실제 판정으로 승격된다.</t>
        </is>
      </c>
      <c r="F97" s="5" t="inlineStr">
        <is>
          <t>P0</t>
        </is>
      </c>
      <c r="G97" s="5" t="inlineStr">
        <is>
          <t>must</t>
        </is>
      </c>
      <c r="H97" s="268" t="inlineStr">
        <is>
          <t>O</t>
        </is>
      </c>
      <c r="I97" s="5" t="inlineStr">
        <is>
          <t>① 9월 티저 배지가 표시됨 ② 12월 승격 시 화면 구조 변경 없이 판정 데이터만 활성화됨 ③ 대표이미지 외의 근거 문구가 "반려 리스크 존재" 수준을 넘지 않음 ④ ★티저 문구가 가정형이며 셀러가 선택하지 않은 채널을 단정하지 않음</t>
        </is>
      </c>
      <c r="J97" s="5" t="inlineStr">
        <is>
          <t>—</t>
        </is>
      </c>
      <c r="K97" s="5" t="inlineStr">
        <is>
          <t>v3.0 신설 · 변경안 §7·§10 · 판정 티저는 로드맵 영상보다 강한 예고편(보완안 §4-③)</t>
        </is>
      </c>
      <c r="L97" s="5" t="inlineStr">
        <is>
          <t>【근거】 12월 승격 — 화면 구조를 바꾸지 않고 데이터만 켜지는 형태(변경안 §7) · 근거 강도(대표이미지) — Amazon MAIN 이미지 규정 문언 "MAIN images must not include text, logos, borders, color blocks, watermarks, or other graphics over the top of a product or in the background"과 전용 반려 코드 Error 18027 확인(확인일 2026-09-02). 단정 가능 · 근거 강도(상세페이지·A+ 이미지 내 텍스트) — ⚠ Seller Central 포럼에 이미지 내 텍스트 반려 사례 보고가 있으나(로고·제품 인쇄 문자까지 반려) Amazon 공식 전면 금지 정책은 미확인. "반려 리스크 존재" 수준으로만 기록하고 단정하지 말 것(변경안 §10)</t>
        </is>
      </c>
      <c r="M97" s="5" t="inlineStr">
        <is>
          <t>v3.0 신설 · v3.2 수정 — 근거 강도를 대표이미지(규정·반려 코드 확인) / 그 외로 분리, 수용 ③ 조건화</t>
        </is>
      </c>
      <c r="N97" s="6" t="n"/>
      <c r="O97" s="6" t="n"/>
      <c r="P97" s="6" t="n"/>
      <c r="Q97" s="6" t="n"/>
      <c r="R97" s="6" t="n"/>
      <c r="S97" s="6" t="n"/>
      <c r="T97" s="6" t="n"/>
      <c r="U97" s="6" t="n"/>
      <c r="V97" s="6" t="n"/>
      <c r="W97" s="6" t="n"/>
      <c r="X97" s="6" t="n"/>
      <c r="Y97" s="6" t="n"/>
      <c r="Z97" s="6" t="n"/>
      <c r="AA97" s="6" t="n"/>
    </row>
    <row r="98" ht="114.75" customHeight="1">
      <c r="A98" s="105" t="inlineStr">
        <is>
          <t>F-CFM-01</t>
        </is>
      </c>
      <c r="B98" s="106" t="inlineStr">
        <is>
          <t>N5 검수</t>
        </is>
      </c>
      <c r="C98" s="35" t="inlineStr">
        <is>
          <t>N5</t>
        </is>
      </c>
      <c r="D98" s="36" t="inlineStr">
        <is>
          <t>★원문·번역문 비교</t>
        </is>
      </c>
      <c r="E98" s="270" t="inlineStr">
        <is>
          <t>검수 화면(N5)은 좌우 2분할이다 — 좌측은 초장축 뷰어(F-CRP-01a), 우측은 블록별 표.  【9월 · 규격 그대로】 좌측: 원본과 제자리 렌더 결과를 나란히 놓지 않고 한 뷰에서 슬라이더(전/후)로 겹쳐 본다. 우측 표: 원문/1차 번역(1차 번역이 곧 최종). 【12월 · 규격 변경】 좌측은 상하 2단 — 위는 템플릿 렌더 결과. 셀을 수정하면 배치가 즉시 갱신되므로 셀러는 모듈 위에 문구가 어떻게 올라가는지 보고 확정한다), 아래는 원본 세로(보조, 기본 접힘이며 표 행·모듈 클릭 시 하이라이트와 함께 펼쳐진다 — F-CFM-13). 우측 표: 원문/2차 번역 ★제외 섹션은 두 종류를 구분한다. 【N3에서 제외한 섹션】 좌측 뷰어와 우측 표 어디에도 나타나지 않으며, 원본도 제외분을 빼고 스택한 상태로 표시해 두 결과의 높이가 같아진다. 【N5에서 제외한 섹션】 사라지지 않고 회색 오버레이로 남아 되돌릴 수 있다(F-CFM-14) — 자리를 유지하므로 높이가 바뀌지 않으며, 스택은 N6 최종 렌더에서만 적용된다. 셀 수정 시 해당 경로의 렌더(제자리/템플릿)를 재실행한다.</t>
        </is>
      </c>
      <c r="F98" s="37" t="inlineStr">
        <is>
          <t>P0</t>
        </is>
      </c>
      <c r="G98" s="37" t="inlineStr">
        <is>
          <t>must</t>
        </is>
      </c>
      <c r="H98" s="269" t="inlineStr">
        <is>
          <t>O</t>
        </is>
      </c>
      <c r="I98" s="36" t="inlineStr">
        <is>
          <t>① 좌측 뷰어 + 우측 블록별 표의 2분할 ② 9월 경로에서 원본/결과가 한 뷰의 슬라이더로 대조됨 ③ 12월 경로에서 좌측이 상하 2단(위 템플릿 렌더·아래 원본 접힘)으로 전환됨 ④ 경로별 대조가 1회만 수행됨(9월 원문/1차, 12월 원문/2차) ⑤ 규격 변경 경로에서 1차 번역이 기본 숨김·접기로 제공됨 ⑥ ★N3에서 제외한 섹션이 좌·우 어디에도 나타나지 않고 원본도 제외분을 뺀 스택 상태로 표시되어 두 결과의 높이가 같음 ⑦ ★N5에서 제외한 섹션은 회색으로 남아 되돌릴 수 있고 높이가 변하지 않음(F-CFM-14)</t>
        </is>
      </c>
      <c r="J98" s="36" t="inlineStr">
        <is>
          <t>원문 없는 문장이 표에 생기는 경로는 존재하지 않는다</t>
        </is>
      </c>
      <c r="K98" s="35" t="n"/>
      <c r="L98" s="281" t="inlineStr">
        <is>
          <t>【근거】 N5 제외 섹션이 자리에 남는 이유 — 자리를 유지하므로 높이가 바뀌지 않아 슬라이더가 유지된다 · 9월 슬라이더 겹쳐 보기 — 제자리 번역은 두 결과의 레이아웃이 같아 같은 자리에서 글자만 바뀌므로, 나란히 배치보다 겹쳐 보기가 차이를 정확히 드러내고 뷰어 폭도 절반만 쓴다 · 12월 재렌더 비용 — 2a는 텍스트가 이미지 밖이라 셀 수정 시 사진을 다시 만들 필요 없이 텍스트만 다시 흐르면 되고(CSS 리플로우), 2b는 텍스트가 이미지 안이라 재렌더가 필요하다 · 12월 좌측 2단 — 레이아웃이 서로 달라 슬라이더가 성립하지 않으므로 이 경로만 2단이다 · N3 제외분의 삭제 내역 — 제외 확인은 이미 N3에서 끝났고 삭제 내역은 N3 화면과 content.csv·manifest에 남는다(F-SEC-05·NFR-31) · N5 제외의 원칙 — "이 화면에서 한 일은 이 화면에서 되돌린다"는 원칙이다 · 원문 없는 문장이 안 생기는 이유 — 원문 입력·블록 신규 생성을 제공하지 않기 때문이다(PL-26)</t>
        </is>
      </c>
      <c r="M98" s="37" t="inlineStr">
        <is>
          <t>v3.0 수정 — 검수 화면을 표+재렌더로 확정, 경로별 대조 정의 · v3.0 수정 — 12월 검수 화면 구체화(PM 확인 9/1) · v3.0 수정 — 상단/하단 → 좌/우 2분할, 9월 슬라이더·12월 좌측 상하 2단 확정, 제외 섹션 N5 미표시 명시(PM 확정 9/1) · v3.0 수정 — 제외 섹션을 N3 제외/N5 제외로 구분 · 12월 템플릿 위 검수임을 명확화(성능 주석 포함)</t>
        </is>
      </c>
      <c r="N98" s="6" t="n"/>
      <c r="O98" s="6" t="n"/>
      <c r="P98" s="6" t="n"/>
      <c r="Q98" s="6" t="n"/>
      <c r="R98" s="6" t="n"/>
      <c r="S98" s="6" t="n"/>
      <c r="T98" s="6" t="n"/>
      <c r="U98" s="6" t="n"/>
      <c r="V98" s="6" t="n"/>
      <c r="W98" s="6" t="n"/>
      <c r="X98" s="6" t="n"/>
      <c r="Y98" s="6" t="n"/>
      <c r="Z98" s="6" t="n"/>
      <c r="AA98" s="6" t="n"/>
    </row>
    <row r="99" ht="175.5" customHeight="1">
      <c r="A99" s="107" t="inlineStr">
        <is>
          <t>F-CFM-02</t>
        </is>
      </c>
      <c r="B99" s="108" t="inlineStr">
        <is>
          <t>N5 검수</t>
        </is>
      </c>
      <c r="C99" s="256" t="inlineStr">
        <is>
          <t>N5</t>
        </is>
      </c>
      <c r="D99" s="276" t="inlineStr">
        <is>
          <t>★번역문 직접 수정 (2차 피드백)</t>
        </is>
      </c>
      <c r="E99" s="276" t="inlineStr">
        <is>
          <t>검수 표의 번역문 셀을 직접 수정한다. 셀 수정 시 재렌더하고 금지표현 사전 매칭(F-TRN-03a)을 자동 재실행한다(차단 없이 경고). 재렌더 시 렌더 폭을 다시 측정해 조판 조정과 폭 초과 판정을 재수행한다(F-TRN-04). 캔버스 위 인라인 편집은 없다 — 표 수정은 폼이지 편집기가 아니다. 수정 결과의 책임은 사용자에게 있다.</t>
        </is>
      </c>
      <c r="F99" s="277" t="inlineStr">
        <is>
          <t>P0</t>
        </is>
      </c>
      <c r="G99" s="277" t="inlineStr">
        <is>
          <t>must</t>
        </is>
      </c>
      <c r="H99" s="278" t="inlineStr">
        <is>
          <t>O</t>
        </is>
      </c>
      <c r="I99" s="276" t="inlineStr">
        <is>
          <t>① 표 셀 수정 → 재렌더 ② 수정 시 F-TRN-03a 자동 재실행(경고 표시) ③ 수정 이력이 기록됨(A-QA-01) ④ 수정 시 책임 고지 ⑤ ★셀 수정 후 폭 재측정·조판 재조정이 수행되고 폭 초과 표시가 갱신됨</t>
        </is>
      </c>
      <c r="J99" s="276" t="inlineStr">
        <is>
          <t>재실행 결과 위반 검출 시 차단하지 않고 경고 배지를 단다</t>
        </is>
      </c>
      <c r="K99" s="256" t="inlineStr">
        <is>
          <t>v1.7 · 재검증 범위 확정 — 경고만, 자동 재검증 없음 · OI-19 종결 · 변경안 §2 화면 5</t>
        </is>
      </c>
      <c r="L99" s="256" t="n"/>
      <c r="M99" s="277" t="inlineStr">
        <is>
          <t>v3.2.1 수정 — 셀 수정 후 폭 재측정·조판 재조정 명시 · v3.0 수정 — 인라인 편집 폐기·표로 확정 · 사전 자동 재실행 추가(OI-19 v1.7 결론 변경)</t>
        </is>
      </c>
      <c r="N99" s="6" t="n"/>
      <c r="O99" s="6" t="n"/>
      <c r="P99" s="6" t="n"/>
      <c r="Q99" s="6" t="n"/>
      <c r="R99" s="6" t="n"/>
      <c r="S99" s="6" t="n"/>
      <c r="T99" s="6" t="n"/>
      <c r="U99" s="6" t="n"/>
      <c r="V99" s="6" t="n"/>
      <c r="W99" s="6" t="n"/>
      <c r="X99" s="6" t="n"/>
      <c r="Y99" s="6" t="n"/>
      <c r="Z99" s="6" t="n"/>
      <c r="AA99" s="6" t="n"/>
    </row>
    <row r="100" ht="51" customHeight="1">
      <c r="A100" s="107" t="inlineStr">
        <is>
          <t>F-CFM-02a</t>
        </is>
      </c>
      <c r="B100" s="108" t="inlineStr">
        <is>
          <t>N5 검수</t>
        </is>
      </c>
      <c r="C100" s="5" t="inlineStr">
        <is>
          <t>N5</t>
        </is>
      </c>
      <c r="D100" s="9" t="inlineStr">
        <is>
          <t>★번역 블록 상태 관리</t>
        </is>
      </c>
      <c r="E100" s="9" t="inlineStr">
        <is>
          <t>텍스트 블록마다 번역 상태를 관리한다. 상태는 기계번역 / 사용자수정 두 가지이며, 사용자가 번역문을 직접 수정하면 사용자수정으로 전환된다. 사용자수정 블록은 F-TRN-02d의 재번역 대상에서 제외되어 수정 내역이 보존된다.</t>
        </is>
      </c>
      <c r="F100" s="31" t="inlineStr">
        <is>
          <t>P0</t>
        </is>
      </c>
      <c r="G100" s="31" t="inlineStr">
        <is>
          <t>must</t>
        </is>
      </c>
      <c r="H100" s="268" t="inlineStr">
        <is>
          <t>O</t>
        </is>
      </c>
      <c r="I100" s="9" t="inlineStr">
        <is>
          <t>① 수정 시 상태가 전환됨 ② 사용자수정 블록이 재번역되지 않음 ③ 상태가 화면에 표시됨</t>
        </is>
      </c>
      <c r="J100" s="9" t="inlineStr">
        <is>
          <t>원문이 수정되면 사용자수정 상태여도 재번역 대상이 되며 사전에 안내한다</t>
        </is>
      </c>
      <c r="K100" s="5" t="inlineStr">
        <is>
          <t>v1.9 · v3.0 수정 — 블록 상태는 텍스트 블록 단위로 관리한다(구 배치 종속 폐기 — PL-21·22)</t>
        </is>
      </c>
      <c r="L100" s="5" t="n"/>
      <c r="M100" s="31" t="inlineStr">
        <is>
          <t>v3.0 수정 — 배치·조각 종속 문구 삭제</t>
        </is>
      </c>
      <c r="N100" s="6" t="n"/>
      <c r="O100" s="6" t="n"/>
      <c r="P100" s="6" t="n"/>
      <c r="Q100" s="6" t="n"/>
      <c r="R100" s="6" t="n"/>
      <c r="S100" s="6" t="n"/>
      <c r="T100" s="6" t="n"/>
      <c r="U100" s="6" t="n"/>
      <c r="V100" s="6" t="n"/>
      <c r="W100" s="6" t="n"/>
      <c r="X100" s="6" t="n"/>
      <c r="Y100" s="6" t="n"/>
      <c r="Z100" s="6" t="n"/>
      <c r="AA100" s="6" t="n"/>
    </row>
    <row r="101" ht="38.25" customHeight="1">
      <c r="A101" s="107" t="inlineStr">
        <is>
          <t>F-CFM-03</t>
        </is>
      </c>
      <c r="B101" s="108" t="inlineStr">
        <is>
          <t>N5 검수</t>
        </is>
      </c>
      <c r="C101" s="5" t="inlineStr">
        <is>
          <t>N5</t>
        </is>
      </c>
      <c r="D101" s="9" t="inlineStr">
        <is>
          <t>★실행 취소 (Undo)</t>
        </is>
      </c>
      <c r="E101" s="9" t="inlineStr">
        <is>
          <t>텍스트 수정과 삭제를 되돌린다. MVP에서는 버튼을 노출하되 동작하지 않으며, 툴팁으로 12월 기능임을 안내한다(F-NAV-01 프로세스 바와 같은 방식) — 검수 화면의 버튼 구성을 처음부터 확정해 12월에 화면을 다시 짜지 않기 위함이다. 12월에 다단계 실행 취소와 재실행을 제공한다.</t>
        </is>
      </c>
      <c r="F101" s="31" t="inlineStr">
        <is>
          <t>P1</t>
        </is>
      </c>
      <c r="G101" s="31" t="inlineStr">
        <is>
          <t>should</t>
        </is>
      </c>
      <c r="H101" s="268" t="inlineStr">
        <is>
          <t>X</t>
        </is>
      </c>
      <c r="I101" s="9" t="inlineStr">
        <is>
          <t>① MVP는 버튼이 노출되고 클릭이 동작하지 않음 ② 12월 기능임이 툴팁으로 안내됨 ③ [12월] 수정·삭제 되돌리기 ④ [12월] 다단계 실행 취소 ⑤ [12월] 재실행(Redo) 지원</t>
        </is>
      </c>
      <c r="J101" s="9" t="inlineStr">
        <is>
          <t>스택 상한을 넘으면 가장 오래된 항목부터 폐기한다(12월) / MVP는 단계 되돌림이 없으므로 단계 이동에 의한 초기화는 발생하지 않는다 / MVP에서 셀 수정을 잘못하면 원문이 표에 남아 있으므로 다시 입력해 복구한다</t>
        </is>
      </c>
      <c r="K101" s="5" t="inlineStr">
        <is>
          <t>v1.6 수정 · NFR-09 연계(12월 적용) · 단계 이동 초기화 조항 삭제</t>
        </is>
      </c>
      <c r="L101" s="5" t="n"/>
      <c r="M101" s="31" t="inlineStr">
        <is>
          <t>v3.0 수정 — must→should · MVP는 버튼 노출·무동작(F-NAV-01 방식) · 9/1 — MVP must→should, 버튼만 노출·무동작(PM 확정 9/1)</t>
        </is>
      </c>
      <c r="N101" s="6" t="n"/>
      <c r="O101" s="6" t="n"/>
      <c r="P101" s="6" t="n"/>
      <c r="Q101" s="6" t="n"/>
      <c r="R101" s="6" t="n"/>
      <c r="S101" s="6" t="n"/>
      <c r="T101" s="6" t="n"/>
      <c r="U101" s="6" t="n"/>
      <c r="V101" s="6" t="n"/>
      <c r="W101" s="6" t="n"/>
      <c r="X101" s="6" t="n"/>
      <c r="Y101" s="6" t="n"/>
      <c r="Z101" s="6" t="n"/>
      <c r="AA101" s="6" t="n"/>
    </row>
    <row r="102" ht="58.5" customHeight="1">
      <c r="A102" s="107" t="inlineStr">
        <is>
          <t>F-CFM-04</t>
        </is>
      </c>
      <c r="B102" s="108" t="inlineStr">
        <is>
          <t>N5 검수</t>
        </is>
      </c>
      <c r="C102" s="5" t="inlineStr">
        <is>
          <t>N5</t>
        </is>
      </c>
      <c r="D102" s="9" t="inlineStr">
        <is>
          <t>★로컬라이징 근거 확인</t>
        </is>
      </c>
      <c r="E102" s="9" t="inlineStr">
        <is>
          <t>각 블록의 로컬라이징 근거를 확인할 수 있다. 사용자가 로컬라이징 판단 자체를 수정할 수는 없다.</t>
        </is>
      </c>
      <c r="F102" s="31" t="inlineStr">
        <is>
          <t>P0</t>
        </is>
      </c>
      <c r="G102" s="31" t="inlineStr">
        <is>
          <t>must</t>
        </is>
      </c>
      <c r="H102" s="268" t="inlineStr">
        <is>
          <t>O</t>
        </is>
      </c>
      <c r="I102" s="9" t="inlineStr">
        <is>
          <t>① 블록별 근거 표시 ② 규제 치환 사유 명시 ③ 근거는 읽기 전용</t>
        </is>
      </c>
      <c r="J102" s="9" t="inlineStr">
        <is>
          <t>근거 미산출 블록은 '근거 없음'으로 표시하고 재생성 요청 제공</t>
        </is>
      </c>
      <c r="K102" s="5" t="inlineStr">
        <is>
          <t>PL-11</t>
        </is>
      </c>
      <c r="L102" s="246" t="n"/>
      <c r="M102" s="31" t="n"/>
      <c r="N102" s="6" t="n"/>
      <c r="O102" s="6" t="n"/>
      <c r="P102" s="6" t="n"/>
      <c r="Q102" s="6" t="n"/>
      <c r="R102" s="6" t="n"/>
      <c r="S102" s="6" t="n"/>
      <c r="T102" s="6" t="n"/>
      <c r="U102" s="6" t="n"/>
      <c r="V102" s="6" t="n"/>
      <c r="W102" s="6" t="n"/>
      <c r="X102" s="6" t="n"/>
      <c r="Y102" s="6" t="n"/>
      <c r="Z102" s="6" t="n"/>
      <c r="AA102" s="6" t="n"/>
    </row>
    <row r="103" ht="72.75" customHeight="1">
      <c r="A103" s="107" t="inlineStr">
        <is>
          <t>F-CFM-05</t>
        </is>
      </c>
      <c r="B103" s="108" t="inlineStr">
        <is>
          <t>N5 검수</t>
        </is>
      </c>
      <c r="C103" s="256" t="inlineStr">
        <is>
          <t>N5</t>
        </is>
      </c>
      <c r="D103" s="276" t="inlineStr">
        <is>
          <t>★확인 필요 블록 표시</t>
        </is>
      </c>
      <c r="E103" s="276" t="inlineStr">
        <is>
          <t>확인이 필요한 번역 블록과 섹션을 표시한다. 점수를 산출하지 않고 이미 생성되는 신호를 재사용한다: 규제 검증 결과(compliance_flags), 미적용 강제 용어(F-TRN-02c), 낮은 OCR 인식 신뢰도, 번역 실패·재시도 이력, ★인페인팅 잔존율 기준 초과·임계 근접(F-INP-01b의 처리 실패·품질 주의 2종), ★인식 실패(OCR이 글자를 읽지 못해 원문이 빈 블록 — F-INP-02·01a), ★브랜드 로고 매칭 실패(F-BRD-02), ★폭 초과(조판 조정 상한 안에서 수렴하지 않은 블록 — F-TRN-04). 신호가 있는 블록·섹션에 플래그를 달고 사유를 함께 표시한다. 인페인팅 신호는 블록이 아니라 섹션에 붙으므로 좌측 뷰어 결과의 해당 섹션 위에 인라인 배지로 표시하고(PL-24), 나머지 신호는 우측 표의 블록 행에 표시한다.</t>
        </is>
      </c>
      <c r="F103" s="277" t="inlineStr">
        <is>
          <t>P0</t>
        </is>
      </c>
      <c r="G103" s="277" t="inlineStr">
        <is>
          <t>must</t>
        </is>
      </c>
      <c r="H103" s="278" t="inlineStr">
        <is>
          <t>O</t>
        </is>
      </c>
      <c r="I103" s="276" t="inlineStr">
        <is>
          <t>① 신호가 있는 블록·섹션이 시각적으로 구분됨 ② 플래그 사유가 표시됨 ③ 구조화된 규제 검증 결과를 읽어 항목별로 표시 ④ ★인페인팅 잔존율 신호가 N5 응답에 포함되어 섹션 배지로 표시됨 ⑤ ★배지를 누르면 좌측 뷰어가 해당 섹션 위치로 이동함(F-CFM-13과 동일한 선택 상태) ⑥ ★인식 실패(빈 블록)와 로고 매칭 실패가 신호로 표시되고 사유가 함께 노출됨 ⑦ ★폭 초과 블록이 신호로 표시되고 짧은 표현이 필요함이 함께 안내됨</t>
        </is>
      </c>
      <c r="J103" s="276" t="inlineStr">
        <is>
          <t>신호 산출이 실패한 블록은 표시를 생략하고 오류를 내지 않는다</t>
        </is>
      </c>
      <c r="K103" s="256" t="inlineStr">
        <is>
          <t>v2.0 · compliance_flags(jsonb) 구조화 결과 사용 · 점수화는 OI-33</t>
        </is>
      </c>
      <c r="L103" s="256" t="n"/>
      <c r="M103" s="277" t="inlineStr">
        <is>
          <t>v3.2.1 수정 — 신호 목록에 폭 초과 추가(F-TRN-08 폐기로 소유자 이관) · v3.0 수정 — 신호 목록에 인페인팅 잔존율 추가 · 섹션 배지 + 위치 이동 명시 · 9/1 — 인페인팅 잔존율 신호 추가(N4가 자동 전환 화면이라 인페인팅 결과를 볼 지점이 N5뿐이므로).</t>
        </is>
      </c>
      <c r="N103" s="6" t="n"/>
      <c r="O103" s="6" t="n"/>
      <c r="P103" s="6" t="n"/>
      <c r="Q103" s="6" t="n"/>
      <c r="R103" s="6" t="n"/>
      <c r="S103" s="6" t="n"/>
      <c r="T103" s="6" t="n"/>
      <c r="U103" s="6" t="n"/>
      <c r="V103" s="6" t="n"/>
      <c r="W103" s="6" t="n"/>
      <c r="X103" s="6" t="n"/>
      <c r="Y103" s="6" t="n"/>
      <c r="Z103" s="6" t="n"/>
      <c r="AA103" s="6" t="n"/>
    </row>
    <row r="104" ht="114.75" customHeight="1">
      <c r="A104" s="107" t="inlineStr">
        <is>
          <t>F-CFM-12</t>
        </is>
      </c>
      <c r="B104" s="108" t="inlineStr">
        <is>
          <t>N5 검수</t>
        </is>
      </c>
      <c r="C104" s="5" t="inlineStr">
        <is>
          <t>N5</t>
        </is>
      </c>
      <c r="D104" s="9" t="inlineStr">
        <is>
          <t>★자동 조정 알림 (조작 불가)</t>
        </is>
      </c>
      <c r="E104" s="271" t="inlineStr">
        <is>
          <t>시스템이 수행한 조판 자동 조정(폰트 −8% 등)을 알림으로만 표시한다: "ℹ 자동 조정됨 (폰트 −8%)". 조작 UI는 없다 — 조정 내역은 content.csv auto_adjust 열과 일치한다.</t>
        </is>
      </c>
      <c r="F104" s="5" t="inlineStr">
        <is>
          <t>P0</t>
        </is>
      </c>
      <c r="G104" s="5" t="inlineStr">
        <is>
          <t>must</t>
        </is>
      </c>
      <c r="H104" s="268" t="inlineStr">
        <is>
          <t>O</t>
        </is>
      </c>
      <c r="I104" s="9" t="inlineStr">
        <is>
          <t>① 자동 조정 블록에 알림 표시 ② 조정 조작 UI가 존재하지 않음 ③ auto_adjust 기록과 일치</t>
        </is>
      </c>
      <c r="J104" s="5" t="inlineStr">
        <is>
          <t>—</t>
        </is>
      </c>
      <c r="K104" s="5" t="inlineStr">
        <is>
          <t>v3.0 신설 · 변경안 §4-2</t>
        </is>
      </c>
      <c r="L104" s="274" t="inlineStr">
        <is>
          <t xml:space="preserve">폰트 크기 슬라이더를 노출하는 순간 디자인 편집기가 된다. 알리지 않으면 셀러가 "왜 글자 크기가 다르지?" 하고 놀라고, 만지게 하면 편집기가 된다. </t>
        </is>
      </c>
      <c r="M104" s="5" t="inlineStr">
        <is>
          <t>v3.0 신설</t>
        </is>
      </c>
      <c r="N104" s="6" t="n"/>
      <c r="O104" s="6" t="n"/>
      <c r="P104" s="6" t="n"/>
      <c r="Q104" s="6" t="n"/>
      <c r="R104" s="6" t="n"/>
      <c r="S104" s="6" t="n"/>
      <c r="T104" s="6" t="n"/>
      <c r="U104" s="6" t="n"/>
      <c r="V104" s="6" t="n"/>
      <c r="W104" s="6" t="n"/>
      <c r="X104" s="6" t="n"/>
      <c r="Y104" s="6" t="n"/>
      <c r="Z104" s="6" t="n"/>
      <c r="AA104" s="6" t="n"/>
    </row>
    <row r="105" ht="51" customHeight="1">
      <c r="A105" s="107" t="inlineStr">
        <is>
          <t>F-CFM-13</t>
        </is>
      </c>
      <c r="B105" s="108" t="inlineStr">
        <is>
          <t>N5 검수</t>
        </is>
      </c>
      <c r="C105" s="5" t="inlineStr">
        <is>
          <t>N5</t>
        </is>
      </c>
      <c r="D105" s="9" t="inlineStr">
        <is>
          <t>★블록 ↔ 섹션 연동 선택</t>
        </is>
      </c>
      <c r="E105" s="9" t="inlineStr">
        <is>
          <t>검수 화면의 좌측 뷰어와 우측 블록 표가 하나의 선택 상태(선택 섹션·선택 블록)를 공유해 양방향으로 이동한다. ① 우측 표의 블록 행을 누르면 좌측 뷰어가 그 블록이 속한 섹션 위치로 이동하고 블록 bbox를 하이라이트한다 ② 좌측 뷰어에서 섹션을 누르면 우측 표가 그 섹션 그룹으로 스크롤되고 해당 블록들을 하이라이트한다. 우측 표는 섹션별 그룹 헤더로 묶어 표시한다. ③ 좌측 뷰어에서 블록을 누르면 그 행으로 스크롤하고 우측 표의 번역문 셀에 커서가 들어간다 — 인라인 편집은 두지 않는다(F-CFM-02·PL-26). 겹치는 bbox는 가장 작은 것을 우선하고, 슬라이더가 원본 쪽에 있어도 bbox가 같으므로 같은 블록으로 간다. 인페인팅 경고 배지 클릭(F-INP-01b·F-CFM-05)도 같은 선택 상태를 쓴다. 【12월 · 규격 변경】 같은 선택 상태를 섹션↔모듈 하이라이트로 확장한다 — 2차 번역 행을 누르면 템플릿의 해당 모듈 슬롯과 출처 섹션들이 함께 하이라이트되고, 모듈을 누르면 그 슬롯에 들어간 블록 행들을 전부 하이라이트하고 첫 행에 포커스를 준다(origin_block_ids가 배열이라 여러 행이 대응한다). 우측 표의 그룹 헤더 기준은 경로별로 다르다 — 9월은 섹션별, 12월은 행이 모듈 슬롯이므로 모듈별로 묶는다. 연결은 문자열 비교가 아니라 manifest의 origin_block_ids(F-EXP-03)로 조회한다.</t>
        </is>
      </c>
      <c r="F105" s="5" t="inlineStr">
        <is>
          <t>P0</t>
        </is>
      </c>
      <c r="G105" s="5" t="inlineStr">
        <is>
          <t>must</t>
        </is>
      </c>
      <c r="H105" s="268" t="inlineStr">
        <is>
          <t>O</t>
        </is>
      </c>
      <c r="I105" s="9" t="inlineStr">
        <is>
          <t>① 표 행 클릭 시 좌측 뷰어가 해당 섹션으로 이동하고 블록이 하이라이트됨 ② 뷰어의 섹션 클릭 시 표가 그 섹션 그룹으로 스크롤되고 블록들이 하이라이트됨 ③ 우측 표가 섹션별 그룹 헤더로 묶여 표시됨 ④ 배지 클릭과 동일한 선택 상태를 사용함 ⑤ 뷰어의 블록 클릭 시 해당 셀에 커서가 들어감 ⑥ 표 그룹 헤더가 9월 섹션별·12월 모듈별로 묶임 ⑦ [12월] 2차 번역 행 ↔ 템플릿 모듈 슬롯이 origin_block_ids로 상호 하이라이트됨</t>
        </is>
      </c>
      <c r="J105" s="5" t="inlineStr">
        <is>
          <t>블록에 대응 섹션이 없으면(사용자 추가 문장) 이동 없이 표에서만 하이라이트한다 / [12월] origin_block_ids가 비어 있는 예외 건은 정규화 후 최장 공통 부분열로 폴백 매칭하고 추정임을 표시한다</t>
        </is>
      </c>
      <c r="K105" s="5" t="inlineStr">
        <is>
          <t>v3.0 신설 · 12월 확장은 origin_block_ids 존재가 전제 · 12월 표 그룹은 모듈별</t>
        </is>
      </c>
      <c r="L105" s="5" t="inlineStr">
        <is>
          <t>【근거】 섹션별 그룹 헤더 — 묶여 있지 않으면 역방향 이동이 어디로 갔는지 알 수 없다 · 추가 데이터 없음 — 좌표는 manifest의 섹션 bbox·스택 오프셋과 블록 원본 bbox를 그대로 사용하므로 추가 데이터가 없다 · origin_block_ids로 조회 — 2차 번역은 선별→압축으로 파생되어 문장이 잘리고 합쳐지므로 텍스트 매칭이 성립하지 않는다 · PM 확정 9/1 — 배지 점프(F-CFM-05 ⑤)와 같은 선택 상태를 재사용하므로 추가 데이터·API 없음</t>
        </is>
      </c>
      <c r="M105" s="5" t="inlineStr">
        <is>
          <t>v3.0 신설 · 9/1 — 블록 클릭→셀 포커스 확장(정방향에서 이미 bbox를 뷰어 좌표로 그리므로 핸들러·scrollIntoView·focus만 추가)</t>
        </is>
      </c>
      <c r="N105" s="6" t="n"/>
      <c r="O105" s="6" t="n"/>
      <c r="P105" s="6" t="n"/>
      <c r="Q105" s="6" t="n"/>
      <c r="R105" s="6" t="n"/>
      <c r="S105" s="6" t="n"/>
      <c r="T105" s="6" t="n"/>
      <c r="U105" s="6" t="n"/>
      <c r="V105" s="6" t="n"/>
      <c r="W105" s="6" t="n"/>
      <c r="X105" s="6" t="n"/>
      <c r="Y105" s="6" t="n"/>
      <c r="Z105" s="6" t="n"/>
      <c r="AA105" s="6" t="n"/>
    </row>
    <row r="106" ht="41.25" customHeight="1">
      <c r="A106" s="107" t="inlineStr">
        <is>
          <t>F-CFM-14</t>
        </is>
      </c>
      <c r="B106" s="108" t="inlineStr">
        <is>
          <t>N5 검수</t>
        </is>
      </c>
      <c r="C106" s="5" t="inlineStr">
        <is>
          <t>N5</t>
        </is>
      </c>
      <c r="D106" s="9" t="inlineStr">
        <is>
          <t>★검수 중 섹션 제외 (회색 처리 · 되돌리기)</t>
        </is>
      </c>
      <c r="E106" s="9" t="inlineStr">
        <is>
          <t>검수(N5)에서 섹션을 결과물에서 빼고, 뺀 것을 다시 되돌릴 수 있다. 제외해도 화면에서 사라지지 않는다 — 좌측 뷰어의 해당 자리를 회색 오버레이로 덮고 「저장 시 제외됨 · 위아래가 붙습니다」와 [되돌리기]를 함께 표시하며, 우측 표의 해당 섹션 그룹도 회색 처리하고 편집을 막는다. 수평 절단+스택(F-SEC-07)은 N6 최종 렌더에서 한 번만 적용된다. 회색 오버레이와 [되돌리기]는 슬라이더 위치와 무관하게 항상 표시되는 레이어다. N3에서 제외한 섹션은 이 화면에 나타나지 않으며(F-CFM-01 ⑥) 여기서 되살릴 수 없다.</t>
        </is>
      </c>
      <c r="F106" s="5" t="inlineStr">
        <is>
          <t>P0</t>
        </is>
      </c>
      <c r="G106" s="5" t="inlineStr">
        <is>
          <t>must</t>
        </is>
      </c>
      <c r="H106" s="268" t="inlineStr">
        <is>
          <t>O</t>
        </is>
      </c>
      <c r="I106" s="9" t="inlineStr">
        <is>
          <t>① 제외한 섹션이 사라지지 않고 회색 오버레이 + 사유 + [되돌리기]로 표시됨 ② 되돌리면 원상 복귀함 ③ 제외 상태에서도 원본/결과 높이가 같아 슬라이더가 유지됨 ④ 우측 표의 해당 그룹도 회색·편집 불가 ⑤ 제외 반영은 N6 최종 렌더에서만 일어남 ⑥ N3에서 제외한 섹션은 이 화면에 없음</t>
        </is>
      </c>
      <c r="J106" s="9" t="inlineStr">
        <is>
          <t>전 섹션을 제외하면 확정을 차단하고 안내한다(N3와 동일 원칙) / 제외 상태로 확정하면 사유 코드 user_manual로 기록한다(F-SEC-06 · 새 코드를 만들지 않는다) / 되돌린 섹션은 제외가 아니므로 사유를 남기지 않는다</t>
        </is>
      </c>
      <c r="K106" s="5" t="inlineStr">
        <is>
          <t>v3.0 신설 · PM 확정 9/1 — 9/1 원안의 「즉시 삭제·되살리기 없음」을 회색 처리 방식으로 대체. 자리를 유지해 슬라이더 전제(같은 섹션 집합·같은 높이)를 지키고 검수 중 재렌더를 없앰</t>
        </is>
      </c>
      <c r="L106" s="5" t="inlineStr">
        <is>
          <t>【근거】 자리 유지의 효과 — 자리를 유지하므로 원본과 결과의 높이가 그대로여서 슬라이더 대조가 깨지지 않고(F-CFM-01), 재조판·재렌더가 발생하지 않는다 — · N3 제외와의 구분 — 이 화면에서 한 일만 이 화면에서 되돌린다 · 신설 배경 — 인페인팅이 실패한 섹션 때문에 작업 전체를 버려야 하던 문제(PL-24 · F-INP-01e가 12월)의 9월 해법이다</t>
        </is>
      </c>
      <c r="M106" s="5" t="inlineStr">
        <is>
          <t>v3.0 신설</t>
        </is>
      </c>
      <c r="N106" s="6" t="n"/>
      <c r="O106" s="6" t="n"/>
      <c r="P106" s="6" t="n"/>
      <c r="Q106" s="6" t="n"/>
      <c r="R106" s="6" t="n"/>
      <c r="S106" s="6" t="n"/>
      <c r="T106" s="6" t="n"/>
      <c r="U106" s="6" t="n"/>
      <c r="V106" s="6" t="n"/>
      <c r="W106" s="6" t="n"/>
      <c r="X106" s="6" t="n"/>
      <c r="Y106" s="6" t="n"/>
      <c r="Z106" s="6" t="n"/>
      <c r="AA106" s="6" t="n"/>
    </row>
    <row r="107" ht="204" customHeight="1">
      <c r="A107" s="107" t="inlineStr">
        <is>
          <t>F-CFM-09</t>
        </is>
      </c>
      <c r="B107" s="108" t="inlineStr">
        <is>
          <t>N5 검수</t>
        </is>
      </c>
      <c r="C107" s="5" t="inlineStr">
        <is>
          <t>N5</t>
        </is>
      </c>
      <c r="D107" s="9" t="inlineStr">
        <is>
          <t>컨펌 완료 및 다음 단계</t>
        </is>
      </c>
      <c r="E107" s="9" t="inlineStr">
        <is>
          <t>검수를 확정하면 N6 저장(산출물 묶음 생성)으로 이동한다.</t>
        </is>
      </c>
      <c r="F107" s="31" t="inlineStr">
        <is>
          <t>P0</t>
        </is>
      </c>
      <c r="G107" s="31" t="inlineStr">
        <is>
          <t>must</t>
        </is>
      </c>
      <c r="H107" s="268" t="inlineStr">
        <is>
          <t>O</t>
        </is>
      </c>
      <c r="I107" s="9" t="inlineStr">
        <is>
          <t>① 확정 시 최종 합성 단계로 전환</t>
        </is>
      </c>
      <c r="J107" s="9" t="inlineStr">
        <is>
          <t>미해결 규제 경고가 있으면 확인을 받고 이력을 저장</t>
        </is>
      </c>
      <c r="K107" s="5" t="n"/>
      <c r="L107" s="5" t="n"/>
      <c r="M107" s="31" t="inlineStr">
        <is>
          <t>v3.0 수정 — 다음 단계 S8→N6</t>
        </is>
      </c>
      <c r="N107" s="6" t="n"/>
      <c r="O107" s="6" t="n"/>
      <c r="P107" s="6" t="n"/>
      <c r="Q107" s="6" t="n"/>
      <c r="R107" s="6" t="n"/>
      <c r="S107" s="6" t="n"/>
      <c r="T107" s="6" t="n"/>
      <c r="U107" s="6" t="n"/>
      <c r="V107" s="6" t="n"/>
      <c r="W107" s="6" t="n"/>
      <c r="X107" s="6" t="n"/>
      <c r="Y107" s="6" t="n"/>
      <c r="Z107" s="6" t="n"/>
      <c r="AA107" s="6" t="n"/>
    </row>
    <row r="108" ht="89.25" customHeight="1">
      <c r="A108" s="109" t="inlineStr">
        <is>
          <t>F-FIN-01</t>
        </is>
      </c>
      <c r="B108" s="110" t="inlineStr">
        <is>
          <t>N6 최종</t>
        </is>
      </c>
      <c r="C108" s="35" t="inlineStr">
        <is>
          <t>N6</t>
        </is>
      </c>
      <c r="D108" s="36" t="inlineStr">
        <is>
          <t>★최종 이미지 렌더링</t>
        </is>
      </c>
      <c r="E108" s="36" t="inlineStr">
        <is>
          <t>확정된 배치와 텍스트로 최종 이미지를 렌더링한다 — 조립·렌더 방식은 구현이 정한다. ★결과물은 규격의 높이·용량 상한을 넘지 않도록 나눈다. 절단 위치는 섹션 경계이며 각 결과물의 높이가 고르게 되도록 자르므로, 결과물 장수는 원본 업로드 장수와 일치하지 않을 수 있다. 상한값은 규격 데이터가 정한다. 입력 유형이 썸네일이면 나누지 않고 원본 장 단위를 유지한다. 규격을 변경하는 경로에서는 템플릿 슬롯 단위로 나눈다. 검수(N5)는 전체를 하나로 이어 보고(슬라이더 대조가 그래야 성립한다) 분할은 저장(N6)에서 수행하며, 순서는 렌더 → 분할 → 규격 검증이다. 제외된 섹션만큼 결과물이 원본보다 짧아지는 것은 F-SEC-07이 의도한 정상 동작이다. 진행 상태를 단계로 표시하고, 모듈이 여러 개면 '3/7 모듈 렌더링 중'처럼 개수로 함께 보여준다.</t>
        </is>
      </c>
      <c r="F108" s="37" t="inlineStr">
        <is>
          <t>P0</t>
        </is>
      </c>
      <c r="G108" s="37" t="inlineStr">
        <is>
          <t>must</t>
        </is>
      </c>
      <c r="H108" s="269" t="inlineStr">
        <is>
          <t>O</t>
        </is>
      </c>
      <c r="I108" s="36" t="inlineStr">
        <is>
          <t>① 화면에서 본 결과와 렌더링 결과 일치 ② 채널 요구 해상도로 출력 ③ 폰트 렌더링 일관 ④ 진행 단계와 모듈 진행 개수가 표시됨 ⑤ ★각 결과물이 규격의 높이·용량 상한을 넘지 않음 ⑥ ★모든 절단 위치가 섹션 경계와 일치함 ⑦ ★입력 유형이 썸네일이면 결과물 장수가 원본 장수와 같음 ⑧ ★규격 검증이 분할 후에 수행됨</t>
        </is>
      </c>
      <c r="J108" s="36" t="inlineStr">
        <is>
          <t>렌더링 실패 시 재시도 후 오류 상태 전환 — 오류 상태에서 저장(N6)으로 복귀해 재시도할 수 있다(05_상태_정책) / 폰트 로드 실패 시 대체 폰트로 렌더링하고 표시 / 상한이 정의되지 않은 규격에서는 나누지 않는다 / 한 섹션이 단독으로 상한을 넘으면 그 섹션은 나누지 않고 상한 초과를 표시한다</t>
        </is>
      </c>
      <c r="K108" s="35" t="inlineStr">
        <is>
          <t>v2.2 · 대기 중 진행 표시 정의 · F-JOB-05 비동기</t>
        </is>
      </c>
      <c r="L108" s="281" t="inlineStr">
        <is>
          <t xml:space="preserve">【근거】 렌더 방식 — HTML 조립 + Playwright 캡처(v1.7 확정 — OI-34 종결). 진행 3단계 — HTML 조립 → 폰트 로딩 → 이미지 캡처 · 렌더→분할→검증 순서 — 용량은 파일당 기준이라 통짜 상태에서 재면 항상 위반으로 나온다 · 【근거】 균등 분할 — 섹션 경계로만 자르면 높이가 제각각이 되므로 목표 높이에 가장 가까운 경계를 고른다. 고르는 방법은 구현이 정한다 · 【근거】 썸네일 입력 예외 — 썸네일 여러 장은 독립 자산이므로 합쳐서 다시 나누지 않는다 · 【기각】 하나로 병합 — 높이·용량 상한에 걸린다 </t>
        </is>
      </c>
      <c r="M108" s="269" t="inlineStr">
        <is>
          <t>v2.4 수정 · 오류 상태의 S8 복귀 명시 · v3.0 수정 — 결과물 분할 규칙 신설 — 원본 업로드 단위 · N6에서 분할 · 렌더→분할→검증 · v3.0 수정 — 구 S번호 정정 · v3.2 수정 — 결과물 분할을 원본 장 단위에서 규격 상한 기준 균등 분할로 변경</t>
        </is>
      </c>
      <c r="N108" s="6" t="n"/>
      <c r="O108" s="6" t="n"/>
      <c r="P108" s="6" t="n"/>
      <c r="Q108" s="6" t="n"/>
      <c r="R108" s="6" t="n"/>
      <c r="S108" s="6" t="n"/>
      <c r="T108" s="6" t="n"/>
      <c r="U108" s="6" t="n"/>
      <c r="V108" s="6" t="n"/>
      <c r="W108" s="6" t="n"/>
      <c r="X108" s="6" t="n"/>
      <c r="Y108" s="6" t="n"/>
      <c r="Z108" s="6" t="n"/>
      <c r="AA108" s="6" t="n"/>
    </row>
    <row r="109">
      <c r="A109" s="111" t="inlineStr">
        <is>
          <t>F-FIN-01a</t>
        </is>
      </c>
      <c r="B109" s="112" t="inlineStr">
        <is>
          <t>N6 최종</t>
        </is>
      </c>
      <c r="C109" s="9" t="inlineStr">
        <is>
          <t>처리</t>
        </is>
      </c>
      <c r="D109" s="9" t="inlineStr">
        <is>
          <t>★폰트 매핑 및 임베드</t>
        </is>
      </c>
      <c r="E109" s="9" t="inlineStr">
        <is>
          <t>폰트는 역할 기반으로 매핑한다 — 원본 폰트 패밀리 식별은 포기하고(F-STY-05), 텍스트 역할(제목/본문 등, F-INP-02b)에 따라 백엔드에 등록된 폰트로 고정 매핑한다. 렌더 서버에 폰트를 임베드해 로컬과 서버 결과가 동일하도록 한다.</t>
        </is>
      </c>
      <c r="F109" s="31" t="inlineStr">
        <is>
          <t>P0</t>
        </is>
      </c>
      <c r="G109" s="31" t="inlineStr">
        <is>
          <t>must</t>
        </is>
      </c>
      <c r="H109" s="268" t="inlineStr">
        <is>
          <t>O</t>
        </is>
      </c>
      <c r="I109" s="9" t="inlineStr">
        <is>
          <t>① 역할별 매핑 테이블에 따라 폰트가 적용됨 ② 서버 렌더 결과가 미리보기와 동일 ③ 폰트 누락 시 폴백이 적용됨</t>
        </is>
      </c>
      <c r="J109" s="9" t="inlineStr">
        <is>
          <t>매핑되지 않은 폰트는 역할별 기본 폰트로 대체</t>
        </is>
      </c>
      <c r="K109" s="5" t="inlineStr">
        <is>
          <t>v1.5 신설 · 12월 사용자 변경 지원 예정 · v1.7 렌더링 HTML/Playwright 확정(OI-34 종결)</t>
        </is>
      </c>
      <c r="L109" s="5" t="inlineStr">
        <is>
          <t>【근거】 등록 폰트 종 수 — 2~3종. 9/2 — 근거 없는 숫자이고 수용기준이 세지 않으므로 요건에서 구현으로 이관</t>
        </is>
      </c>
      <c r="M109" s="31" t="inlineStr">
        <is>
          <t>v3.0 수정 — 추정 폰트 치환→역할 기반 고정 매핑(F-STY-05)</t>
        </is>
      </c>
      <c r="N109" s="6" t="n"/>
      <c r="O109" s="6" t="n"/>
      <c r="P109" s="6" t="n"/>
      <c r="Q109" s="6" t="n"/>
      <c r="R109" s="6" t="n"/>
      <c r="S109" s="6" t="n"/>
      <c r="T109" s="6" t="n"/>
      <c r="U109" s="6" t="n"/>
      <c r="V109" s="6" t="n"/>
      <c r="W109" s="6" t="n"/>
      <c r="X109" s="6" t="n"/>
      <c r="Y109" s="6" t="n"/>
      <c r="Z109" s="6" t="n"/>
      <c r="AA109" s="6" t="n"/>
    </row>
    <row r="110" ht="127.5" customHeight="1">
      <c r="A110" s="111" t="inlineStr">
        <is>
          <t>F-FIN-01b</t>
        </is>
      </c>
      <c r="B110" s="112" t="inlineStr">
        <is>
          <t>N6 최종</t>
        </is>
      </c>
      <c r="C110" s="5" t="inlineStr">
        <is>
          <t>N6</t>
        </is>
      </c>
      <c r="D110" s="9" t="inlineStr">
        <is>
          <t>★출력 후처리</t>
        </is>
      </c>
      <c r="E110" s="9" t="inlineStr">
        <is>
          <t>렌더 결과를 규격에 맞게 후처리한다. 리사이즈, 색공간 변환(RGB), 포맷 변환, 파일 크기 압축을 포함한다. A+ 이미지는 2MB 미만이어야 한다.</t>
        </is>
      </c>
      <c r="F110" s="31" t="inlineStr">
        <is>
          <t>P0</t>
        </is>
      </c>
      <c r="G110" s="31" t="inlineStr">
        <is>
          <t>must</t>
        </is>
      </c>
      <c r="H110" s="268" t="inlineStr">
        <is>
          <t>O</t>
        </is>
      </c>
      <c r="I110" s="9" t="inlineStr">
        <is>
          <t>① 색공간이 RGB로 변환됨 ② 파일 크기가 상한 이내 ③ 포맷이 규격 허용 목록에 포함</t>
        </is>
      </c>
      <c r="J110" s="9" t="inlineStr">
        <is>
          <t>압축으로도 상한을 못 맞추면 경고 후 저장</t>
        </is>
      </c>
      <c r="K110" s="5" t="inlineStr">
        <is>
          <t>v1.5 신설 · F-CH-05a 연계</t>
        </is>
      </c>
      <c r="L110" s="5" t="n"/>
      <c r="M110" s="31" t="n"/>
      <c r="N110" s="6" t="n"/>
      <c r="O110" s="6" t="n"/>
      <c r="P110" s="6" t="n"/>
      <c r="Q110" s="6" t="n"/>
      <c r="R110" s="6" t="n"/>
      <c r="S110" s="6" t="n"/>
      <c r="T110" s="6" t="n"/>
      <c r="U110" s="6" t="n"/>
      <c r="V110" s="6" t="n"/>
      <c r="W110" s="6" t="n"/>
      <c r="X110" s="6" t="n"/>
      <c r="Y110" s="6" t="n"/>
      <c r="Z110" s="6" t="n"/>
      <c r="AA110" s="6" t="n"/>
    </row>
    <row r="111" ht="51" customHeight="1">
      <c r="A111" s="111" t="inlineStr">
        <is>
          <t>F-FIN-02</t>
        </is>
      </c>
      <c r="B111" s="112" t="inlineStr">
        <is>
          <t>N6 최종</t>
        </is>
      </c>
      <c r="C111" s="5" t="inlineStr">
        <is>
          <t>N6</t>
        </is>
      </c>
      <c r="D111" s="9" t="inlineStr">
        <is>
          <t>규격 준수 상태 표시</t>
        </is>
      </c>
      <c r="E111" s="272" t="inlineStr">
        <is>
          <t>규격 검증 결과(F-CH-05)를 요약해 보여준다. 해상도·종횡비·배경·장수 항목별 통과 여부와 위반 사유를 표시한다.</t>
        </is>
      </c>
      <c r="F111" s="31" t="inlineStr">
        <is>
          <t>P0</t>
        </is>
      </c>
      <c r="G111" s="31" t="inlineStr">
        <is>
          <t>must</t>
        </is>
      </c>
      <c r="H111" s="268" t="inlineStr">
        <is>
          <t>O</t>
        </is>
      </c>
      <c r="I111" s="9" t="inlineStr">
        <is>
          <t>① 항목별 통과·경고 표시 ② 위반 항목 클릭 시 위치 하이라이트</t>
        </is>
      </c>
      <c r="J111" s="9" t="inlineStr">
        <is>
          <t>검증 자체가 실패하면 '검증 불가'로 표시하고 강행 선택을 로그로 남김</t>
        </is>
      </c>
      <c r="K111" s="5" t="inlineStr">
        <is>
          <t>F-CH-05 의존</t>
        </is>
      </c>
      <c r="L111" s="5" t="n"/>
      <c r="M111" s="31" t="inlineStr">
        <is>
          <t>v3.0 수정 — 검증 용어 개칭</t>
        </is>
      </c>
      <c r="N111" s="6" t="n"/>
      <c r="O111" s="6" t="n"/>
      <c r="P111" s="6" t="n"/>
      <c r="Q111" s="6" t="n"/>
      <c r="R111" s="6" t="n"/>
      <c r="S111" s="6" t="n"/>
      <c r="T111" s="6" t="n"/>
      <c r="U111" s="6" t="n"/>
      <c r="V111" s="6" t="n"/>
      <c r="W111" s="6" t="n"/>
      <c r="X111" s="6" t="n"/>
      <c r="Y111" s="6" t="n"/>
      <c r="Z111" s="6" t="n"/>
      <c r="AA111" s="6" t="n"/>
    </row>
    <row r="112" ht="25.5" customHeight="1">
      <c r="A112" s="111" t="inlineStr">
        <is>
          <t>F-FIN-03</t>
        </is>
      </c>
      <c r="B112" s="112" t="inlineStr">
        <is>
          <t>N6 최종</t>
        </is>
      </c>
      <c r="C112" s="5" t="inlineStr">
        <is>
          <t>N6</t>
        </is>
      </c>
      <c r="D112" s="9" t="inlineStr">
        <is>
          <t>최종 확인 및 저장</t>
        </is>
      </c>
      <c r="E112" s="9" t="inlineStr">
        <is>
          <t>확인하면 결과물이 보관함에 카드로 저장되고 산출물 묶음(export.zip — F-EXP-01)이 생성된다. ★보관과 배포를 구분한다 — 서버에는 이미지·content.csv·html과 manifest.json을 모두 보관해 다른 규격 생성(F-VER-02)과 재생성이 가능하게 하되, 셀러가 내려받는 대상은 manifest를 제외한 이미지·content.csv·html(·12월 baked·psd)이다(F-EXP-01·F-LST-06).</t>
        </is>
      </c>
      <c r="F112" s="31" t="inlineStr">
        <is>
          <t>P0</t>
        </is>
      </c>
      <c r="G112" s="31" t="inlineStr">
        <is>
          <t>must</t>
        </is>
      </c>
      <c r="H112" s="268" t="inlineStr">
        <is>
          <t>O</t>
        </is>
      </c>
      <c r="I112" s="9" t="inlineStr">
        <is>
          <t>① 보관함에 신규 카드 생성 ② 산출물 묶음 구성요소가 모두 저장됨 ③ 작업 상태 '완료' 전환 ④ 렌더 성공 시에만 완료 전환 가능</t>
        </is>
      </c>
      <c r="J112" s="9" t="inlineStr">
        <is>
          <t>저장 실패 시 결과물을 유지하고 재시도 제공</t>
        </is>
      </c>
      <c r="K112" s="5" t="n"/>
      <c r="L112" s="5" t="n"/>
      <c r="M112" s="31" t="inlineStr">
        <is>
          <t>v2.4 수정 · 완료 조건 명시(부분 결과물 없음 — OI-45) · v3.0 수정 — 단일 이미지→산출물 묶음(F-EXP) · v3.0 수정 — 보관 대상과 다운로드 대상 분리(manifest는 보관만)</t>
        </is>
      </c>
      <c r="N112" s="6" t="n"/>
      <c r="O112" s="6" t="n"/>
      <c r="P112" s="6" t="n"/>
      <c r="Q112" s="6" t="n"/>
      <c r="R112" s="6" t="n"/>
      <c r="S112" s="6" t="n"/>
      <c r="T112" s="6" t="n"/>
      <c r="U112" s="6" t="n"/>
      <c r="V112" s="6" t="n"/>
      <c r="W112" s="6" t="n"/>
      <c r="X112" s="6" t="n"/>
      <c r="Y112" s="6" t="n"/>
      <c r="Z112" s="6" t="n"/>
      <c r="AA112" s="6" t="n"/>
    </row>
    <row r="113" ht="25.5" customHeight="1">
      <c r="A113" s="113" t="inlineStr">
        <is>
          <t>F-EXP-01</t>
        </is>
      </c>
      <c r="B113" s="114" t="inlineStr">
        <is>
          <t>산출물 내보내기</t>
        </is>
      </c>
      <c r="C113" s="35" t="inlineStr">
        <is>
          <t>N6</t>
        </is>
      </c>
      <c r="D113" s="36" t="inlineStr">
        <is>
          <t>★산출물 묶음 (export.zip)</t>
        </is>
      </c>
      <c r="E113" s="36" t="inlineStr">
        <is>
          <t>저장(N6)에서 export.zip을 생성한다. 구성: images/(must·9월) · content.csv(must·9월) · html(should·9월) · ★baked/(should·12월 — 텍스트가 구워진 모듈 이미지, F-EXP-07) · psd(12월 — 비활성 노출). ★manifest.json은 넣지 않는다. 최종 산출물은 셀러에게 가는 것이고 manifest는 파이프라인 내부 상태이므로 구성요소 선택지로도 두지 않는다. manifest는 그대로 생성·보관되며 확인은 서버에서 한다(F-EXP-03). ★다운로드는 두 경로다 — 체크한 항목을 묶는 [선택 항목 export.zip 다운로드]와, 각 항목 행의 [↓]로 체크와 무관하게 그것만 즉시 받는 개별 다운로드(should·9월). 개별 다운로드는 단일 파일 항목(content.csv·html·psd)은 파일 그대로, 복수 파일 항목(images/·baked/)은 그 항목만 묶은 zip으로 내려준다.</t>
        </is>
      </c>
      <c r="F113" s="35" t="inlineStr">
        <is>
          <t>P0</t>
        </is>
      </c>
      <c r="G113" s="35" t="inlineStr">
        <is>
          <t>must</t>
        </is>
      </c>
      <c r="H113" s="269" t="inlineStr">
        <is>
          <t>O</t>
        </is>
      </c>
      <c r="I113" s="35" t="inlineStr">
        <is>
          <t>① zip에 images/·content.csv가 항상 포함됨 ② html 포함(should) ③ psd 슬롯이 12월 비활성으로 노출됨 ④ ★셀러가 구성요소를 선택해 무엇을 받을지 고를 수 있음(분리형 images/+content.csv와 baked/는 배타적이지 않고 함께 제공된다) ⑤ ★manifest.json이 zip과 다운로드 목록 어디에도 없음 ⑥ ★항목별 개별 다운로드 버튼이 제공되며 단일 파일은 파일로, 복수 파일 항목은 그 항목만 묶은 zip으로 받아짐(should·9월) ⑦ ★생성되지 않은 항목의 버튼은 비활성</t>
        </is>
      </c>
      <c r="J113" s="36" t="inlineStr">
        <is>
          <t>일부 구성요소 생성 실패 시 성공분만 묶고 실패를 명시한다 / 생성 실패했거나 12월 비활성인 항목은 개별 다운로드 버튼도 비활성으로 둔다</t>
        </is>
      </c>
      <c r="K113" s="35" t="inlineStr">
        <is>
          <t>v3.0 신설 · 변경안 §4-3·§4-5 · S8 단일 이미지→묶음 확장(A-6) · v3.0 수정 — 구성요소에 baked/ 추가 · 구성요소 선택 명시 · v3.0 수정 — export.zip에서 manifest.json 제외(셀러 배포 대상 아님, PM 확정 9/1) · 항목별 개별 다운로드 추가(should·9월)</t>
        </is>
      </c>
      <c r="L113" s="35" t="inlineStr">
        <is>
          <t>【근거】 경로별 비중 — 경로별 비중: 규격 그대로는 긴 세로 이미지가 본체이고 content.csv는 보조(문구가 이미 이미지에 구워짐), 규격 변경(2a)은 모듈별 여러 장 + content.csv가 본체의 절반(A+는 텍스트를 아마존 폼에 따로 입력 — 없으면 등록 불가) · manifest.json 제외 근거 — 셀러가 열어도 의미가 없고, 고쳐서 되돌릴 경로가 없으며(F-EXP-05는 content.csv 재업로드만 지원), 서비스 밖에서 재생성할 수도 없다(Rule Engine·템플릿·폰트 매핑·인페인팅 배경이 모두 서비스 안에 있다) · 선택지로도 두지 않는 이유 — 아무도 켤 이유가 없는 선택지는 노이즈다</t>
        </is>
      </c>
      <c r="M113" s="35" t="inlineStr">
        <is>
          <t>v3.0 신설</t>
        </is>
      </c>
      <c r="N113" s="6" t="n"/>
      <c r="O113" s="6" t="n"/>
      <c r="P113" s="6" t="n"/>
      <c r="Q113" s="6" t="n"/>
      <c r="R113" s="6" t="n"/>
      <c r="S113" s="6" t="n"/>
      <c r="T113" s="6" t="n"/>
      <c r="U113" s="6" t="n"/>
      <c r="V113" s="6" t="n"/>
      <c r="W113" s="6" t="n"/>
      <c r="X113" s="6" t="n"/>
      <c r="Y113" s="6" t="n"/>
      <c r="Z113" s="6" t="n"/>
      <c r="AA113" s="6" t="n"/>
    </row>
    <row r="114" ht="63.75" customHeight="1">
      <c r="A114" s="115" t="inlineStr">
        <is>
          <t>F-EXP-02</t>
        </is>
      </c>
      <c r="B114" s="116" t="inlineStr">
        <is>
          <t>산출물 내보내기</t>
        </is>
      </c>
      <c r="C114" s="5" t="inlineStr">
        <is>
          <t>N6</t>
        </is>
      </c>
      <c r="D114" s="5" t="inlineStr">
        <is>
          <t>★content.csv 스키마</t>
        </is>
      </c>
      <c r="E114" s="271" t="inlineStr">
        <is>
          <t>열: section_id / block_id / field_type(headline·body·bullet) / source_ko(원문) / trans_1(원본 규격 박스 폭 기준 번역) / trans_2(템플릿 기준 번역 — 규격 변경 시) / ★origin_block_ids(2차 번역의 출처 1차 블록 배열 — manifest와 같은 값) / char_count / limit / overflow / verdict / verdict_basis(규제 판정+근거) / excluded / exclusion_reason(사유 코드 — F-SEC-06) / auto_adjust(자동 조판 조정 내역). ★행의 의미는 경로에 따라 다르다 — 규격 그대로는 한 행이 텍스트 블록이고 trans_1이 채워지며(기록·재생성 입력, F-EXP-01 "보조"), 규격 변경(A+)은 한 행이 모듈 슬롯이고 trans_2와 origin_block_ids가 채워진다(셀러가 아마존 폼에 입력할 값이라 슬롯 단위가 아니면 쓸 수 없다 — F-EXP-01 "본체의 절반"). 열 정의는 하나로 둔다. ★규격 변경 경로에서는 제외 섹션이 어느 슬롯에도 들어가지 않아 행이 사라지므로, 슬롯 행 아래에 제외 섹션 행 그룹을 별도로 붙여 사유 코드·판정 근거를 남긴다.</t>
        </is>
      </c>
      <c r="F114" s="5" t="inlineStr">
        <is>
          <t>P0</t>
        </is>
      </c>
      <c r="G114" s="5" t="inlineStr">
        <is>
          <t>must</t>
        </is>
      </c>
      <c r="H114" s="268" t="inlineStr">
        <is>
          <t>O</t>
        </is>
      </c>
      <c r="I114" s="9" t="inlineStr">
        <is>
          <t>① 정의된 전 열이 존재 ② 규격 그대로는 행=블록·trans_1, 규격 변경은 행=모듈 슬롯·trans_2+origin_block_ids ③ 제외 섹션의 사유가 두 경로 모두에서 누락 없이 기록됨(NFR-31) ④ 규격 변경 경로에 제외 섹션 행 그룹이 존재함</t>
        </is>
      </c>
      <c r="J114" s="5" t="inlineStr">
        <is>
          <t>—</t>
        </is>
      </c>
      <c r="K114" s="5" t="inlineStr">
        <is>
          <t>v3.0 신설 · 변경안 §4-4 · 1차 번역/2차 번역 2단 번역이 스키마에 반영됨 · origin_block_ids 열 추가 · 제외 섹션 행 그룹(NFR-31 충족)</t>
        </is>
      </c>
      <c r="L114" s="5" t="inlineStr">
        <is>
          <t>【근거】 제외 섹션 행 그룹 — NFR-31이 content.csv와 manifest 양쪽에 누락 0건을 요구하므로 manifest만으로는 충족되지 않는다 · 축 A에서의 위치 — 축 A(내용 수정)의 본체다 — 셀러가 파일을 열어 글자를 고치면 그 수정이 파이프라인 밖으로 나가 다른 규격 재생성에 반영되지 않으므로, 내용 수정은 검수 표(서비스 안)로 흡수한다(변경안 §4-1)</t>
        </is>
      </c>
      <c r="M114" s="5" t="inlineStr">
        <is>
          <t>v3.0 신설 · 9/1 — 경로별 행 단위 정의</t>
        </is>
      </c>
      <c r="N114" s="6" t="n"/>
      <c r="O114" s="6" t="n"/>
      <c r="P114" s="6" t="n"/>
      <c r="Q114" s="6" t="n"/>
      <c r="R114" s="6" t="n"/>
      <c r="S114" s="6" t="n"/>
      <c r="T114" s="6" t="n"/>
      <c r="U114" s="6" t="n"/>
      <c r="V114" s="6" t="n"/>
      <c r="W114" s="6" t="n"/>
      <c r="X114" s="6" t="n"/>
      <c r="Y114" s="6" t="n"/>
      <c r="Z114" s="6" t="n"/>
      <c r="AA114" s="6" t="n"/>
    </row>
    <row r="115" ht="127.5" customHeight="1">
      <c r="A115" s="115" t="inlineStr">
        <is>
          <t>F-EXP-03</t>
        </is>
      </c>
      <c r="B115" s="116" t="inlineStr">
        <is>
          <t>산출물 내보내기</t>
        </is>
      </c>
      <c r="C115" s="5" t="inlineStr">
        <is>
          <t>N6</t>
        </is>
      </c>
      <c r="D115" s="5" t="inlineStr">
        <is>
          <t>★manifest.json</t>
        </is>
      </c>
      <c r="E115" s="5" t="inlineStr">
        <is>
          <t>bbox·스타일·판정·선택 상태(버킷 결과·사유 코드)를 담는다. ★셀러 배포용이 아니라 파이프라인 입력 포맷이므로 export.zip과 보관함 다운로드 목록에 포함하지 않는다(9/1 결정) — 생성·보관은 그대로 유지하며 must다. 없으면 12월 규격 변경(F-CH-10)·다른 버전 만들기(F-VER-01·02)·좌↔우 연동 선택(F-CFM-13)이 돌지 않는다. 생성 여부는 서버에서 확인한다. 재생성과 규격 변경 경로(F-CH-10)의 입력으로 그대로 재사용된다. 삭제 내역(F-SEC-05)을 반드시 포함한다. ★2차 번역 항목에는 origin_block_ids(배열)를 두어 어떤 1차 번역 블록에서 파생됐는지 기록한다 — 선별·압축으로 문장이 잘리고 합쳐지므로 문자열로는 출처를 되찾을 수 없고, 12월 섹션↔모듈 하이라이트 연동(F-CFM-13)이 이 필드를 조회한다. 선별 로직 자체는 미확정이나(OI-48) 필드 자리는 9월 스키마 확정 시 함께 잡아 12월에 스키마를 다시 열지 않는다.</t>
        </is>
      </c>
      <c r="F115" s="5" t="inlineStr">
        <is>
          <t>P0</t>
        </is>
      </c>
      <c r="G115" s="5" t="inlineStr">
        <is>
          <t>must</t>
        </is>
      </c>
      <c r="H115" s="268" t="inlineStr">
        <is>
          <t>O</t>
        </is>
      </c>
      <c r="I115" s="9" t="inlineStr">
        <is>
          <t>① 규격 변경 경로가 manifest만으로 재구동 가능 ② ★서버에 생성·보관되며 export.zip·다운로드 목록에는 없음 ③ 삭제 내역·판정 근거 포함 ④ 스키마 버전 필드 보유 ⑤ ★2차 번역 항목에 origin_block_ids 배열이 존재(9월에는 빈 배열)</t>
        </is>
      </c>
      <c r="J115" s="5" t="inlineStr">
        <is>
          <t>—</t>
        </is>
      </c>
      <c r="K115" s="5" t="inlineStr">
        <is>
          <t>v3.0 신설 · 변경안 §4-3 · 선별 로직(OI-48)이 스키마에 영향 — 12월 전 확정 필요</t>
        </is>
      </c>
      <c r="L115" s="5" t="n"/>
      <c r="M115" s="5" t="inlineStr">
        <is>
          <t>v3.0 신설 · 9/1 — origin_block_ids 필드 추가(12월 하이라이트 연동 전제, OI-48 스키마 영향 선반영) · 9/1 — 셀러 배포 대상에서 제외(생성·보관·must는 유지). 대분류는 산출물 내보내기로 유지 — N6에서 export와 함께 생성되는 형제이므로</t>
        </is>
      </c>
      <c r="N115" s="6" t="n"/>
      <c r="O115" s="6" t="n"/>
      <c r="P115" s="6" t="n"/>
      <c r="Q115" s="6" t="n"/>
      <c r="R115" s="6" t="n"/>
      <c r="S115" s="6" t="n"/>
      <c r="T115" s="6" t="n"/>
      <c r="U115" s="6" t="n"/>
      <c r="V115" s="6" t="n"/>
      <c r="W115" s="6" t="n"/>
      <c r="X115" s="6" t="n"/>
      <c r="Y115" s="6" t="n"/>
      <c r="Z115" s="6" t="n"/>
      <c r="AA115" s="6" t="n"/>
    </row>
    <row r="116" ht="162" customHeight="1">
      <c r="A116" s="115" t="inlineStr">
        <is>
          <t>F-EXP-04</t>
        </is>
      </c>
      <c r="B116" s="116" t="inlineStr">
        <is>
          <t>산출물 내보내기</t>
        </is>
      </c>
      <c r="C116" s="5" t="inlineStr">
        <is>
          <t>N6</t>
        </is>
      </c>
      <c r="D116" s="5" t="inlineStr">
        <is>
          <t>html 내보내기</t>
        </is>
      </c>
      <c r="E116" s="271" t="inlineStr">
        <is>
          <t>재조판 결과를 html로 내보낸다. PSD 전까지 유일한 축 B(비주얼 수정) 탈출구다. 배경 이미지 자산 패키징은 OI-29.</t>
        </is>
      </c>
      <c r="F116" s="5" t="inlineStr">
        <is>
          <t>P1</t>
        </is>
      </c>
      <c r="G116" s="5" t="inlineStr">
        <is>
          <t>should</t>
        </is>
      </c>
      <c r="H116" s="268" t="inlineStr">
        <is>
          <t>X</t>
        </is>
      </c>
      <c r="I116" s="5" t="inlineStr">
        <is>
          <t>① html+자산이 열리는 상태로 패키징됨 ② 렌더 결과와 육안 동일</t>
        </is>
      </c>
      <c r="J116" s="5" t="inlineStr">
        <is>
          <t>—</t>
        </is>
      </c>
      <c r="K116" s="5" t="inlineStr">
        <is>
          <t>v3.0 신설 · 변경안 §4-3 · OI-29 연계(9월 승격)</t>
        </is>
      </c>
      <c r="L116" s="5" t="n"/>
      <c r="M116" s="5" t="inlineStr">
        <is>
          <t>v3.0 신설</t>
        </is>
      </c>
      <c r="N116" s="6" t="n"/>
      <c r="O116" s="6" t="n"/>
      <c r="P116" s="6" t="n"/>
      <c r="Q116" s="6" t="n"/>
      <c r="R116" s="6" t="n"/>
      <c r="S116" s="6" t="n"/>
      <c r="T116" s="6" t="n"/>
      <c r="U116" s="6" t="n"/>
      <c r="V116" s="6" t="n"/>
      <c r="W116" s="6" t="n"/>
      <c r="X116" s="6" t="n"/>
      <c r="Y116" s="6" t="n"/>
      <c r="Z116" s="6" t="n"/>
      <c r="AA116" s="6" t="n"/>
    </row>
    <row r="117" ht="140.25" customHeight="1">
      <c r="A117" s="115" t="inlineStr">
        <is>
          <t>F-EXP-05</t>
        </is>
      </c>
      <c r="B117" s="116" t="inlineStr">
        <is>
          <t>산출물 내보내기</t>
        </is>
      </c>
      <c r="C117" s="5" t="inlineStr">
        <is>
          <t>N6</t>
        </is>
      </c>
      <c r="D117" s="5" t="inlineStr">
        <is>
          <t>CSV 수정본 재업로드 → 재렌더</t>
        </is>
      </c>
      <c r="E117" s="5" t="inlineStr">
        <is>
          <t>content.csv를 내려받아 수정한 뒤 재업로드하면 재렌더한다. 검수 표의 오프라인 버전. 재업로드분에도 금지표현 사전 매칭(F-TRN-03a)을 재실행한다.</t>
        </is>
      </c>
      <c r="F117" s="5" t="inlineStr">
        <is>
          <t>P1</t>
        </is>
      </c>
      <c r="G117" s="5" t="inlineStr">
        <is>
          <t>should</t>
        </is>
      </c>
      <c r="H117" s="268" t="inlineStr">
        <is>
          <t>X</t>
        </is>
      </c>
      <c r="I117" s="9" t="inlineStr">
        <is>
          <t>① 수정 CSV 재업로드 시 재렌더됨 ② 사전 매칭 재실행 ③ 스키마 불일치 시 거부·안내</t>
        </is>
      </c>
      <c r="J117" s="9" t="inlineStr">
        <is>
          <t>스키마가 깨진 CSV는 행 단위 오류를 안내하고 반영하지 않는다</t>
        </is>
      </c>
      <c r="K117" s="5" t="inlineStr">
        <is>
          <t>v3.0 신설 · 변경안 §4-3</t>
        </is>
      </c>
      <c r="L117" s="5" t="n"/>
      <c r="M117" s="5" t="inlineStr">
        <is>
          <t>v3.0 신설</t>
        </is>
      </c>
      <c r="N117" s="6" t="n"/>
      <c r="O117" s="6" t="n"/>
      <c r="P117" s="6" t="n"/>
      <c r="Q117" s="6" t="n"/>
      <c r="R117" s="6" t="n"/>
      <c r="S117" s="6" t="n"/>
      <c r="T117" s="6" t="n"/>
      <c r="U117" s="6" t="n"/>
      <c r="V117" s="6" t="n"/>
      <c r="W117" s="6" t="n"/>
      <c r="X117" s="6" t="n"/>
      <c r="Y117" s="6" t="n"/>
      <c r="Z117" s="6" t="n"/>
      <c r="AA117" s="6" t="n"/>
    </row>
    <row r="118" ht="27" customHeight="1">
      <c r="A118" s="115" t="inlineStr">
        <is>
          <t>F-EXP-06</t>
        </is>
      </c>
      <c r="B118" s="116" t="inlineStr">
        <is>
          <t>산출물 내보내기</t>
        </is>
      </c>
      <c r="C118" s="5" t="inlineStr">
        <is>
          <t>N6</t>
        </is>
      </c>
      <c r="D118" s="9" t="inlineStr">
        <is>
          <t>하이브리드 PSD (12월)</t>
        </is>
      </c>
      <c r="E118" s="5" t="inlineStr">
        <is>
          <t>[12월] PSD로 생성한다 — 생성 라이브러리는 구현이 정한다. 레이어: 배경(인페인팅 완료, 래스터) / ① 번역문(이미지, 표시 — 폰트 없어도 보이는 대로 열림) / ② 번역문(편집용 텍스트, 숨김 — 폰트 있으면 진짜 편집) / ③ 원문(참고, 숨김). 제약 3개: ① 폰트 미임베드(PostScript 이름 참조만 — ①레이어가 흡수) ② 열 때 업데이트 경고창(무해) ③ 세로쓰기 작성 시 PSD 파손(라이브러리 문서 명시 — R-10). 경로별 가치: 규격 그대로는 의미 큼(텍스트가 이미지 안), 규격 변경 2a는 의미 작음(텍스트가 이미 밖).</t>
        </is>
      </c>
      <c r="F118" s="5" t="inlineStr">
        <is>
          <t>P1</t>
        </is>
      </c>
      <c r="G118" s="5" t="inlineStr">
        <is>
          <t>should</t>
        </is>
      </c>
      <c r="H118" s="268" t="inlineStr">
        <is>
          <t>X</t>
        </is>
      </c>
      <c r="I118" s="5" t="inlineStr">
        <is>
          <t>① 4레이어 구조로 생성됨 ② Photoshop에서 ①레이어가 폰트 없이 열림 ③ 세로쓰기 텍스트를 생성하지 않음(R-10)</t>
        </is>
      </c>
      <c r="J118" s="5" t="inlineStr">
        <is>
          <t>X안(일본 세로쓰기) 채택 시 PSD 내보내기 경로 재검토(R-10)</t>
        </is>
      </c>
      <c r="K118" s="5" t="inlineStr">
        <is>
          <t>v3.0 신설 · 변경안 §6 — 8/31 실측 완료 · Python psd-tools 교차 확인(kind=type 정품 타입 레이어)</t>
        </is>
      </c>
      <c r="L118" s="5" t="inlineStr">
        <is>
          <t>【근거】 생성 라이브러리 — ag-psd + @napi-rs/canvas(Python psd-tools 교차 확인). 세로쓰기 작성 시 PSD 파손(R-10)은 이 라이브러리의 문서 명시 제약이다. 실측 결과는 변경안 §6(8/31)</t>
        </is>
      </c>
      <c r="M118" s="5" t="inlineStr">
        <is>
          <t>v3.0 신설</t>
        </is>
      </c>
      <c r="N118" s="6" t="n"/>
      <c r="O118" s="6" t="n"/>
      <c r="P118" s="6" t="n"/>
      <c r="Q118" s="6" t="n"/>
      <c r="R118" s="6" t="n"/>
      <c r="S118" s="6" t="n"/>
      <c r="T118" s="6" t="n"/>
      <c r="U118" s="6" t="n"/>
      <c r="V118" s="6" t="n"/>
      <c r="W118" s="6" t="n"/>
      <c r="X118" s="6" t="n"/>
      <c r="Y118" s="6" t="n"/>
      <c r="Z118" s="6" t="n"/>
      <c r="AA118" s="6" t="n"/>
    </row>
    <row r="119" ht="25.5" customHeight="1">
      <c r="A119" s="107" t="inlineStr">
        <is>
          <t>F-EXP-07</t>
        </is>
      </c>
      <c r="B119" s="108" t="inlineStr">
        <is>
          <t>산출물 내보내기</t>
        </is>
      </c>
      <c r="C119" s="5" t="inlineStr">
        <is>
          <t>N6</t>
        </is>
      </c>
      <c r="D119" s="9" t="inlineStr">
        <is>
          <t>★baked — 텍스트가 구워진 이미지</t>
        </is>
      </c>
      <c r="E119" s="9" t="inlineStr">
        <is>
          <t>[12월] 규격 변경 경로에서 텍스트가 올라간 모듈 이미지를 baked/ 폴더로 내보낸다. 산출물 구성요소의 하나이며 셀러가 무엇을 받을지 선택한다(F-EXP-01) — images/+content.csv(분리형)와 배타적이지 않고 함께 제공된다. 아마존 모듈의 이미지 슬롯 규격에 정확히 맞춰 렌더하므로 그대로 업로드할 수 있다. 유형이 다른 모듈(사진 여러 장 + 별도 텍스트 필드)의 모양도 단일 이미지 슬롯 안에 조판해 만든다 — 아마존 모듈 구조를 따라가는 것이 아니라 슬롯 하나를 우리 레이아웃으로 채우는 방식이다.</t>
        </is>
      </c>
      <c r="F119" s="5" t="inlineStr">
        <is>
          <t>P1</t>
        </is>
      </c>
      <c r="G119" s="5" t="inlineStr">
        <is>
          <t>should</t>
        </is>
      </c>
      <c r="H119" s="268" t="inlineStr">
        <is>
          <t>X</t>
        </is>
      </c>
      <c r="I119" s="9" t="inlineStr">
        <is>
          <t>① baked/가 모듈 이미지 슬롯 규격과 동일한 크기로 생성됨 ② images/와 폴더가 분리됨 ③ N6 구성요소 선택으로 켜고 끌 수 있음 ④ 규격 검증(F-CH-05) 대상에 포함됨 ⑤ 선택 시 한계 고지가 표시됨</t>
        </is>
      </c>
      <c r="J119" s="9" t="inlineStr">
        <is>
          <t>모바일에서는 아마존이 텍스트를 재배치하지 못하고 이미지가 그대로 축소되어 작은 글자가 읽히지 않을 수 있음 · 이미지 속 텍스트는 스크린리더가 읽지 못함 · 아마존의 이미지 내 텍스트 정책과 검색 노출 영향은 확인 필요(단정 금지 — 변경안 §10) — 세 가지를 선택 시점에 고지하고 판단은 셀러에게 맡긴다(PL-25) / 반대로 baked는 N5에서 본 화면이 곧 업로드 파일이라 미리보기와 결과가 일치한다(NFR-12)</t>
        </is>
      </c>
      <c r="K119" s="5" t="inlineStr">
        <is>
          <t>v3.0 신설 · PM 확정 9/1 — 확인용 preview가 아니라 산출물 선택지 · 템플릿 슬롯을 아마존 글자수 상한이 들어가는 크기로 설계해야 분리형과 같은 번역을 공유한다(F-CH-07) · OI-28 렌더 부하에 캡처 N장 추가</t>
        </is>
      </c>
      <c r="L119" s="5" t="inlineStr">
        <is>
          <t>【근거】 재사용 근거 — 새 조판 로직이 필요 없다: 템플릿이 HTML/CSS이고 렌더가 Playwright이므로 N5에서 이미 보고 있던 화면을 슬롯 규격으로 캡처한다. 2b 긴 이미지형에서는 같은 결과가 images/ 본체가 되므로 같은 기계를 경로에 따라 다르게 쓸 뿐이다</t>
        </is>
      </c>
      <c r="M119" s="5" t="inlineStr">
        <is>
          <t>v3.0 신설</t>
        </is>
      </c>
      <c r="N119" s="6" t="n"/>
      <c r="O119" s="6" t="n"/>
      <c r="P119" s="6" t="n"/>
      <c r="Q119" s="6" t="n"/>
      <c r="R119" s="6" t="n"/>
      <c r="S119" s="6" t="n"/>
      <c r="T119" s="6" t="n"/>
      <c r="U119" s="6" t="n"/>
      <c r="V119" s="6" t="n"/>
      <c r="W119" s="6" t="n"/>
      <c r="X119" s="6" t="n"/>
      <c r="Y119" s="6" t="n"/>
      <c r="Z119" s="6" t="n"/>
      <c r="AA119" s="6" t="n"/>
    </row>
    <row r="120" ht="89.25" customHeight="1">
      <c r="A120" s="117" t="inlineStr">
        <is>
          <t>F-LST-01</t>
        </is>
      </c>
      <c r="B120" s="118" t="inlineStr">
        <is>
          <t>보관함</t>
        </is>
      </c>
      <c r="C120" s="35" t="inlineStr">
        <is>
          <t>M1</t>
        </is>
      </c>
      <c r="D120" s="36" t="inlineStr">
        <is>
          <t>검색 및 필터</t>
        </is>
      </c>
      <c r="E120" s="36" t="inlineStr">
        <is>
          <t>상품 검색, 키워드·국가·채널 필터.</t>
        </is>
      </c>
      <c r="F120" s="37" t="inlineStr">
        <is>
          <t>P1</t>
        </is>
      </c>
      <c r="G120" s="37" t="inlineStr">
        <is>
          <t>should</t>
        </is>
      </c>
      <c r="H120" s="269" t="inlineStr">
        <is>
          <t>X</t>
        </is>
      </c>
      <c r="I120" s="36" t="inlineStr">
        <is>
          <t>① 복합 필터 동시 적용 ② 0건 시 빈 상태 안내</t>
        </is>
      </c>
      <c r="J120" s="35" t="inlineStr">
        <is>
          <t>-</t>
        </is>
      </c>
      <c r="K120" s="35" t="inlineStr">
        <is>
          <t>v1.6 수정 · MVP는 카드 수가 적어 검색·필터 없이 성립 · F-JOB-01(should)과 수준 일치</t>
        </is>
      </c>
      <c r="L120" s="246" t="n"/>
      <c r="M120" s="37" t="n"/>
      <c r="N120" s="6" t="n"/>
      <c r="O120" s="6" t="n"/>
      <c r="P120" s="6" t="n"/>
      <c r="Q120" s="6" t="n"/>
      <c r="R120" s="6" t="n"/>
      <c r="S120" s="6" t="n"/>
      <c r="T120" s="6" t="n"/>
      <c r="U120" s="6" t="n"/>
      <c r="V120" s="6" t="n"/>
      <c r="W120" s="6" t="n"/>
      <c r="X120" s="6" t="n"/>
      <c r="Y120" s="6" t="n"/>
      <c r="Z120" s="6" t="n"/>
      <c r="AA120" s="6" t="n"/>
    </row>
    <row r="121" ht="89.25" customHeight="1">
      <c r="A121" s="119" t="inlineStr">
        <is>
          <t>F-LST-02</t>
        </is>
      </c>
      <c r="B121" s="120" t="inlineStr">
        <is>
          <t>보관함</t>
        </is>
      </c>
      <c r="C121" s="5" t="inlineStr">
        <is>
          <t>M1</t>
        </is>
      </c>
      <c r="D121" s="9" t="inlineStr">
        <is>
          <t>상품 카드 표시</t>
        </is>
      </c>
      <c r="E121" s="9" t="inlineStr">
        <is>
          <t>완료된 결과물을 카드로 표시한다. 국가·언어·규격이 다르면 별개의 카드로 생성된다.</t>
        </is>
      </c>
      <c r="F121" s="31" t="inlineStr">
        <is>
          <t>P0</t>
        </is>
      </c>
      <c r="G121" s="31" t="inlineStr">
        <is>
          <t>must</t>
        </is>
      </c>
      <c r="H121" s="268" t="inlineStr">
        <is>
          <t>O</t>
        </is>
      </c>
      <c r="I121" s="9" t="inlineStr">
        <is>
          <t>① 카드에 규격·국가·언어가 표시됨 ② 미완료 카드는 마지막 단계가 표시됨</t>
        </is>
      </c>
      <c r="J121" s="5" t="inlineStr">
        <is>
          <t>—</t>
        </is>
      </c>
      <c r="K121" s="5" t="inlineStr">
        <is>
          <t>v1.6 수정 · '다른 언어 버전이 별개 카드' 수용 기준은 F-VER-01과 함께 12월로 이월</t>
        </is>
      </c>
      <c r="L121" s="5" t="n"/>
      <c r="M121" s="31" t="n"/>
      <c r="N121" s="6" t="n"/>
      <c r="O121" s="6" t="n"/>
      <c r="P121" s="6" t="n"/>
      <c r="Q121" s="6" t="n"/>
      <c r="R121" s="6" t="n"/>
      <c r="S121" s="6" t="n"/>
      <c r="T121" s="6" t="n"/>
      <c r="U121" s="6" t="n"/>
      <c r="V121" s="6" t="n"/>
      <c r="W121" s="6" t="n"/>
      <c r="X121" s="6" t="n"/>
      <c r="Y121" s="6" t="n"/>
      <c r="Z121" s="6" t="n"/>
      <c r="AA121" s="6" t="n"/>
    </row>
    <row r="122" ht="72.75" customHeight="1">
      <c r="A122" s="119" t="inlineStr">
        <is>
          <t>F-LST-03</t>
        </is>
      </c>
      <c r="B122" s="120" t="inlineStr">
        <is>
          <t>보관함</t>
        </is>
      </c>
      <c r="C122" s="5" t="inlineStr">
        <is>
          <t>M1</t>
        </is>
      </c>
      <c r="D122" s="9" t="inlineStr">
        <is>
          <t>카드 선택(체크)</t>
        </is>
      </c>
      <c r="E122" s="9" t="inlineStr">
        <is>
          <t>다중 선택으로 다운로드·삭제 대상을 지정한다. 보관함의 모든 액션(다운로드·삭제)은 선택을 거친다.</t>
        </is>
      </c>
      <c r="F122" s="31" t="inlineStr">
        <is>
          <t>P0</t>
        </is>
      </c>
      <c r="G122" s="31" t="inlineStr">
        <is>
          <t>should</t>
        </is>
      </c>
      <c r="H122" s="268" t="inlineStr">
        <is>
          <t>X</t>
        </is>
      </c>
      <c r="I122" s="9" t="inlineStr">
        <is>
          <t>① 다중 선택 ② 선택 개수 표시 ③ 선택 0건이면 선택 종속 액션 버튼(다운로드·삭제)이 비활성됨</t>
        </is>
      </c>
      <c r="J122" s="5" t="inlineStr">
        <is>
          <t>-</t>
        </is>
      </c>
      <c r="K122" s="5" t="inlineStr">
        <is>
          <t>v2.4 수정 · 다운로드·삭제의 유일한 진입 경로 · 12월</t>
        </is>
      </c>
      <c r="L122" s="5" t="n"/>
      <c r="M122" s="31" t="inlineStr">
        <is>
          <t>v2.4 수정</t>
        </is>
      </c>
      <c r="N122" s="6" t="n"/>
      <c r="O122" s="6" t="n"/>
      <c r="P122" s="6" t="n"/>
      <c r="Q122" s="6" t="n"/>
      <c r="R122" s="6" t="n"/>
      <c r="S122" s="6" t="n"/>
      <c r="T122" s="6" t="n"/>
      <c r="U122" s="6" t="n"/>
      <c r="V122" s="6" t="n"/>
      <c r="W122" s="6" t="n"/>
      <c r="X122" s="6" t="n"/>
      <c r="Y122" s="6" t="n"/>
      <c r="Z122" s="6" t="n"/>
      <c r="AA122" s="6" t="n"/>
    </row>
    <row r="123" ht="72.75" customHeight="1">
      <c r="A123" s="119" t="inlineStr">
        <is>
          <t>F-LST-04</t>
        </is>
      </c>
      <c r="B123" s="120" t="inlineStr">
        <is>
          <t>보관함</t>
        </is>
      </c>
      <c r="C123" s="5" t="inlineStr">
        <is>
          <t>M1</t>
        </is>
      </c>
      <c r="D123" s="9" t="inlineStr">
        <is>
          <t>카드 삭제</t>
        </is>
      </c>
      <c r="E123" s="9" t="inlineStr">
        <is>
          <t>선택한 카드(들)를 삭제한다(F-LST-03 선행). 개별 카드 위의 즉석 삭제 UI는 두지 않는다. 확인 다이얼로그 필요.</t>
        </is>
      </c>
      <c r="F123" s="31" t="inlineStr">
        <is>
          <t>P0</t>
        </is>
      </c>
      <c r="G123" s="31" t="inlineStr">
        <is>
          <t>should</t>
        </is>
      </c>
      <c r="H123" s="268" t="inlineStr">
        <is>
          <t>X</t>
        </is>
      </c>
      <c r="I123" s="9" t="inlineStr">
        <is>
          <t>① 선택된 카드만 삭제됨 ② 확인 다이얼로그 후 삭제</t>
        </is>
      </c>
      <c r="J123" s="9" t="inlineStr">
        <is>
          <t>다른 버전의 원본이 되는 카드 삭제 시 영향을 경고</t>
        </is>
      </c>
      <c r="K123" s="5" t="inlineStr">
        <is>
          <t>v1.8 이월 · 삭제는 시연에 노출되지 않음</t>
        </is>
      </c>
      <c r="L123" s="5" t="n"/>
      <c r="M123" s="31" t="inlineStr">
        <is>
          <t>v2.4 수정 · 개별 삭제 제거 — 삭제는 선택 경유 단일 경로</t>
        </is>
      </c>
      <c r="N123" s="6" t="n"/>
      <c r="O123" s="6" t="n"/>
      <c r="P123" s="6" t="n"/>
      <c r="Q123" s="6" t="n"/>
      <c r="R123" s="6" t="n"/>
      <c r="S123" s="6" t="n"/>
      <c r="T123" s="6" t="n"/>
      <c r="U123" s="6" t="n"/>
      <c r="V123" s="6" t="n"/>
      <c r="W123" s="6" t="n"/>
      <c r="X123" s="6" t="n"/>
      <c r="Y123" s="6" t="n"/>
      <c r="Z123" s="6" t="n"/>
      <c r="AA123" s="6" t="n"/>
    </row>
    <row r="124" ht="114" customHeight="1">
      <c r="A124" s="119" t="inlineStr">
        <is>
          <t>F-LST-05</t>
        </is>
      </c>
      <c r="B124" s="120" t="inlineStr">
        <is>
          <t>보관함</t>
        </is>
      </c>
      <c r="C124" s="5" t="inlineStr">
        <is>
          <t>M1</t>
        </is>
      </c>
      <c r="D124" s="9" t="inlineStr">
        <is>
          <t>★결과물 확인 및 수정 (저장 후 수정)</t>
        </is>
      </c>
      <c r="E124" s="9" t="inlineStr">
        <is>
          <t>카드를 클릭하면 작업 결과를 표시한다. 수정 버튼과 다른 채널 버전 생성 버튼을 함께 제공하며, 수정을 누르면 마지막 작업 단계로 복귀한다.</t>
        </is>
      </c>
      <c r="F124" s="31" t="inlineStr">
        <is>
          <t>P1</t>
        </is>
      </c>
      <c r="G124" s="31" t="inlineStr">
        <is>
          <t>should</t>
        </is>
      </c>
      <c r="H124" s="268" t="inlineStr">
        <is>
          <t>X</t>
        </is>
      </c>
      <c r="I124" s="9" t="inlineStr">
        <is>
          <t>① 결과물 상세 표시 ② 수정 시 마지막 작업 단계로 이동 ③ 다른 버전 생성 진입 가능</t>
        </is>
      </c>
      <c r="J124" s="9" t="inlineStr">
        <is>
          <t>원본·섹션 분해 결과·인페인팅 등 분석 산출물이 만료·삭제된 경우 수정 불가 사유를 안내</t>
        </is>
      </c>
      <c r="K124" s="5" t="inlineStr">
        <is>
          <t>v1.6 수정 · 저장 후 수정은 과거 단계 복귀에 해당 · F-NAV-02와 함께 12월 이월</t>
        </is>
      </c>
      <c r="L124" s="246" t="n"/>
      <c r="M124" s="31" t="n"/>
      <c r="N124" s="6" t="n"/>
      <c r="O124" s="6" t="n"/>
      <c r="P124" s="6" t="n"/>
      <c r="Q124" s="6" t="n"/>
      <c r="R124" s="6" t="n"/>
      <c r="S124" s="6" t="n"/>
      <c r="T124" s="6" t="n"/>
      <c r="U124" s="6" t="n"/>
      <c r="V124" s="6" t="n"/>
      <c r="W124" s="6" t="n"/>
      <c r="X124" s="6" t="n"/>
      <c r="Y124" s="6" t="n"/>
      <c r="Z124" s="6" t="n"/>
      <c r="AA124" s="6" t="n"/>
    </row>
    <row r="125" ht="72.75" customHeight="1">
      <c r="A125" s="119" t="inlineStr">
        <is>
          <t>F-LST-06</t>
        </is>
      </c>
      <c r="B125" s="120" t="inlineStr">
        <is>
          <t>보관함</t>
        </is>
      </c>
      <c r="C125" s="5" t="inlineStr">
        <is>
          <t>M1</t>
        </is>
      </c>
      <c r="D125" s="9" t="inlineStr">
        <is>
          <t>★산출물 선택 다운로드</t>
        </is>
      </c>
      <c r="E125" s="9" t="inlineStr">
        <is>
          <t>결과물을 산출물 묶음(export.zip) 또는 구성요소(이미지 / content.csv / html / baked) 단위로 선택해 내려받는다 — manifest.json은 셀러 배포 대상이 아니므로 목록에 없다(F-EXP-03). html 선택 시 배경 이미지 자산을 함께 묶어 제공한다(OI-29). 다중 선택 시 ZIP, 파일명은 등록 규칙을 유지한다. 다운로드는 항상 카드 선택(F-LST-03)을 거친다. ★N6 저장 화면과 동일한 방식으로 구현한다 — 체크한 항목을 묶는 다운로드와 항목별 [↓] 개별 다운로드를 병행하며, 단일 파일 항목은 파일로 복수 파일 항목은 그 항목만 묶은 zip으로 내려준다(F-EXP-01).</t>
        </is>
      </c>
      <c r="F125" s="31" t="inlineStr">
        <is>
          <t>P1</t>
        </is>
      </c>
      <c r="G125" s="31" t="inlineStr">
        <is>
          <t>should</t>
        </is>
      </c>
      <c r="H125" s="268" t="inlineStr">
        <is>
          <t>X</t>
        </is>
      </c>
      <c r="I125" s="9" t="inlineStr">
        <is>
          <t>① 묶음/구성요소 선택 가능 ⑤ ★목록에 manifest.json이 없음 ⑥ ★N6와 동일한 개별 다운로드 방식 ② html은 자산 포함 ③ 2건 이상 선택 시 ZIP ④ 원본 해상도 보존</t>
        </is>
      </c>
      <c r="J125" s="9" t="inlineStr">
        <is>
          <t>규격 미준수 결과물 다운로드 시 경고 후 진행</t>
        </is>
      </c>
      <c r="K125" s="5" t="inlineStr">
        <is>
          <t>★v1.4 신설. 패키징 방식 OI-29 · v1.7 렌더링 HTML/Playwright 확정(OI-34 종결) · v2.4 MVP 제외(12월) · 선택 경유 단일 경로</t>
        </is>
      </c>
      <c r="L125" s="5" t="n"/>
      <c r="M125" s="31" t="inlineStr">
        <is>
          <t>v2.4 수정 · MVP 제외 · 선택 경유 명시 · v3.0 수정 — 이미지/HTML 2종→산출물 묶음 구성요소로 확장(F-EXP 연계) · v3.0 수정 — 목록에서 manifest 제외 · N6와 동일한 개별 다운로드 방식으로 정합</t>
        </is>
      </c>
      <c r="N125" s="6" t="n"/>
      <c r="O125" s="6" t="n"/>
      <c r="P125" s="6" t="n"/>
      <c r="Q125" s="6" t="n"/>
      <c r="R125" s="6" t="n"/>
      <c r="S125" s="6" t="n"/>
      <c r="T125" s="6" t="n"/>
      <c r="U125" s="6" t="n"/>
      <c r="V125" s="6" t="n"/>
      <c r="W125" s="6" t="n"/>
      <c r="X125" s="6" t="n"/>
      <c r="Y125" s="6" t="n"/>
      <c r="Z125" s="6" t="n"/>
      <c r="AA125" s="6" t="n"/>
    </row>
    <row r="126" ht="100.5" customHeight="1">
      <c r="A126" s="119" t="inlineStr">
        <is>
          <t>F-LST-07</t>
        </is>
      </c>
      <c r="B126" s="120" t="inlineStr">
        <is>
          <t>보관함</t>
        </is>
      </c>
      <c r="C126" s="5" t="inlineStr">
        <is>
          <t>M1</t>
        </is>
      </c>
      <c r="D126" s="9" t="inlineStr">
        <is>
          <t>새 상품 등록(+ 카드)</t>
        </is>
      </c>
      <c r="E126" s="9" t="inlineStr">
        <is>
          <t>빈 카드 형태의 + 버튼으로 N1 입력 진입.</t>
        </is>
      </c>
      <c r="F126" s="31" t="inlineStr">
        <is>
          <t>P0</t>
        </is>
      </c>
      <c r="G126" s="31" t="inlineStr">
        <is>
          <t>should</t>
        </is>
      </c>
      <c r="H126" s="268" t="inlineStr">
        <is>
          <t>X</t>
        </is>
      </c>
      <c r="I126" s="5" t="inlineStr">
        <is>
          <t>① + 클릭 시 N1으로 이동</t>
        </is>
      </c>
      <c r="J126" s="5" t="inlineStr">
        <is>
          <t>-</t>
        </is>
      </c>
      <c r="K126" s="5" t="inlineStr">
        <is>
          <t>v1.8 이월 · 신규 등록은 GNB 경로로 대체</t>
        </is>
      </c>
      <c r="L126" s="246" t="n"/>
      <c r="M126" s="31" t="inlineStr">
        <is>
          <t>v3.0 수정 — 구 S번호 정정</t>
        </is>
      </c>
      <c r="N126" s="6" t="n"/>
      <c r="O126" s="6" t="n"/>
      <c r="P126" s="6" t="n"/>
      <c r="Q126" s="6" t="n"/>
      <c r="R126" s="6" t="n"/>
      <c r="S126" s="6" t="n"/>
      <c r="T126" s="6" t="n"/>
      <c r="U126" s="6" t="n"/>
      <c r="V126" s="6" t="n"/>
      <c r="W126" s="6" t="n"/>
      <c r="X126" s="6" t="n"/>
      <c r="Y126" s="6" t="n"/>
      <c r="Z126" s="6" t="n"/>
      <c r="AA126" s="6" t="n"/>
    </row>
    <row r="127" ht="127.5" customHeight="1">
      <c r="A127" s="119" t="inlineStr">
        <is>
          <t>F-LST-08</t>
        </is>
      </c>
      <c r="B127" s="120" t="inlineStr">
        <is>
          <t>보관함</t>
        </is>
      </c>
      <c r="C127" s="5" t="inlineStr">
        <is>
          <t>M1·전역</t>
        </is>
      </c>
      <c r="D127" s="9" t="inlineStr">
        <is>
          <t>★미완료 작업 저장</t>
        </is>
      </c>
      <c r="E127" s="9" t="inlineStr">
        <is>
          <t>작업 도중 저장하면 미완료 상태의 카드가 보관함에 생성된다. 카드에는 마지막 완료 단계가 표시되며, 열면 해당 단계로 복귀한다. 브라우저 종료·세션 만료 시에도 직전 저장 시점까지 복원된다. 텍스트 블록 수정은 별도 저장 시점을 두지 않고 즉시 서버에 반영해 마지막 수정까지 복원 대상에 포함한다. 실행취소 스택은 세션 메모리이므로 복원되지 않음을 재진입 시 고지한다.</t>
        </is>
      </c>
      <c r="F127" s="31" t="inlineStr">
        <is>
          <t>P1</t>
        </is>
      </c>
      <c r="G127" s="31" t="inlineStr">
        <is>
          <t>should</t>
        </is>
      </c>
      <c r="H127" s="268" t="inlineStr">
        <is>
          <t>X</t>
        </is>
      </c>
      <c r="I127" s="9" t="inlineStr">
        <is>
          <t>① 미완료 카드가 생성됨 ② 마지막 단계가 표시됨 ③ 재진입 시 해당 단계로 복귀 ④ 섹션 분해·인페인팅 결과가 보존됨 ⑤ 비동기 처리 중 이탈한 작업이 재진입 시 완료된 상태로 반영됨</t>
        </is>
      </c>
      <c r="J127" s="9" t="inlineStr">
        <is>
          <t>저장 실패 시 사용자에게 알리고 이탈을 막는다</t>
        </is>
      </c>
      <c r="K127" s="5" t="inlineStr">
        <is>
          <t>v1.6 수정 · 미완료 저장·복귀를 12월 이월 · MVP는 N1→N6 단일 세션 완주만 지원</t>
        </is>
      </c>
      <c r="L127" s="5" t="n"/>
      <c r="M127" s="31" t="inlineStr">
        <is>
          <t>v2.4 수정 · 세션 이탈 이음새 3건 명시 · v3.0 수정 — 단위 조각→섹션</t>
        </is>
      </c>
      <c r="N127" s="6" t="n"/>
      <c r="O127" s="6" t="n"/>
      <c r="P127" s="6" t="n"/>
      <c r="Q127" s="6" t="n"/>
      <c r="R127" s="6" t="n"/>
      <c r="S127" s="6" t="n"/>
      <c r="T127" s="6" t="n"/>
      <c r="U127" s="6" t="n"/>
      <c r="V127" s="6" t="n"/>
      <c r="W127" s="6" t="n"/>
      <c r="X127" s="6" t="n"/>
      <c r="Y127" s="6" t="n"/>
      <c r="Z127" s="6" t="n"/>
      <c r="AA127" s="6" t="n"/>
    </row>
    <row r="128" ht="72.75" customHeight="1">
      <c r="A128" s="119" t="inlineStr">
        <is>
          <t>F-LST-09</t>
        </is>
      </c>
      <c r="B128" s="120" t="inlineStr">
        <is>
          <t>보관함</t>
        </is>
      </c>
      <c r="C128" s="5" t="inlineStr">
        <is>
          <t>M1</t>
        </is>
      </c>
      <c r="D128" s="9" t="inlineStr">
        <is>
          <t>★보관 기간 및 만료</t>
        </is>
      </c>
      <c r="E128" s="9" t="inlineStr">
        <is>
          <t>완료 작업은 30일, 미완료 작업은 90일 보관 후 만료한다. 만료 예정 카드는 사전에 표시한다. 만료 시 원본·섹션·인페인팅 결과·최종 결과물을 함께 삭제한다.</t>
        </is>
      </c>
      <c r="F128" s="31" t="inlineStr">
        <is>
          <t>P1</t>
        </is>
      </c>
      <c r="G128" s="31" t="inlineStr">
        <is>
          <t>should</t>
        </is>
      </c>
      <c r="H128" s="268" t="inlineStr">
        <is>
          <t>X</t>
        </is>
      </c>
      <c r="I128" s="9" t="inlineStr">
        <is>
          <t>① 만료 예정이 카드에 표시됨 ② 만료 시 연관 파일이 함께 삭제됨 ③ 삭제 이력이 남음</t>
        </is>
      </c>
      <c r="J128" s="9" t="inlineStr">
        <is>
          <t>다운로드하지 않은 결과물은 만료 전 추가 안내</t>
        </is>
      </c>
      <c r="K128" s="5" t="inlineStr">
        <is>
          <t>v1.6 수정 · 프로젝트가 12월 종료라 MVP 기간 내 만료 시점이 도래하지 않음 · 기간 값(30/90일)은 12월 확정 (미결2 종결)</t>
        </is>
      </c>
      <c r="L128" s="5" t="n"/>
      <c r="M128" s="31" t="inlineStr">
        <is>
          <t>v3.0 수정 — 단위 조각→섹션</t>
        </is>
      </c>
      <c r="N128" s="6" t="n"/>
      <c r="O128" s="6" t="n"/>
      <c r="P128" s="6" t="n"/>
      <c r="Q128" s="6" t="n"/>
      <c r="R128" s="6" t="n"/>
      <c r="S128" s="6" t="n"/>
      <c r="T128" s="6" t="n"/>
      <c r="U128" s="6" t="n"/>
      <c r="V128" s="6" t="n"/>
      <c r="W128" s="6" t="n"/>
      <c r="X128" s="6" t="n"/>
      <c r="Y128" s="6" t="n"/>
      <c r="Z128" s="6" t="n"/>
      <c r="AA128" s="6" t="n"/>
    </row>
    <row r="129" ht="100.5" customHeight="1">
      <c r="A129" s="121" t="inlineStr">
        <is>
          <t>F-VER-01</t>
        </is>
      </c>
      <c r="B129" s="122" t="inlineStr">
        <is>
          <t>다른 버전</t>
        </is>
      </c>
      <c r="C129" s="35" t="inlineStr">
        <is>
          <t>M1</t>
        </is>
      </c>
      <c r="D129" s="36" t="inlineStr">
        <is>
          <t>★다른 버전 만들기 (통합 진입)</t>
        </is>
      </c>
      <c r="E129" s="36" t="inlineStr">
        <is>
          <t>완료된 카드에서 [다른 버전 만들기]를 선택하면 국가·언어·사이트(규격) 선택 화면(N1 재진입, 기존 값 프리셋)으로 이동하고, 바뀐 축에 따라 재실행 범위가 자동 결정된다. 상시 재사용(어떤 축이 바뀌어도 다시 돌지 않음): OCR · 섹션 분해 · 인페인팅(F-VER-03). 축별 재실행 — ① 국가·규제분류 또는 언어 변경: 규제·현지 부적합 판정 재실행 → 섹션 확인(N3) 재개입 → 1차 번역 재생성. 국가에 따라 단어 사용·관습 표현·규제 단서가 달라지므로 언어가 같아도(예: 미국→UAE 영어) 번역을 재사용하지 않는다(PM 확정 9/1). 직전 버전의 확정 번역문은 자동 승계 없이 참고 컨텍스트로만 주입한다(F-TRN-02d의 일관성 메커니즘 — 용어 표기 일관성 목적). ② 규격만 변경(국가·언어 동일): 규제 판정·섹션 확인 결과·1차 번역까지 재사용, 선별→2차 번역·조판·렌더만 재실행(F-VER-02). N3 재개입 시 버킷 프리셋 규칙: 사용자 수동 선택(user_manual·restored_by_user)은 보존하고, 자동 판정(auto_*)으로 놓였던 섹션만 새 판정을 따라 이동하며 이동분을 화면에 표시한다(F-NAV-05 "사용자가 직접 만든 것을 지우지 않는다"의 적용). 새 작업을 생성해 원 작업을 상위로 참조하며 결과는 별개 카드다.</t>
        </is>
      </c>
      <c r="F129" s="37" t="inlineStr">
        <is>
          <t>P1</t>
        </is>
      </c>
      <c r="G129" s="37" t="inlineStr">
        <is>
          <t>should</t>
        </is>
      </c>
      <c r="H129" s="269" t="inlineStr">
        <is>
          <t>X</t>
        </is>
      </c>
      <c r="I129" s="36" t="inlineStr">
        <is>
          <t>① 진입 후 국가/언어/규격 선택 화면이 기존 값 프리셋으로 표시됨 ② OCR·섹션 분해·인페인팅이 어떤 조합에서도 재실행되지 않음 ③ 국가 또는 언어 변경 시 1차 번역이 새로 생성됨(재사용 없음) ④ 규격만 변경 시 섹션 확인 결과·1차 번역이 재사용됨 ⑤ N3 재개입 시 사용자 수동 선택이 보존되고 auto 판정 변경분만 이동·표시됨 ⑥ 새 카드가 생성되고 원본 카드가 유지됨</t>
        </is>
      </c>
      <c r="J129" s="36" t="inlineStr">
        <is>
          <t>대상 국가의 규제 사전 또는 도착어 용어집이 없으면 경고 후 진행 허용</t>
        </is>
      </c>
      <c r="K129" s="35" t="inlineStr">
        <is>
          <t>v2.0 · 복제 규칙 명시 · parent_project 자기참조 방식 · NFR-04 근거 · 변경안 §5</t>
        </is>
      </c>
      <c r="L129" s="35" t="n"/>
      <c r="M129" s="37" t="inlineStr">
        <is>
          <t>v2.5 수정 · 규제 분류 재선택 규칙 · v3.0 수정 — 재사용 자산을 크롭·배치→섹션·섹션 확인 결과 체계로 · v3.0 수정 — 다른 언어 전용→통합 진입·축별 조건부 재사용(PM 확정 9/1) · v3.0 수정 — 국가·언어 변경 시 재번역 확정, 프리셋 충돌 규칙 명문화(PM 9/1)</t>
        </is>
      </c>
      <c r="N129" s="6" t="n"/>
      <c r="O129" s="6" t="n"/>
      <c r="P129" s="6" t="n"/>
      <c r="Q129" s="6" t="n"/>
      <c r="R129" s="6" t="n"/>
      <c r="S129" s="6" t="n"/>
      <c r="T129" s="6" t="n"/>
      <c r="U129" s="6" t="n"/>
      <c r="V129" s="6" t="n"/>
      <c r="W129" s="6" t="n"/>
      <c r="X129" s="6" t="n"/>
      <c r="Y129" s="6" t="n"/>
      <c r="Z129" s="6" t="n"/>
      <c r="AA129" s="6" t="n"/>
    </row>
    <row r="130" ht="127.5" customHeight="1">
      <c r="A130" s="123" t="inlineStr">
        <is>
          <t>F-VER-02</t>
        </is>
      </c>
      <c r="B130" s="124" t="inlineStr">
        <is>
          <t>다른 버전</t>
        </is>
      </c>
      <c r="C130" s="5" t="inlineStr">
        <is>
          <t>M1</t>
        </is>
      </c>
      <c r="D130" s="9" t="inlineStr">
        <is>
          <t>★규격 변경 버전 — 추가 재사용 규칙</t>
        </is>
      </c>
      <c r="E130" s="9" t="inlineStr">
        <is>
          <t>다른 버전 만들기(F-VER-01)에서 규격만 바뀐 경우의 추가 재사용 규칙. 상시 재사용(OCR·섹션 분해·인페인팅)에 더해 규제 판정 · 섹션 확인 결과(제외/포함 선택) · 1차 번역을 재사용한다. 다시 도는 것: 선별→2차 번역 · 조판 · 렌더.</t>
        </is>
      </c>
      <c r="F130" s="31" t="inlineStr">
        <is>
          <t>P1</t>
        </is>
      </c>
      <c r="G130" s="31" t="inlineStr">
        <is>
          <t>should</t>
        </is>
      </c>
      <c r="H130" s="268" t="inlineStr">
        <is>
          <t>X</t>
        </is>
      </c>
      <c r="I130" s="9" t="inlineStr">
        <is>
          <t>① 규격만 변경 시 N2·N3을 건너뜀 ② 선별→2차 번역·조판·렌더만 재수행됨 ③ 두 산출물의 1차 번역 유래 문구가 일치함</t>
        </is>
      </c>
      <c r="J130" s="5" t="inlineStr">
        <is>
          <t>—</t>
        </is>
      </c>
      <c r="K130" s="5" t="inlineStr">
        <is>
          <t>v1.5 개명 · 변경안 §5</t>
        </is>
      </c>
      <c r="L130" s="5" t="inlineStr">
        <is>
          <t>【근거】 재사용의 효과 — 섹션 확인(N3)을 다시 거치지 않으므로 두 번째 규격이 훨씬 빠르게 나오고, 1차 번역이 재사용되므로 두 산출물의 문구가 일관된다(PL-27)</t>
        </is>
      </c>
      <c r="M130" s="31" t="inlineStr">
        <is>
          <t>v3.0 수정 — 재사용/재실행 세트를 변경안 §5로 재정의 · v3.0 수정 — F-VER-01 통합 진입의 규격 축 규칙으로 재정의(PM 확정 9/1)</t>
        </is>
      </c>
      <c r="N130" s="6" t="n"/>
      <c r="O130" s="6" t="n"/>
      <c r="P130" s="6" t="n"/>
      <c r="Q130" s="6" t="n"/>
      <c r="R130" s="6" t="n"/>
      <c r="S130" s="6" t="n"/>
      <c r="T130" s="6" t="n"/>
      <c r="U130" s="6" t="n"/>
      <c r="V130" s="6" t="n"/>
      <c r="W130" s="6" t="n"/>
      <c r="X130" s="6" t="n"/>
      <c r="Y130" s="6" t="n"/>
      <c r="Z130" s="6" t="n"/>
      <c r="AA130" s="6" t="n"/>
    </row>
    <row r="131" ht="191.25" customHeight="1">
      <c r="A131" s="123" t="inlineStr">
        <is>
          <t>F-VER-03</t>
        </is>
      </c>
      <c r="B131" s="124" t="inlineStr">
        <is>
          <t>다른 버전</t>
        </is>
      </c>
      <c r="C131" s="5" t="inlineStr">
        <is>
          <t>M1</t>
        </is>
      </c>
      <c r="D131" s="9" t="inlineStr">
        <is>
          <t>★상시 재사용 자산 (OCR·섹션 분해·인페인팅)</t>
        </is>
      </c>
      <c r="E131" s="9" t="inlineStr">
        <is>
          <t>다른 버전 만들기에서 어떤 축(국가/언어/규격)이 바뀌어도 항상 재사용되는 자산을 정의한다: OCR 원본 · 섹션 분해 결과 · 인페인팅 결과(마스크 포함). 판정·섹션 확인 결과·1차 번역은 조건 종속이므로 상시 재사용이 아니다(축별 규칙은 F-VER-01).</t>
        </is>
      </c>
      <c r="F131" s="31" t="inlineStr">
        <is>
          <t>P1</t>
        </is>
      </c>
      <c r="G131" s="31" t="inlineStr">
        <is>
          <t>should</t>
        </is>
      </c>
      <c r="H131" s="268" t="inlineStr">
        <is>
          <t>X</t>
        </is>
      </c>
      <c r="I131" s="9" t="inlineStr">
        <is>
          <t>① 어떤 축 변경에서도 OCR·섹션 분해·인페인팅이 재실행되지 않음 ② 재분석 없이 조건 선택 이후 단계부터 시작 ③ 신규 카드 추가</t>
        </is>
      </c>
      <c r="J131" s="9" t="inlineStr">
        <is>
          <t>원본이 삭제된 경우 재사용 불가를 안내하고 신규 등록으로 유도</t>
        </is>
      </c>
      <c r="K131" s="5" t="n"/>
      <c r="L131" s="5" t="inlineStr">
        <is>
          <t>【근거】 상시 재사용 근거 — 이 셋은 원본 이미지에만 종속되고 로컬라이징 조건과 무관하기 때문이다</t>
        </is>
      </c>
      <c r="M131" s="31" t="inlineStr">
        <is>
          <t>v3.0 수정 — 크롭 결과 재사용→분석 산출물 재사용으로 재정의 · v3.0 수정 — 상시 재사용 범위 확정(PM 확정 9/1)</t>
        </is>
      </c>
      <c r="N131" s="6" t="n"/>
      <c r="O131" s="6" t="n"/>
      <c r="P131" s="6" t="n"/>
      <c r="Q131" s="6" t="n"/>
      <c r="R131" s="6" t="n"/>
      <c r="S131" s="6" t="n"/>
      <c r="T131" s="6" t="n"/>
      <c r="U131" s="6" t="n"/>
      <c r="V131" s="6" t="n"/>
      <c r="W131" s="6" t="n"/>
      <c r="X131" s="6" t="n"/>
      <c r="Y131" s="6" t="n"/>
      <c r="Z131" s="6" t="n"/>
      <c r="AA131" s="6" t="n"/>
    </row>
    <row r="132" ht="196.5" customHeight="1">
      <c r="A132" s="125" t="inlineStr">
        <is>
          <t>F-JOB-01</t>
        </is>
      </c>
      <c r="B132" s="126" t="inlineStr">
        <is>
          <t>작업 관리</t>
        </is>
      </c>
      <c r="C132" s="35" t="inlineStr">
        <is>
          <t>M3</t>
        </is>
      </c>
      <c r="D132" s="36" t="inlineStr">
        <is>
          <t>검색 및 필터·정렬</t>
        </is>
      </c>
      <c r="E132" s="36" t="inlineStr">
        <is>
          <t>국가 / 날짜 정렬 / 브랜드 / 채널 필터.</t>
        </is>
      </c>
      <c r="F132" s="37" t="inlineStr">
        <is>
          <t>P1</t>
        </is>
      </c>
      <c r="G132" s="37" t="inlineStr">
        <is>
          <t>should</t>
        </is>
      </c>
      <c r="H132" s="269" t="inlineStr">
        <is>
          <t>X</t>
        </is>
      </c>
      <c r="I132" s="36" t="inlineStr">
        <is>
          <t>① 필터·정렬 동시 적용 ② URL 쿼리로 상태 유지</t>
        </is>
      </c>
      <c r="J132" s="35" t="inlineStr">
        <is>
          <t>-</t>
        </is>
      </c>
      <c r="K132" s="35" t="n"/>
      <c r="L132" s="246" t="n"/>
      <c r="M132" s="37" t="n"/>
      <c r="N132" s="6" t="n"/>
      <c r="O132" s="6" t="n"/>
      <c r="P132" s="6" t="n"/>
      <c r="Q132" s="6" t="n"/>
      <c r="R132" s="6" t="n"/>
      <c r="S132" s="6" t="n"/>
      <c r="T132" s="6" t="n"/>
      <c r="U132" s="6" t="n"/>
      <c r="V132" s="6" t="n"/>
      <c r="W132" s="6" t="n"/>
      <c r="X132" s="6" t="n"/>
      <c r="Y132" s="6" t="n"/>
      <c r="Z132" s="6" t="n"/>
      <c r="AA132" s="6" t="n"/>
    </row>
    <row r="133" ht="86.25" customHeight="1">
      <c r="A133" s="127" t="inlineStr">
        <is>
          <t>F-JOB-02</t>
        </is>
      </c>
      <c r="B133" s="128" t="inlineStr">
        <is>
          <t>작업 관리</t>
        </is>
      </c>
      <c r="C133" s="5" t="inlineStr">
        <is>
          <t>M3</t>
        </is>
      </c>
      <c r="D133" s="9" t="inlineStr">
        <is>
          <t>작업 이력 테이블</t>
        </is>
      </c>
      <c r="E133" s="9" t="inlineStr">
        <is>
          <t>컬럼: 상품 코드 / 키워드 / 날짜 / 작업 상태 / 담당자. 행 클릭 시 해당 단계 화면으로 이동.</t>
        </is>
      </c>
      <c r="F133" s="31" t="inlineStr">
        <is>
          <t>P1</t>
        </is>
      </c>
      <c r="G133" s="31" t="inlineStr">
        <is>
          <t>should</t>
        </is>
      </c>
      <c r="H133" s="268" t="inlineStr">
        <is>
          <t>X</t>
        </is>
      </c>
      <c r="I133" s="5" t="inlineStr">
        <is>
          <t>① 5개 컬럼 표시 ② 행 클릭 이동 ③ 담당자 기록</t>
        </is>
      </c>
      <c r="J133" s="9" t="inlineStr">
        <is>
          <t>삭제된 작업은 이력만 남기고 이동을 비활성</t>
        </is>
      </c>
      <c r="K133" s="5" t="n"/>
      <c r="L133" s="5" t="n"/>
      <c r="M133" s="31" t="n"/>
      <c r="N133" s="6" t="n"/>
      <c r="O133" s="6" t="n"/>
      <c r="P133" s="6" t="n"/>
      <c r="Q133" s="6" t="n"/>
      <c r="R133" s="6" t="n"/>
      <c r="S133" s="6" t="n"/>
      <c r="T133" s="6" t="n"/>
      <c r="U133" s="6" t="n"/>
      <c r="V133" s="6" t="n"/>
      <c r="W133" s="6" t="n"/>
      <c r="X133" s="6" t="n"/>
      <c r="Y133" s="6" t="n"/>
      <c r="Z133" s="6" t="n"/>
      <c r="AA133" s="6" t="n"/>
    </row>
    <row r="134" ht="72.75" customHeight="1">
      <c r="A134" s="127" t="inlineStr">
        <is>
          <t>F-JOB-03</t>
        </is>
      </c>
      <c r="B134" s="128" t="inlineStr">
        <is>
          <t>작업 관리</t>
        </is>
      </c>
      <c r="C134" s="5" t="inlineStr">
        <is>
          <t>M3</t>
        </is>
      </c>
      <c r="D134" s="9" t="inlineStr">
        <is>
          <t>페이지네이션</t>
        </is>
      </c>
      <c r="E134" s="9" t="inlineStr">
        <is>
          <t>하단 페이지네이션(기본 20건/페이지).</t>
        </is>
      </c>
      <c r="F134" s="31" t="inlineStr">
        <is>
          <t>P1</t>
        </is>
      </c>
      <c r="G134" s="31" t="inlineStr">
        <is>
          <t>should</t>
        </is>
      </c>
      <c r="H134" s="268" t="inlineStr">
        <is>
          <t>X</t>
        </is>
      </c>
      <c r="I134" s="9" t="inlineStr">
        <is>
          <t>① 페이지 이동 시 필터 유지</t>
        </is>
      </c>
      <c r="J134" s="5" t="inlineStr">
        <is>
          <t>-</t>
        </is>
      </c>
      <c r="K134" s="5" t="n"/>
      <c r="L134" s="246" t="n"/>
      <c r="M134" s="31" t="n"/>
      <c r="N134" s="6" t="n"/>
      <c r="O134" s="6" t="n"/>
      <c r="P134" s="6" t="n"/>
      <c r="Q134" s="6" t="n"/>
      <c r="R134" s="6" t="n"/>
      <c r="S134" s="6" t="n"/>
      <c r="T134" s="6" t="n"/>
      <c r="U134" s="6" t="n"/>
      <c r="V134" s="6" t="n"/>
      <c r="W134" s="6" t="n"/>
      <c r="X134" s="6" t="n"/>
      <c r="Y134" s="6" t="n"/>
      <c r="Z134" s="6" t="n"/>
      <c r="AA134" s="6" t="n"/>
    </row>
    <row r="135" ht="141.75" customHeight="1">
      <c r="A135" s="127" t="inlineStr">
        <is>
          <t>F-JOB-04</t>
        </is>
      </c>
      <c r="B135" s="128" t="inlineStr">
        <is>
          <t>작업 관리</t>
        </is>
      </c>
      <c r="C135" s="5" t="inlineStr">
        <is>
          <t>M3</t>
        </is>
      </c>
      <c r="D135" s="9" t="inlineStr">
        <is>
          <t>작업 상태 관리</t>
        </is>
      </c>
      <c r="E135" s="9" t="inlineStr">
        <is>
          <t>상태값 8종: 생성됨 / 분석중 / 섹션확인 / 번역중 / 검수 / 완료 / 오류 / 취소. DB는 status(draft/processing/review/done/failed/archived) + current_step(N1~N6) 조합으로 관리하며, 매핑 규칙은 05_상태_정책을 따른다. API 응답은 사용자용 상태로 내려준다.</t>
        </is>
      </c>
      <c r="F135" s="31" t="inlineStr">
        <is>
          <t>P1</t>
        </is>
      </c>
      <c r="G135" s="31" t="inlineStr">
        <is>
          <t>should</t>
        </is>
      </c>
      <c r="H135" s="268" t="inlineStr">
        <is>
          <t>X</t>
        </is>
      </c>
      <c r="I135" s="9" t="inlineStr">
        <is>
          <t>① 상태가 실제 단계와 일치 ② 상태별 색상 구분 ③ API 응답이 사용자용 8종으로 통일됨</t>
        </is>
      </c>
      <c r="J135" s="9" t="inlineStr">
        <is>
          <t>단계 되돌림 시 작업 상태도 함께 되돌아가되, 섹션 단위 처리 결과의 완료 상태는 유지할 것</t>
        </is>
      </c>
      <c r="K135" s="5" t="inlineStr">
        <is>
          <t>v1.9 수정 · 상태 9종 확정 반영 · DB 매핑은 05_상태_정책</t>
        </is>
      </c>
      <c r="L135" s="5" t="n"/>
      <c r="M135" s="31" t="inlineStr">
        <is>
          <t>v3.0 수정 — 상태 9종→8종(배치중·원문확인 폐지, 분석중·섹션확인·검수 신설), 05_상태_정책 재작성 · v3.0 수정 — 단위 조각→섹션</t>
        </is>
      </c>
      <c r="N135" s="6" t="n"/>
      <c r="O135" s="6" t="n"/>
      <c r="P135" s="6" t="n"/>
      <c r="Q135" s="6" t="n"/>
      <c r="R135" s="6" t="n"/>
      <c r="S135" s="6" t="n"/>
      <c r="T135" s="6" t="n"/>
      <c r="U135" s="6" t="n"/>
      <c r="V135" s="6" t="n"/>
      <c r="W135" s="6" t="n"/>
      <c r="X135" s="6" t="n"/>
      <c r="Y135" s="6" t="n"/>
      <c r="Z135" s="6" t="n"/>
      <c r="AA135" s="6" t="n"/>
    </row>
    <row r="136">
      <c r="A136" s="127" t="inlineStr">
        <is>
          <t>F-JOB-05</t>
        </is>
      </c>
      <c r="B136" s="128" t="inlineStr">
        <is>
          <t>작업 관리</t>
        </is>
      </c>
      <c r="C136" s="5" t="inlineStr">
        <is>
          <t>M3</t>
        </is>
      </c>
      <c r="D136" s="9" t="inlineStr">
        <is>
          <t>★비동기 작업 큐 및 상태 조회</t>
        </is>
      </c>
      <c r="E136" s="9" t="inlineStr">
        <is>
          <t>인페인팅·번역·렌더링은 오래 걸리므로 큐에 등록하고 비동기로 처리한다. 진행 데이터는 클라이언트가 주기적으로 조회한다. 서버는 클라이언트 연결과 무관하게 처리를 지속하며(수용 ③), 진행 조회의 방식과 주기는 API 명세가 정한다. 진행 조회 응답에는 현재 단계, 전체·완료 항목 수, 항목(섹션·블록)별 상태(대기/진행중/성공/실패/재시도중)와 실패 사유 코드가 포함되어, 화면이 진행률 바와 인라인 경고 배지(F-JOB-06)를 이 응답만으로 그릴 수 있어야 한다. 작업 단위는 처리 종류에 따라 다르다 — 인페인팅은 섹션, 번역은 텍스트 블록, 렌더링은 섹션(9월)·모듈(12월 규격 변경 경로) 단위로 큐에 등록되며, 어느 경우든 작업(상품) 전체가 하나의 단위로 묶이지 않는다. 이 세분화가 부분 실패 시 성공분 보존(F-JOB-06)과 항목별 진행 표시의 전제다.</t>
        </is>
      </c>
      <c r="F136" s="31" t="inlineStr">
        <is>
          <t>P0</t>
        </is>
      </c>
      <c r="G136" s="31" t="inlineStr">
        <is>
          <t>must</t>
        </is>
      </c>
      <c r="H136" s="268" t="inlineStr">
        <is>
          <t>O</t>
        </is>
      </c>
      <c r="I136" s="9" t="inlineStr">
        <is>
          <t>① 요청 즉시 작업 ID가 발급됨 ② 진행률과 단계가 조회됨 ③ 브라우저를 닫아도 서버에서 처리가 계속됨 ④ 응답에 항목별 상태·실패 사유 코드가 포함됨 ⑤ 인라인 배지(F-JOB-06)가 이 응답만으로 표시 가능함</t>
        </is>
      </c>
      <c r="J136" s="9" t="inlineStr">
        <is>
          <t>큐 적체 시 대기 순번을 표시 / MVP는 이탈한 작업의 재진입 경로를 제공하지 않는다 — 세션 이탈을 감지하지 않으며, 진행 중인 비동기 처리는 중단 없이 완료까지 수행하고 결과를 저장하되 이탈 작업은 어떤 목록에도 노출하지 않는다(재진입은 F-LST-08, 12월)</t>
        </is>
      </c>
      <c r="K136" s="5" t="inlineStr">
        <is>
          <t>v1.5 신설 · N2·N4·N6 공통 기반 · v2.5 폴링 확정(서버리스 배포 대비·푸시 불필요 구조) — 8/31 S4+S5 명세에 반영</t>
        </is>
      </c>
      <c r="L136" s="5" t="inlineStr">
        <is>
          <t>【근거】 조회 방식 — v2.5에 폴링으로 확정(서버리스 배포 대비·푸시 불필요 구조). 9/2 — 배포 방식이 바뀌면 결정도 바뀌므로 방식·주기를 요건에서 구현으로 이관(김도연 확인 9/2). 폴링 결정 자체는 유지되며 8/31 API 명세가 소유한다. 주기 미확정은 OI-56</t>
        </is>
      </c>
      <c r="M136" s="31" t="inlineStr">
        <is>
          <t>v2.4 수정 · MVP 세션 이탈 처리 명시 · v3.0 수정 — 큐 단위 조각→섹션</t>
        </is>
      </c>
      <c r="N136" s="6" t="n"/>
      <c r="O136" s="6" t="n"/>
      <c r="P136" s="6" t="n"/>
      <c r="Q136" s="6" t="n"/>
      <c r="R136" s="6" t="n"/>
      <c r="S136" s="6" t="n"/>
      <c r="T136" s="6" t="n"/>
      <c r="U136" s="6" t="n"/>
      <c r="V136" s="6" t="n"/>
      <c r="W136" s="6" t="n"/>
      <c r="X136" s="6" t="n"/>
      <c r="Y136" s="6" t="n"/>
      <c r="Z136" s="6" t="n"/>
      <c r="AA136" s="6" t="n"/>
    </row>
    <row r="137" ht="58.5" customHeight="1">
      <c r="A137" s="127" t="inlineStr">
        <is>
          <t>F-JOB-06</t>
        </is>
      </c>
      <c r="B137" s="128" t="inlineStr">
        <is>
          <t>작업 관리</t>
        </is>
      </c>
      <c r="C137" s="5" t="inlineStr">
        <is>
          <t>M3</t>
        </is>
      </c>
      <c r="D137" s="9" t="inlineStr">
        <is>
          <t>★부분 실패 및 재시도</t>
        </is>
      </c>
      <c r="E137" s="271" t="inlineStr">
        <is>
          <t>섹션들 중 일부가 실패해도 나머지는 진행한다. 실패 항목은 목록이 아니라 사용자가 보는 섹션·블록에 경고 배지로 표시한다(12월 규격 변경 경로에서는 모듈에도 표시). 처리 화면(N2·N4)은 자동 전환되므로 배지의 노출 지점은 검수(N5)다(PL-24). 사용자 재시도는 조건을 바꾸지 않아도 결과가 달라질 수 있는 작업에만 제공한다 — 번역(API 타임아웃·레이트 리밋 등 일시 실패)과 렌더링(캡처 타임아웃·폰트 로드 실패)은 실패 항목을 개별 재시도할 수 있고, 인페인팅은 자동 재시도가 마스크를 넓혀가며 상한까지 수행된 뒤라 같은 버튼으로 더 시도할 조건이 없으므로 제공하지 않는다(조건을 바꾸는 재실행은 F-INP-01e·12월). 일괄 재시도 버튼은 두지 않는다.</t>
        </is>
      </c>
      <c r="F137" s="31" t="inlineStr">
        <is>
          <t>P0</t>
        </is>
      </c>
      <c r="G137" s="31" t="inlineStr">
        <is>
          <t>must</t>
        </is>
      </c>
      <c r="H137" s="268" t="inlineStr">
        <is>
          <t>O</t>
        </is>
      </c>
      <c r="I137" s="9" t="inlineStr">
        <is>
          <t>① 부분 실패 시 성공분이 보존됨 ② 실패 항목이 섹션·블록 위 인라인 배지로 표시됨 ③ 번역·렌더링은 실패 항목 개별 재시도 가능 ④ 인페인팅은 재시도 버튼이 없음 ⑤ 일괄 재시도 버튼이 없음</t>
        </is>
      </c>
      <c r="J137" s="9" t="inlineStr">
        <is>
          <t>재시도 상한에 도달한 항목은 마지막 상태 그대로 두고 인라인 배지를 유지한 채 다음 단계로 진행한다. 제외 여부를 묻는 확인 다이얼로그는 두지 않는다 / 실패 항목이 5개를 넘으면 개별 재시도를 반복하게 두지 않고 '잠시 후 다시 시도해주세요' 안내를 표시한다</t>
        </is>
      </c>
      <c r="K137" s="5" t="inlineStr">
        <is>
          <t>v2.3 · 재시도 가능 여부는 결정적/일시적 실패로 판단 · 실패 목록 → 인라인 배지</t>
        </is>
      </c>
      <c r="L137" s="5" t="n"/>
      <c r="M137" s="268" t="inlineStr">
        <is>
          <t>v2.4 수정 · 「제외하고 진행」 삭제(PL-24 정합) · 인페인팅 재시도 근거 정합 · v3.0 수정 — 단위 조각→섹션 · 예시 수치("20개 중 3개") 삭제</t>
        </is>
      </c>
      <c r="N137" s="6" t="n"/>
      <c r="O137" s="6" t="n"/>
      <c r="P137" s="6" t="n"/>
      <c r="Q137" s="6" t="n"/>
      <c r="R137" s="6" t="n"/>
      <c r="S137" s="6" t="n"/>
      <c r="T137" s="6" t="n"/>
      <c r="U137" s="6" t="n"/>
      <c r="V137" s="6" t="n"/>
      <c r="W137" s="6" t="n"/>
      <c r="X137" s="6" t="n"/>
      <c r="Y137" s="6" t="n"/>
      <c r="Z137" s="6" t="n"/>
      <c r="AA137" s="6" t="n"/>
    </row>
    <row r="138" ht="127.5" customHeight="1">
      <c r="A138" s="127" t="inlineStr">
        <is>
          <t>F-JOB-07</t>
        </is>
      </c>
      <c r="B138" s="128" t="inlineStr">
        <is>
          <t>작업 관리</t>
        </is>
      </c>
      <c r="C138" s="5" t="inlineStr">
        <is>
          <t>M3·전역</t>
        </is>
      </c>
      <c r="D138" s="9" t="inlineStr">
        <is>
          <t>★작업 취소 및 확인</t>
        </is>
      </c>
      <c r="E138" s="9" t="inlineStr">
        <is>
          <t>사용자가 [X]로 작업을 취소하면 확인 다이얼로그를 표시하고, 확인 시 작업 상태를 '취소'로 전환한 뒤 리소스를 정리한다. 다이얼로그는 삭제되는 대상(업로드 원본·섹션 분해 결과·인페인팅 결과·번역문)을 구체적으로 열거하며 되돌릴 수 없음을 명시한다. 포괄 문구('모든 작업이 사라집니다')를 쓰지 않는다(F-NAV-03과 동일 원칙). 진입점은 S0 프로세스 바 우측의 [X]이며 전 화면에 고정된다(F-NAV-01). ★N1은 예외다 — 작업이 아직 생성되지 않아 취소할 대상이 없으므로 [X] 대신 「보관함으로 나가기」를 두고, 나가면 입력값과 업로드한 이미지가 저장되지 않으므로 확인 모달로 그 사실을 알린다(MVP는 미완료 작업 저장이 없다 — F-LST-08은 12월, F-ACC-01 사전 안내와 같은 계열). ★처리 중(N2·N4)의 중단은 이 기능이 아니라 F-JOB-08(처리 중단 및 직전 화면 복귀)이 담당한다.</t>
        </is>
      </c>
      <c r="F138" s="31" t="inlineStr">
        <is>
          <t>P0</t>
        </is>
      </c>
      <c r="G138" s="31" t="inlineStr">
        <is>
          <t>must</t>
        </is>
      </c>
      <c r="H138" s="268" t="inlineStr">
        <is>
          <t>O</t>
        </is>
      </c>
      <c r="I138" s="9" t="inlineStr">
        <is>
          <t>① 확인 다이얼로그 없이 취소되지 않음 ② 삭제 대상이 항목별로 열거됨 ③ 되돌릴 수 없음이 명시됨 ④ N1에서는 [X] 대신 나가기가 노출되고 미저장 확인 모달이 표시됨 ⑤ 취소 후 상태가 '취소'로 전환됨</t>
        </is>
      </c>
      <c r="J138" s="9" t="inlineStr">
        <is>
          <t>취소 처리 중 오류가 나면 작업을 원래 상태로 유지하고 사유를 표시한다</t>
        </is>
      </c>
      <c r="K138" s="5" t="inlineStr">
        <is>
          <t>v2.4 신설 · [12월] F-LST-08 도입 후 다이얼로그에 「저장하고 나가기」 대안 추가</t>
        </is>
      </c>
      <c r="L138" s="5" t="inlineStr">
        <is>
          <t>【근거】 처리 중단을 F-JOB-08로 분리한 이유 — 처리를 멈추는 것과 작업을 버리는 것은 다른 동작이며, 전자는 되돌릴 수 있고 후자는 되돌릴 수 없다</t>
        </is>
      </c>
      <c r="M138" s="189" t="inlineStr">
        <is>
          <t>신설 · v3.0 수정 — 열거 대상 조각·배치→섹션 · 처리 화면 S4·S6→N2·N4 · v3.0 수정 — 진입점 S0 고정 · N1 나가기 분리 · 처리 중 중단을 F-JOB-08로 이관</t>
        </is>
      </c>
      <c r="N138" s="6" t="n"/>
      <c r="O138" s="6" t="n"/>
      <c r="P138" s="6" t="n"/>
      <c r="Q138" s="6" t="n"/>
      <c r="R138" s="6" t="n"/>
      <c r="S138" s="6" t="n"/>
      <c r="T138" s="6" t="n"/>
      <c r="U138" s="6" t="n"/>
      <c r="V138" s="6" t="n"/>
      <c r="W138" s="6" t="n"/>
      <c r="X138" s="6" t="n"/>
      <c r="Y138" s="6" t="n"/>
      <c r="Z138" s="6" t="n"/>
      <c r="AA138" s="6" t="n"/>
    </row>
    <row r="139" ht="121.5" customHeight="1">
      <c r="A139" s="107" t="inlineStr">
        <is>
          <t>F-JOB-08</t>
        </is>
      </c>
      <c r="B139" s="108" t="inlineStr">
        <is>
          <t>작업 관리</t>
        </is>
      </c>
      <c r="C139" s="5" t="inlineStr">
        <is>
          <t>N2·N4</t>
        </is>
      </c>
      <c r="D139" s="9" t="inlineStr">
        <is>
          <t>★처리 중단 및 직전 화면 복귀</t>
        </is>
      </c>
      <c r="E139" s="271" t="inlineStr">
        <is>
          <t>처리 화면(N2 분석 · N4 번역)에서 [중단]을 누르면 진행 중인 비동기 처리를 멈추고 직전 사용자 화면으로 돌아간다 — N2는 N1 입력으로, N4는 N3 섹션 확인으로. 작업은 삭제되지 않고 그 단계에 머물며, 이미 저장된 입력(N1 조건값·N3 버킷 선택)은 그대로 보존된다. 작업 전체를 버리는 것은 S0의 [X] 작업 취소(F-JOB-07)이며 둘은 다른 동작이다 — 중단은 되돌릴 수 있고 취소는 되돌릴 수 없다. 되돌림(F-NAV-02, 12월)의 축소판이 아니라, 처리 화면이 자동 전환 화면이어서 생기는 최소 후퇴 수단이다.</t>
        </is>
      </c>
      <c r="F139" s="5" t="inlineStr">
        <is>
          <t>P0</t>
        </is>
      </c>
      <c r="G139" s="5" t="inlineStr">
        <is>
          <t>must</t>
        </is>
      </c>
      <c r="H139" s="268" t="inlineStr">
        <is>
          <t>O</t>
        </is>
      </c>
      <c r="I139" s="9" t="inlineStr">
        <is>
          <t>① N2 중단 시 N1로, N4 중단 시 N3으로 복귀함 ② 복귀 후 직전 입력·선택이 그대로 남아 있음 ③ 작업이 삭제되지 않고 상태가 유지됨 ④ 재진행 시 이미 완료된 산출물이 재사용됨 ⑤ [X] 작업 취소와 버튼·문구가 구분됨</t>
        </is>
      </c>
      <c r="J139" s="9" t="inlineStr">
        <is>
          <t>중단 처리 중 오류가 나면 처리를 계속하고 사유를 표시한다 / 중단 시점까지 완료된 섹션 단위 산출물은 보존하며, 재진행 시 남은 것만 처리한다</t>
        </is>
      </c>
      <c r="K139" s="5" t="inlineStr">
        <is>
          <t>v3.0 신설 · PM 확정 9/1 — 구 F-JOB-07의 "처리 중 취소 = 작업 전체 취소"를 분리. 9월 MVP의 유일한 후퇴 수단이 [X] 전체 취소뿐이던 문제를 해소</t>
        </is>
      </c>
      <c r="L139" s="5" t="inlineStr">
        <is>
          <t>【근거】 추가 저장 불필요 — 복귀 지점의 상태는 이미 서버에 있으므로(작업 생성 시 N1 입력값 저장, N3 [이대로 진행] 시 버킷 선택 저장) 새 저장 장치가 필요하지 않다</t>
        </is>
      </c>
      <c r="M139" s="5" t="inlineStr">
        <is>
          <t>v3.0 신설</t>
        </is>
      </c>
      <c r="N139" s="6" t="n"/>
      <c r="O139" s="6" t="n"/>
      <c r="P139" s="6" t="n"/>
      <c r="Q139" s="6" t="n"/>
      <c r="R139" s="6" t="n"/>
      <c r="S139" s="6" t="n"/>
      <c r="T139" s="6" t="n"/>
      <c r="U139" s="6" t="n"/>
      <c r="V139" s="6" t="n"/>
      <c r="W139" s="6" t="n"/>
      <c r="X139" s="6" t="n"/>
      <c r="Y139" s="6" t="n"/>
      <c r="Z139" s="6" t="n"/>
      <c r="AA139" s="6" t="n"/>
    </row>
    <row r="140" ht="140.25" customHeight="1">
      <c r="A140" s="129" t="inlineStr">
        <is>
          <t>F-BRD-01</t>
        </is>
      </c>
      <c r="B140" s="130" t="inlineStr">
        <is>
          <t>브랜드</t>
        </is>
      </c>
      <c r="C140" s="35" t="inlineStr">
        <is>
          <t>M2</t>
        </is>
      </c>
      <c r="D140" s="36" t="inlineStr">
        <is>
          <t>기본 정보</t>
        </is>
      </c>
      <c r="E140" s="36" t="inlineStr">
        <is>
          <t>브랜드명(한글명 / 영문명 분리) / 브랜드 로고 업로드.</t>
        </is>
      </c>
      <c r="F140" s="37" t="inlineStr">
        <is>
          <t>P0</t>
        </is>
      </c>
      <c r="G140" s="37" t="inlineStr">
        <is>
          <t>must</t>
        </is>
      </c>
      <c r="H140" s="269" t="inlineStr">
        <is>
          <t>O</t>
        </is>
      </c>
      <c r="I140" s="36" t="inlineStr">
        <is>
          <t>① 한·영 별도 저장 ② 등록된 영문명이 그대로 사용됨</t>
        </is>
      </c>
      <c r="J140" s="36" t="inlineStr">
        <is>
          <t>영문명 미등록 시 번역 결과에 한글명이 그대로 노출됨을 경고</t>
        </is>
      </c>
      <c r="K140" s="35" t="n"/>
      <c r="L140" s="246" t="n"/>
      <c r="M140" s="37" t="n"/>
      <c r="N140" s="6" t="n"/>
      <c r="O140" s="6" t="n"/>
      <c r="P140" s="6" t="n"/>
      <c r="Q140" s="6" t="n"/>
      <c r="R140" s="6" t="n"/>
      <c r="S140" s="6" t="n"/>
      <c r="T140" s="6" t="n"/>
      <c r="U140" s="6" t="n"/>
      <c r="V140" s="6" t="n"/>
      <c r="W140" s="6" t="n"/>
      <c r="X140" s="6" t="n"/>
      <c r="Y140" s="6" t="n"/>
      <c r="Z140" s="6" t="n"/>
      <c r="AA140" s="6" t="n"/>
    </row>
    <row r="141" ht="94.5" customHeight="1">
      <c r="A141" s="131" t="inlineStr">
        <is>
          <t>F-BRD-02</t>
        </is>
      </c>
      <c r="B141" s="132" t="inlineStr">
        <is>
          <t>브랜드</t>
        </is>
      </c>
      <c r="C141" s="5" t="inlineStr">
        <is>
          <t>M2</t>
        </is>
      </c>
      <c r="D141" s="9" t="inlineStr">
        <is>
          <t>로고 비번역 처리</t>
        </is>
      </c>
      <c r="E141" s="9" t="inlineStr">
        <is>
          <t>브랜드 로고로 지정된 영역은 OCR·번역·인페인팅 대상에서 제외한다. ★셀러가 브랜드 화면(M2)에 로고 파일을 등록해 두고, 원본 상세페이지에서 그 로고를 찾아 제외 영역으로 표시한다. ★매칭 방법은 구현 판단이다.</t>
        </is>
      </c>
      <c r="F141" s="31" t="inlineStr">
        <is>
          <t>P0</t>
        </is>
      </c>
      <c r="G141" s="31" t="inlineStr">
        <is>
          <t>must</t>
        </is>
      </c>
      <c r="H141" s="268" t="inlineStr">
        <is>
          <t>O</t>
        </is>
      </c>
      <c r="I141" s="9" t="inlineStr">
        <is>
          <t>① 등록된 로고와 일치하는 영역이 OCR·번역 대상에서 제외됨 ② 해당 영역이 인페인팅 마스크에 포함되지 않아 지워지지 않음(F-INP-01a) ③ 로고 미등록 시에는 제외 처리가 수행되지 않음</t>
        </is>
      </c>
      <c r="J141" s="9" t="inlineStr">
        <is>
          <t>★매칭에 실패하면 그 로고는 일반 텍스트·이미지로 처리되어 인페인팅으로 지워지고 번역문이 얹힌다 — 9월에는 수동 지정 수단을 제공하지 않고 확인 필요 신호로 알린다(F-CFM-05). 대응 수단은 해당 섹션 제외(F-CFM-14)이며, 수동 지정은 12월(F-INP-01e 마스크 조정과 같은 자리)로 이월한다.</t>
        </is>
      </c>
      <c r="K141" s="5" t="inlineStr">
        <is>
          <t>대표이미지는 로고 제거 토글에 따라 보존 대상에서 제외(F-THM-05, 12월)</t>
        </is>
      </c>
      <c r="L141" s="5" t="inlineStr">
        <is>
          <t>【근거】 등록 파일 기준 — 자동 검출만으로는 "이것이 브랜드 로고인가"를 판정할 수 없으므로(워드마크 로고는 OCR이 읽어 번역해버린다) 셀러가 등록한 파일이 기준이 된다</t>
        </is>
      </c>
      <c r="M141" s="31" t="inlineStr">
        <is>
          <t xml:space="preserve"> · v3.0 수정 — 등록·매칭 방식 확정(브랜드 화면 등록 + 원본 매칭) · 매칭 실패 시 확인 필요 신호, 수동 지정은 12월</t>
        </is>
      </c>
      <c r="N141" s="6" t="n"/>
      <c r="O141" s="6" t="n"/>
      <c r="P141" s="6" t="n"/>
      <c r="Q141" s="6" t="n"/>
      <c r="R141" s="6" t="n"/>
      <c r="S141" s="6" t="n"/>
      <c r="T141" s="6" t="n"/>
      <c r="U141" s="6" t="n"/>
      <c r="V141" s="6" t="n"/>
      <c r="W141" s="6" t="n"/>
      <c r="X141" s="6" t="n"/>
      <c r="Y141" s="6" t="n"/>
      <c r="Z141" s="6" t="n"/>
      <c r="AA141" s="6" t="n"/>
    </row>
    <row r="142">
      <c r="A142" s="131" t="inlineStr">
        <is>
          <t>F-BRD-03</t>
        </is>
      </c>
      <c r="B142" s="132" t="inlineStr">
        <is>
          <t>브랜드</t>
        </is>
      </c>
      <c r="C142" s="5" t="inlineStr">
        <is>
          <t>M2</t>
        </is>
      </c>
      <c r="D142" s="9" t="inlineStr">
        <is>
          <t>★브랜드 개요</t>
        </is>
      </c>
      <c r="E142" s="9" t="inlineStr">
        <is>
          <t>셀러가 자신이 판매하는 브랜드에 대한 설명을 자유 서술로 입력한다. 이 값은 번역 프롬프트에 주입되어 톤을 지정한다(F-TRN-02b).</t>
        </is>
      </c>
      <c r="F142" s="31" t="inlineStr">
        <is>
          <t>P0</t>
        </is>
      </c>
      <c r="G142" s="31" t="inlineStr">
        <is>
          <t>must</t>
        </is>
      </c>
      <c r="H142" s="268" t="inlineStr">
        <is>
          <t>O</t>
        </is>
      </c>
      <c r="I142" s="9" t="inlineStr">
        <is>
          <t>① 자유 서술 입력·저장 ② 번역 프롬프트에 반영됨</t>
        </is>
      </c>
      <c r="J142" s="9" t="inlineStr">
        <is>
          <t>비어 있으면 중립 톤으로 번역</t>
        </is>
      </c>
      <c r="K142" s="5" t="inlineStr">
        <is>
          <t>v1.5 용도 명시 · F-BRD-04 삭제 대체</t>
        </is>
      </c>
      <c r="L142" s="246" t="n"/>
      <c r="M142" s="31" t="n"/>
      <c r="N142" s="6" t="n"/>
      <c r="O142" s="6" t="n"/>
      <c r="P142" s="6" t="n"/>
      <c r="Q142" s="6" t="n"/>
      <c r="R142" s="6" t="n"/>
      <c r="S142" s="6" t="n"/>
      <c r="T142" s="6" t="n"/>
      <c r="U142" s="6" t="n"/>
      <c r="V142" s="6" t="n"/>
      <c r="W142" s="6" t="n"/>
      <c r="X142" s="6" t="n"/>
      <c r="Y142" s="6" t="n"/>
      <c r="Z142" s="6" t="n"/>
      <c r="AA142" s="6" t="n"/>
    </row>
    <row r="143" ht="63.75" customHeight="1">
      <c r="A143" s="131" t="inlineStr">
        <is>
          <t>F-BRD-05</t>
        </is>
      </c>
      <c r="B143" s="132" t="inlineStr">
        <is>
          <t>브랜드</t>
        </is>
      </c>
      <c r="C143" s="5" t="inlineStr">
        <is>
          <t>M2</t>
        </is>
      </c>
      <c r="D143" s="9" t="inlineStr">
        <is>
          <t>★핵심 고객층</t>
        </is>
      </c>
      <c r="E143" s="9" t="inlineStr">
        <is>
          <t>브랜드의 핵심 고객층을 자유 서술로 입력한다. 번역 프롬프트에 주입되어 어투와 표현 수위를 지정한다.</t>
        </is>
      </c>
      <c r="F143" s="31" t="inlineStr">
        <is>
          <t>P0</t>
        </is>
      </c>
      <c r="G143" s="31" t="inlineStr">
        <is>
          <t>must</t>
        </is>
      </c>
      <c r="H143" s="268" t="inlineStr">
        <is>
          <t>O</t>
        </is>
      </c>
      <c r="I143" s="9" t="inlineStr">
        <is>
          <t>① 입력·저장 ② 번역 프롬프트에 반영됨</t>
        </is>
      </c>
      <c r="J143" s="9" t="inlineStr">
        <is>
          <t>비어 있으면 중립 톤</t>
        </is>
      </c>
      <c r="K143" s="5" t="inlineStr">
        <is>
          <t>v1.5 용도 명시</t>
        </is>
      </c>
      <c r="L143" s="5" t="n"/>
      <c r="M143" s="31" t="n"/>
      <c r="N143" s="6" t="n"/>
      <c r="O143" s="6" t="n"/>
      <c r="P143" s="6" t="n"/>
      <c r="Q143" s="6" t="n"/>
      <c r="R143" s="6" t="n"/>
      <c r="S143" s="6" t="n"/>
      <c r="T143" s="6" t="n"/>
      <c r="U143" s="6" t="n"/>
      <c r="V143" s="6" t="n"/>
      <c r="W143" s="6" t="n"/>
      <c r="X143" s="6" t="n"/>
      <c r="Y143" s="6" t="n"/>
      <c r="Z143" s="6" t="n"/>
      <c r="AA143" s="6" t="n"/>
    </row>
    <row r="144" ht="25.5" customHeight="1">
      <c r="A144" s="131" t="inlineStr">
        <is>
          <t>F-BRD-06</t>
        </is>
      </c>
      <c r="B144" s="132" t="inlineStr">
        <is>
          <t>브랜드</t>
        </is>
      </c>
      <c r="C144" s="5" t="inlineStr">
        <is>
          <t>M2</t>
        </is>
      </c>
      <c r="D144" s="9" t="inlineStr">
        <is>
          <t>인증 로고 사용 권한 고지</t>
        </is>
      </c>
      <c r="E144" s="5" t="inlineStr">
        <is>
          <t>N1에서 인증 뱃지를 업로드할 때 사용권 보유를 확인받고 시점을 기록한다. 확인 이력은 브랜드 단위로 누적 보관한다. 서비스는 사용권 보유 여부를 검증하지 않는다.</t>
        </is>
      </c>
      <c r="F144" s="31" t="inlineStr">
        <is>
          <t>P1</t>
        </is>
      </c>
      <c r="G144" s="31" t="inlineStr">
        <is>
          <t>should</t>
        </is>
      </c>
      <c r="H144" s="268" t="inlineStr">
        <is>
          <t>X</t>
        </is>
      </c>
      <c r="I144" s="9" t="inlineStr">
        <is>
          <t>① 업로드 시 확인 체크 필수 ② 확인 시점·대상 로그 저장 ③ 브랜드 단위 이력 조회</t>
        </is>
      </c>
      <c r="J144" s="9" t="inlineStr">
        <is>
          <t>확인 미체크 시 업로드 차단</t>
        </is>
      </c>
      <c r="K144" s="5" t="inlineStr">
        <is>
          <t>PL-08. 업로드 화면은 F-SRC-08</t>
        </is>
      </c>
      <c r="L144" s="246" t="n"/>
      <c r="M144" s="31" t="n"/>
      <c r="N144" s="6" t="n"/>
      <c r="O144" s="6" t="n"/>
      <c r="P144" s="6" t="n"/>
      <c r="Q144" s="6" t="n"/>
      <c r="R144" s="6" t="n"/>
      <c r="S144" s="6" t="n"/>
      <c r="T144" s="6" t="n"/>
      <c r="U144" s="6" t="n"/>
      <c r="V144" s="6" t="n"/>
      <c r="W144" s="6" t="n"/>
      <c r="X144" s="6" t="n"/>
      <c r="Y144" s="6" t="n"/>
      <c r="Z144" s="6" t="n"/>
      <c r="AA144" s="6" t="n"/>
    </row>
    <row r="145" ht="45" customHeight="1">
      <c r="A145" s="131" t="inlineStr">
        <is>
          <t>F-BRD-07</t>
        </is>
      </c>
      <c r="B145" s="132" t="inlineStr">
        <is>
          <t>브랜드</t>
        </is>
      </c>
      <c r="C145" s="5" t="inlineStr">
        <is>
          <t>M2</t>
        </is>
      </c>
      <c r="D145" s="9" t="inlineStr">
        <is>
          <t>수정 / 저장 및 적용 시점</t>
        </is>
      </c>
      <c r="E145" s="9" t="inlineStr">
        <is>
          <t>변경된 브랜드 정보는 새로 시작되는 작업부터 적용하며 기존 완료 작업에는 반영하지 않는다.</t>
        </is>
      </c>
      <c r="F145" s="31" t="inlineStr">
        <is>
          <t>P0</t>
        </is>
      </c>
      <c r="G145" s="31" t="inlineStr">
        <is>
          <t>must</t>
        </is>
      </c>
      <c r="H145" s="268" t="inlineStr">
        <is>
          <t>O</t>
        </is>
      </c>
      <c r="I145" s="9" t="inlineStr">
        <is>
          <t>① 저장 이후 작업에만 반영 ② 기존 완료분 불변</t>
        </is>
      </c>
      <c r="J145" s="9" t="inlineStr">
        <is>
          <t>진행 중 작업이 있으면 적용 시점을 안내</t>
        </is>
      </c>
      <c r="K145" s="5" t="inlineStr">
        <is>
          <t>PL-05</t>
        </is>
      </c>
      <c r="L145" s="5" t="n"/>
      <c r="M145" s="31" t="n"/>
      <c r="N145" s="6" t="n"/>
      <c r="O145" s="6" t="n"/>
      <c r="P145" s="6" t="n"/>
      <c r="Q145" s="6" t="n"/>
      <c r="R145" s="6" t="n"/>
      <c r="S145" s="6" t="n"/>
      <c r="T145" s="6" t="n"/>
      <c r="U145" s="6" t="n"/>
      <c r="V145" s="6" t="n"/>
      <c r="W145" s="6" t="n"/>
      <c r="X145" s="6" t="n"/>
      <c r="Y145" s="6" t="n"/>
      <c r="Z145" s="6" t="n"/>
      <c r="AA145" s="6" t="n"/>
    </row>
    <row r="146" ht="72.75" customHeight="1">
      <c r="A146" s="131" t="inlineStr">
        <is>
          <t>F-BRD-08</t>
        </is>
      </c>
      <c r="B146" s="132" t="inlineStr">
        <is>
          <t>브랜드</t>
        </is>
      </c>
      <c r="C146" s="5" t="inlineStr">
        <is>
          <t>M2</t>
        </is>
      </c>
      <c r="D146" s="9" t="inlineStr">
        <is>
          <t>부가 메타데이터</t>
        </is>
      </c>
      <c r="E146" s="9" t="inlineStr">
        <is>
          <t>소속·사업장 주소·담당자·제조사 정보. 국가별 필수 표기 항목에 삽입.</t>
        </is>
      </c>
      <c r="F146" s="31" t="inlineStr">
        <is>
          <t>P1</t>
        </is>
      </c>
      <c r="G146" s="31" t="inlineStr">
        <is>
          <t>should</t>
        </is>
      </c>
      <c r="H146" s="268" t="inlineStr">
        <is>
          <t>X</t>
        </is>
      </c>
      <c r="I146" s="9" t="inlineStr">
        <is>
          <t>① 항목 저장 ② 국가별 필수 표기에 자동 삽입</t>
        </is>
      </c>
      <c r="J146" s="5" t="inlineStr">
        <is>
          <t>-</t>
        </is>
      </c>
      <c r="K146" s="5" t="n"/>
      <c r="L146" s="246" t="n"/>
      <c r="M146" s="31" t="n"/>
      <c r="N146" s="6" t="n"/>
      <c r="O146" s="6" t="n"/>
      <c r="P146" s="6" t="n"/>
      <c r="Q146" s="6" t="n"/>
      <c r="R146" s="6" t="n"/>
      <c r="S146" s="6" t="n"/>
      <c r="T146" s="6" t="n"/>
      <c r="U146" s="6" t="n"/>
      <c r="V146" s="6" t="n"/>
      <c r="W146" s="6" t="n"/>
      <c r="X146" s="6" t="n"/>
      <c r="Y146" s="6" t="n"/>
      <c r="Z146" s="6" t="n"/>
      <c r="AA146" s="6" t="n"/>
    </row>
    <row r="147" ht="72.75" customHeight="1">
      <c r="A147" s="133" t="inlineStr">
        <is>
          <t>F-BGL-01</t>
        </is>
      </c>
      <c r="B147" s="134" t="inlineStr">
        <is>
          <t>배경 생성</t>
        </is>
      </c>
      <c r="C147" s="35" t="inlineStr">
        <is>
          <t>N4</t>
        </is>
      </c>
      <c r="D147" s="36" t="inlineStr">
        <is>
          <t>생성형 배경</t>
        </is>
      </c>
      <c r="E147" s="36" t="inlineStr">
        <is>
          <t>제품 마스크를 고정하고 배경 장면만 생성해 사용 맥락을 현지화한다. 사용자 승인 게이트 필수.</t>
        </is>
      </c>
      <c r="F147" s="37" t="inlineStr">
        <is>
          <t>P1</t>
        </is>
      </c>
      <c r="G147" s="37" t="inlineStr">
        <is>
          <t>should</t>
        </is>
      </c>
      <c r="H147" s="269" t="inlineStr">
        <is>
          <t>X</t>
        </is>
      </c>
      <c r="I147" s="36" t="inlineStr">
        <is>
          <t>① 제품 영역 불변 검증 ② 승인 전 적용 불가</t>
        </is>
      </c>
      <c r="J147" s="36" t="inlineStr">
        <is>
          <t>제품 영역 변형이 감지되면 결과를 폐기</t>
        </is>
      </c>
      <c r="K147" s="36" t="inlineStr">
        <is>
          <t>제품 변형은 허위광고 리스크</t>
        </is>
      </c>
      <c r="L147" s="36" t="n"/>
      <c r="M147" s="37" t="n"/>
      <c r="N147" s="6" t="n"/>
      <c r="O147" s="6" t="n"/>
      <c r="P147" s="6" t="n"/>
      <c r="Q147" s="6" t="n"/>
      <c r="R147" s="6" t="n"/>
      <c r="S147" s="6" t="n"/>
      <c r="T147" s="6" t="n"/>
      <c r="U147" s="6" t="n"/>
      <c r="V147" s="6" t="n"/>
      <c r="W147" s="6" t="n"/>
      <c r="X147" s="6" t="n"/>
      <c r="Y147" s="6" t="n"/>
      <c r="Z147" s="6" t="n"/>
      <c r="AA147" s="6" t="n"/>
    </row>
    <row r="148" ht="45" customHeight="1">
      <c r="A148" s="135" t="inlineStr">
        <is>
          <t>A-DSH-01</t>
        </is>
      </c>
      <c r="B148" s="136" t="inlineStr">
        <is>
          <t>운영</t>
        </is>
      </c>
      <c r="C148" s="35" t="inlineStr">
        <is>
          <t>O1</t>
        </is>
      </c>
      <c r="D148" s="36" t="inlineStr">
        <is>
          <t>★핵심 지표 대시보드</t>
        </is>
      </c>
      <c r="E148" s="36" t="inlineStr">
        <is>
          <t>서비스 전반의 상태를 한 화면에서 파악한다. 지표: 가입·활성 셀러 수, 기간별 작업 생성 수, 완료율, 단계별 이탈률, 신규·재방문 비율. 기간 필터와 브랜드·규격·국가 분해를 제공한다.</t>
        </is>
      </c>
      <c r="F148" s="37" t="inlineStr">
        <is>
          <t>P1</t>
        </is>
      </c>
      <c r="G148" s="37" t="inlineStr">
        <is>
          <t>should</t>
        </is>
      </c>
      <c r="H148" s="269" t="inlineStr">
        <is>
          <t>X</t>
        </is>
      </c>
      <c r="I148" s="36" t="inlineStr">
        <is>
          <t>① 지표가 실데이터와 일치 ② 기간 필터 동작 ③ 단계별 이탈률 산출</t>
        </is>
      </c>
      <c r="J148" s="36" t="inlineStr">
        <is>
          <t>집계 지연 시 마지막 갱신 시각을 표시</t>
        </is>
      </c>
      <c r="K148" s="35" t="inlineStr">
        <is>
          <t>v1.6 수정</t>
        </is>
      </c>
      <c r="L148" s="246" t="inlineStr">
        <is>
          <t>MVP는 배포하지 않아 실사용자 지표가 성립하지 않음 · 다만 집계 원천이 되는 작업 이벤트 로그는 소급 불가이므로 MVP ERD에 포함할 것(OI-35)</t>
        </is>
      </c>
      <c r="M148" s="37" t="n"/>
      <c r="N148" s="6" t="n"/>
      <c r="O148" s="6" t="n"/>
      <c r="P148" s="6" t="n"/>
      <c r="Q148" s="6" t="n"/>
      <c r="R148" s="6" t="n"/>
      <c r="S148" s="6" t="n"/>
      <c r="T148" s="6" t="n"/>
      <c r="U148" s="6" t="n"/>
      <c r="V148" s="6" t="n"/>
      <c r="W148" s="6" t="n"/>
      <c r="X148" s="6" t="n"/>
      <c r="Y148" s="6" t="n"/>
      <c r="Z148" s="6" t="n"/>
      <c r="AA148" s="6" t="n"/>
    </row>
    <row r="149" ht="31.5" customHeight="1">
      <c r="A149" s="137" t="inlineStr">
        <is>
          <t>A-DSH-02</t>
        </is>
      </c>
      <c r="B149" s="138" t="inlineStr">
        <is>
          <t>운영</t>
        </is>
      </c>
      <c r="C149" s="5" t="inlineStr">
        <is>
          <t>O1</t>
        </is>
      </c>
      <c r="D149" s="9" t="inlineStr">
        <is>
          <t>★파이프라인 상태 모니터</t>
        </is>
      </c>
      <c r="E149" s="9" t="inlineStr">
        <is>
          <t>단계별 처리 중·대기·실패 건수와 큐 적체 상황을 실시간으로 보여준다. 임계값 초과 시 시각 경고를 표시한다. 렌더링 큐는 헤드리스 브라우저 동시 실행 수 제한이 있어 별도 감시가 필요하다.</t>
        </is>
      </c>
      <c r="F149" s="31" t="inlineStr">
        <is>
          <t>P1</t>
        </is>
      </c>
      <c r="G149" s="31" t="inlineStr">
        <is>
          <t>should</t>
        </is>
      </c>
      <c r="H149" s="268" t="inlineStr">
        <is>
          <t>X</t>
        </is>
      </c>
      <c r="I149" s="9" t="inlineStr">
        <is>
          <t>① 단계별 건수 실시간 표시 ② 큐 적체 감지 ③ 렌더링 동시 실행 수 표시 ④ 임계값 초과 경고</t>
        </is>
      </c>
      <c r="J149" s="9" t="inlineStr">
        <is>
          <t>모니터링 소스 장애 시 '수집 불가'로 표시하고 알림 발송</t>
        </is>
      </c>
      <c r="K149" s="5" t="inlineStr">
        <is>
          <t>v1.6 수정 · MVP는 동시 사용자가 없어 큐 적체가 발생하지 않음 · 사용자측 진행 표시는 F-JOB-05(must)가 담당</t>
        </is>
      </c>
      <c r="L149" s="5" t="n"/>
      <c r="M149" s="31" t="n"/>
      <c r="N149" s="6" t="n"/>
      <c r="O149" s="6" t="n"/>
      <c r="P149" s="6" t="n"/>
      <c r="Q149" s="6" t="n"/>
      <c r="R149" s="6" t="n"/>
      <c r="S149" s="6" t="n"/>
      <c r="T149" s="6" t="n"/>
      <c r="U149" s="6" t="n"/>
      <c r="V149" s="6" t="n"/>
      <c r="W149" s="6" t="n"/>
      <c r="X149" s="6" t="n"/>
      <c r="Y149" s="6" t="n"/>
      <c r="Z149" s="6" t="n"/>
      <c r="AA149" s="6" t="n"/>
    </row>
    <row r="150" ht="58.5" customHeight="1">
      <c r="A150" s="137" t="inlineStr">
        <is>
          <t>A-DSH-03</t>
        </is>
      </c>
      <c r="B150" s="138" t="inlineStr">
        <is>
          <t>운영</t>
        </is>
      </c>
      <c r="C150" s="5" t="inlineStr">
        <is>
          <t>O1</t>
        </is>
      </c>
      <c r="D150" s="9" t="inlineStr">
        <is>
          <t>★비용 · 자원 모니터링</t>
        </is>
      </c>
      <c r="E150" s="5" t="inlineStr">
        <is>
          <t>GPU 가동률, 추론 호출 수, 모델별 토큰 사용량, 렌더링 시간, 작업 1건당 원가를 집계한다. 되돌림·재합성·아웃페인팅이 원가를 증폭시키므로 평균뿐 아니라 분포(P50·P90)를 함께 제공한다. 셀러별·채널별 원가 분해로 과금 모델 설계의 근거를 만든다.</t>
        </is>
      </c>
      <c r="F150" s="31" t="inlineStr">
        <is>
          <t>P1</t>
        </is>
      </c>
      <c r="G150" s="31" t="inlineStr">
        <is>
          <t>should</t>
        </is>
      </c>
      <c r="H150" s="268" t="inlineStr">
        <is>
          <t>X</t>
        </is>
      </c>
      <c r="I150" s="9" t="inlineStr">
        <is>
          <t>① 모델별 사용량 집계 ② 건당 원가 산출 ③ 원가 분포(P50·P90) 제공 ④ 셀러별·채널별 분해</t>
        </is>
      </c>
      <c r="J150" s="9" t="inlineStr">
        <is>
          <t>단가 정보 미설정 시 사용량만 표시</t>
        </is>
      </c>
      <c r="K150" s="9" t="inlineStr">
        <is>
          <t>단가 관리 위치 OI-30</t>
        </is>
      </c>
      <c r="L150" s="246" t="n"/>
      <c r="M150" s="31" t="n"/>
      <c r="N150" s="6" t="n"/>
      <c r="O150" s="6" t="n"/>
      <c r="P150" s="6" t="n"/>
      <c r="Q150" s="6" t="n"/>
      <c r="R150" s="6" t="n"/>
      <c r="S150" s="6" t="n"/>
      <c r="T150" s="6" t="n"/>
      <c r="U150" s="6" t="n"/>
      <c r="V150" s="6" t="n"/>
      <c r="W150" s="6" t="n"/>
      <c r="X150" s="6" t="n"/>
      <c r="Y150" s="6" t="n"/>
      <c r="Z150" s="6" t="n"/>
      <c r="AA150" s="6" t="n"/>
    </row>
    <row r="151" ht="58.5" customHeight="1">
      <c r="A151" s="137" t="inlineStr">
        <is>
          <t>A-DSH-04</t>
        </is>
      </c>
      <c r="B151" s="138" t="inlineStr">
        <is>
          <t>운영</t>
        </is>
      </c>
      <c r="C151" s="5" t="inlineStr">
        <is>
          <t>O1</t>
        </is>
      </c>
      <c r="D151" s="9" t="inlineStr">
        <is>
          <t>★품질 지표 대시보드</t>
        </is>
      </c>
      <c r="E151" s="272" t="inlineStr">
        <is>
          <t>규제·규격 검증 통과율, 규제 위반 검출 건수, 재합성 평균 횟수, 무수정 승인률, 사용자 수정 발생률을 집계한다. MVP 성공 지표의 측정 수단이 된다.</t>
        </is>
      </c>
      <c r="F151" s="31" t="inlineStr">
        <is>
          <t>P1</t>
        </is>
      </c>
      <c r="G151" s="31" t="inlineStr">
        <is>
          <t>should</t>
        </is>
      </c>
      <c r="H151" s="268" t="inlineStr">
        <is>
          <t>X</t>
        </is>
      </c>
      <c r="I151" s="9" t="inlineStr">
        <is>
          <t>① 검증 통과율 산출 ② 무수정 승인률 산출 ③ 채널·국가별 분해</t>
        </is>
      </c>
      <c r="J151" s="9" t="inlineStr">
        <is>
          <t>표본 수가 임계 미만이면 통계 신뢰도 주의를 표시</t>
        </is>
      </c>
      <c r="K151" s="5" t="n"/>
      <c r="L151" s="5" t="n"/>
      <c r="M151" s="31" t="inlineStr">
        <is>
          <t>v3.0 수정 — 검증 용어 개칭</t>
        </is>
      </c>
      <c r="N151" s="6" t="n"/>
      <c r="O151" s="6" t="n"/>
      <c r="P151" s="6" t="n"/>
      <c r="Q151" s="6" t="n"/>
      <c r="R151" s="6" t="n"/>
      <c r="S151" s="6" t="n"/>
      <c r="T151" s="6" t="n"/>
      <c r="U151" s="6" t="n"/>
      <c r="V151" s="6" t="n"/>
      <c r="W151" s="6" t="n"/>
      <c r="X151" s="6" t="n"/>
      <c r="Y151" s="6" t="n"/>
      <c r="Z151" s="6" t="n"/>
      <c r="AA151" s="6" t="n"/>
    </row>
    <row r="152" ht="58.5" customHeight="1">
      <c r="A152" s="137" t="inlineStr">
        <is>
          <t>A-DSH-05</t>
        </is>
      </c>
      <c r="B152" s="138" t="inlineStr">
        <is>
          <t>운영</t>
        </is>
      </c>
      <c r="C152" s="5" t="inlineStr">
        <is>
          <t>O1</t>
        </is>
      </c>
      <c r="D152" s="9" t="inlineStr">
        <is>
          <t>알림 및 임계값 설정</t>
        </is>
      </c>
      <c r="E152" s="9" t="inlineStr">
        <is>
          <t>지표별 임계값을 설정하고 초과 시 담당자에게 알림을 발송한다.</t>
        </is>
      </c>
      <c r="F152" s="31" t="inlineStr">
        <is>
          <t>P1</t>
        </is>
      </c>
      <c r="G152" s="31" t="inlineStr">
        <is>
          <t>should</t>
        </is>
      </c>
      <c r="H152" s="268" t="inlineStr">
        <is>
          <t>X</t>
        </is>
      </c>
      <c r="I152" s="9" t="inlineStr">
        <is>
          <t>① 지표별 임계값 설정 ② 초과 시 알림 발송 ③ 알림 이력 조회</t>
        </is>
      </c>
      <c r="J152" s="9" t="inlineStr">
        <is>
          <t>알림 발송 실패 시 재시도하고 실패 이력을 남김</t>
        </is>
      </c>
      <c r="K152" s="5" t="n"/>
      <c r="L152" s="246" t="n"/>
      <c r="M152" s="31" t="n"/>
      <c r="N152" s="6" t="n"/>
      <c r="O152" s="6" t="n"/>
      <c r="P152" s="6" t="n"/>
      <c r="Q152" s="6" t="n"/>
      <c r="R152" s="6" t="n"/>
      <c r="S152" s="6" t="n"/>
      <c r="T152" s="6" t="n"/>
      <c r="U152" s="6" t="n"/>
      <c r="V152" s="6" t="n"/>
      <c r="W152" s="6" t="n"/>
      <c r="X152" s="6" t="n"/>
      <c r="Y152" s="6" t="n"/>
      <c r="Z152" s="6" t="n"/>
      <c r="AA152" s="6" t="n"/>
    </row>
    <row r="153" ht="45" customHeight="1">
      <c r="A153" s="137" t="inlineStr">
        <is>
          <t>A-OPS-01</t>
        </is>
      </c>
      <c r="B153" s="138" t="inlineStr">
        <is>
          <t>운영</t>
        </is>
      </c>
      <c r="C153" s="5" t="inlineStr">
        <is>
          <t>O2</t>
        </is>
      </c>
      <c r="D153" s="9" t="inlineStr">
        <is>
          <t>★전체 작업 조회 및 재시도·취소</t>
        </is>
      </c>
      <c r="E153" s="9" t="inlineStr">
        <is>
          <t>모든 셀러의 작업을 조회하고 재시도·취소를 수행한다. 셀러·상태·기간·오류코드로 필터한다.</t>
        </is>
      </c>
      <c r="F153" s="31" t="inlineStr">
        <is>
          <t>P1</t>
        </is>
      </c>
      <c r="G153" s="31" t="inlineStr">
        <is>
          <t>should</t>
        </is>
      </c>
      <c r="H153" s="268" t="inlineStr">
        <is>
          <t>X</t>
        </is>
      </c>
      <c r="I153" s="9" t="inlineStr">
        <is>
          <t>① 전체 작업 조회 ② 강제 재시도·취소 ③ 조작 이력 로그 기록</t>
        </is>
      </c>
      <c r="J153" s="9" t="inlineStr">
        <is>
          <t>이미 완료된 작업은 제어 대상에서 제외</t>
        </is>
      </c>
      <c r="K153" s="5" t="inlineStr">
        <is>
          <t>★v1.4: 일반적 우선순위 관리를 A-OPS-02로 축소 분리</t>
        </is>
      </c>
      <c r="L153" s="5" t="n"/>
      <c r="M153" s="31" t="n"/>
      <c r="N153" s="6" t="n"/>
      <c r="O153" s="6" t="n"/>
      <c r="P153" s="6" t="n"/>
      <c r="Q153" s="6" t="n"/>
      <c r="R153" s="6" t="n"/>
      <c r="S153" s="6" t="n"/>
      <c r="T153" s="6" t="n"/>
      <c r="U153" s="6" t="n"/>
      <c r="V153" s="6" t="n"/>
      <c r="W153" s="6" t="n"/>
      <c r="X153" s="6" t="n"/>
      <c r="Y153" s="6" t="n"/>
      <c r="Z153" s="6" t="n"/>
      <c r="AA153" s="6" t="n"/>
    </row>
    <row r="154" ht="31.5" customHeight="1">
      <c r="A154" s="137" t="inlineStr">
        <is>
          <t>A-OPS-02</t>
        </is>
      </c>
      <c r="B154" s="138" t="inlineStr">
        <is>
          <t>운영</t>
        </is>
      </c>
      <c r="C154" s="5" t="inlineStr">
        <is>
          <t>O2</t>
        </is>
      </c>
      <c r="D154" s="9" t="inlineStr">
        <is>
          <t>긴급 처리 플래그</t>
        </is>
      </c>
      <c r="E154" s="9" t="inlineStr">
        <is>
          <t>특정 작업에 긴급 플래그를 켜서 별도 큐로 보내 먼저 처리한다. 데모·시연과 문의 대응 두 경우만 대상으로 한다. 일반적인 우선순위 관리는 대기열 경합이 실제로 발생한 뒤에 검토한다.</t>
        </is>
      </c>
      <c r="F154" s="31" t="inlineStr">
        <is>
          <t>P1</t>
        </is>
      </c>
      <c r="G154" s="31" t="inlineStr">
        <is>
          <t>should</t>
        </is>
      </c>
      <c r="H154" s="268" t="inlineStr">
        <is>
          <t>X</t>
        </is>
      </c>
      <c r="I154" s="9" t="inlineStr">
        <is>
          <t>① 플래그 토글 ② 긴급 큐 우선 처리 ③ 사용 이력 기록</t>
        </is>
      </c>
      <c r="J154" s="9" t="inlineStr">
        <is>
          <t>긴급 플래그 남용 방지를 위해 동시 지정 수 제한</t>
        </is>
      </c>
      <c r="K154" s="5" t="inlineStr">
        <is>
          <t>★v1.4: SQS 표준 큐는 우선순위 미지원이라 별도 큐 필요</t>
        </is>
      </c>
      <c r="L154" s="246" t="n"/>
      <c r="M154" s="31" t="n"/>
      <c r="N154" s="6" t="n"/>
      <c r="O154" s="6" t="n"/>
      <c r="P154" s="6" t="n"/>
      <c r="Q154" s="6" t="n"/>
      <c r="R154" s="6" t="n"/>
      <c r="S154" s="6" t="n"/>
      <c r="T154" s="6" t="n"/>
      <c r="U154" s="6" t="n"/>
      <c r="V154" s="6" t="n"/>
      <c r="W154" s="6" t="n"/>
      <c r="X154" s="6" t="n"/>
      <c r="Y154" s="6" t="n"/>
      <c r="Z154" s="6" t="n"/>
      <c r="AA154" s="6" t="n"/>
    </row>
    <row r="155" ht="72.75" customHeight="1">
      <c r="A155" s="137" t="inlineStr">
        <is>
          <t>A-OPS-03</t>
        </is>
      </c>
      <c r="B155" s="138" t="inlineStr">
        <is>
          <t>운영</t>
        </is>
      </c>
      <c r="C155" s="5" t="inlineStr">
        <is>
          <t>O2</t>
        </is>
      </c>
      <c r="D155" s="9" t="inlineStr">
        <is>
          <t>★실패 원인 분석 뷰</t>
        </is>
      </c>
      <c r="E155" s="9" t="inlineStr">
        <is>
          <t>실패 작업을 오류 코드별로 집계하고 상세 로그와 입력 데이터를 연결해 보여준다. 반복 실패 패턴을 식별하는 데 사용한다.</t>
        </is>
      </c>
      <c r="F155" s="31" t="inlineStr">
        <is>
          <t>P1</t>
        </is>
      </c>
      <c r="G155" s="31" t="inlineStr">
        <is>
          <t>should</t>
        </is>
      </c>
      <c r="H155" s="268" t="inlineStr">
        <is>
          <t>X</t>
        </is>
      </c>
      <c r="I155" s="9" t="inlineStr">
        <is>
          <t>① 오류 코드별 집계 ② 상세 로그 연결 ③ 반복 패턴 상위 목록</t>
        </is>
      </c>
      <c r="J155" s="9" t="inlineStr">
        <is>
          <t>로그 보관 기간이 지난 작업은 집계만 제공</t>
        </is>
      </c>
      <c r="K155" s="5" t="inlineStr">
        <is>
          <t>v1.6 수정 · MVP 디버깅은 서버 로그로 대체 · 오류 코드 체계 자체는 F-JOB-06·F-TRN-05(must)에 존치</t>
        </is>
      </c>
      <c r="L155" s="5" t="n"/>
      <c r="M155" s="31" t="n"/>
      <c r="N155" s="6" t="n"/>
      <c r="O155" s="6" t="n"/>
      <c r="P155" s="6" t="n"/>
      <c r="Q155" s="6" t="n"/>
      <c r="R155" s="6" t="n"/>
      <c r="S155" s="6" t="n"/>
      <c r="T155" s="6" t="n"/>
      <c r="U155" s="6" t="n"/>
      <c r="V155" s="6" t="n"/>
      <c r="W155" s="6" t="n"/>
      <c r="X155" s="6" t="n"/>
      <c r="Y155" s="6" t="n"/>
      <c r="Z155" s="6" t="n"/>
      <c r="AA155" s="6" t="n"/>
    </row>
    <row r="156" ht="86.25" customHeight="1">
      <c r="A156" s="137" t="inlineStr">
        <is>
          <t>A-OPS-04</t>
        </is>
      </c>
      <c r="B156" s="138" t="inlineStr">
        <is>
          <t>운영</t>
        </is>
      </c>
      <c r="C156" s="5" t="inlineStr">
        <is>
          <t>O2</t>
        </is>
      </c>
      <c r="D156" s="9" t="inlineStr">
        <is>
          <t>★고객 지원용 작업 열람</t>
        </is>
      </c>
      <c r="E156" s="9" t="inlineStr">
        <is>
          <t>문의 대응을 위해 특정 셀러의 작업을 열람한다. 열람 사유 입력을 필수화하고 접근 이력을 감사 로그에 남긴다. 수정 권한은 부여하지 않는다.</t>
        </is>
      </c>
      <c r="F156" s="31" t="inlineStr">
        <is>
          <t>P1</t>
        </is>
      </c>
      <c r="G156" s="31" t="inlineStr">
        <is>
          <t>should</t>
        </is>
      </c>
      <c r="H156" s="268" t="inlineStr">
        <is>
          <t>X</t>
        </is>
      </c>
      <c r="I156" s="9" t="inlineStr">
        <is>
          <t>① 사유 입력 없이 열람 불가 ② 접근 이력 기록 ③ 읽기 전용</t>
        </is>
      </c>
      <c r="J156" s="9" t="inlineStr">
        <is>
          <t>민감 정보(인증 뱃지 원본 등)는 마스킹 처리</t>
        </is>
      </c>
      <c r="K156" s="5" t="inlineStr">
        <is>
          <t>PL-14</t>
        </is>
      </c>
      <c r="L156" s="246" t="n"/>
      <c r="M156" s="31" t="n"/>
      <c r="N156" s="6" t="n"/>
      <c r="O156" s="6" t="n"/>
      <c r="P156" s="6" t="n"/>
      <c r="Q156" s="6" t="n"/>
      <c r="R156" s="6" t="n"/>
      <c r="S156" s="6" t="n"/>
      <c r="T156" s="6" t="n"/>
      <c r="U156" s="6" t="n"/>
      <c r="V156" s="6" t="n"/>
      <c r="W156" s="6" t="n"/>
      <c r="X156" s="6" t="n"/>
      <c r="Y156" s="6" t="n"/>
      <c r="Z156" s="6" t="n"/>
      <c r="AA156" s="6" t="n"/>
    </row>
    <row r="157" ht="114" customHeight="1">
      <c r="A157" s="137" t="inlineStr">
        <is>
          <t>A-OPS-05</t>
        </is>
      </c>
      <c r="B157" s="138" t="inlineStr">
        <is>
          <t>운영</t>
        </is>
      </c>
      <c r="C157" s="5" t="inlineStr">
        <is>
          <t>O2</t>
        </is>
      </c>
      <c r="D157" s="9" t="inlineStr">
        <is>
          <t>공지 · 점검 배너 관리</t>
        </is>
      </c>
      <c r="E157" s="9" t="inlineStr">
        <is>
          <t>서비스 공지와 점검 안내 배너를 등록·예약·해제한다.</t>
        </is>
      </c>
      <c r="F157" s="31" t="inlineStr">
        <is>
          <t>P2</t>
        </is>
      </c>
      <c r="G157" s="31" t="inlineStr">
        <is>
          <t>could</t>
        </is>
      </c>
      <c r="H157" s="268" t="inlineStr">
        <is>
          <t>X</t>
        </is>
      </c>
      <c r="I157" s="9" t="inlineStr">
        <is>
          <t>① 배너 등록·예약·해제 ② 대상 사용자 범위 지정</t>
        </is>
      </c>
      <c r="J157" s="9" t="inlineStr">
        <is>
          <t>점검 중에는 신규 작업 생성을 차단하고 진행 중 작업은 보존</t>
        </is>
      </c>
      <c r="K157" s="5" t="n"/>
      <c r="L157" s="5" t="n"/>
      <c r="M157" s="31" t="n"/>
      <c r="N157" s="6" t="n"/>
      <c r="O157" s="6" t="n"/>
      <c r="P157" s="6" t="n"/>
      <c r="Q157" s="6" t="n"/>
      <c r="R157" s="6" t="n"/>
      <c r="S157" s="6" t="n"/>
      <c r="T157" s="6" t="n"/>
      <c r="U157" s="6" t="n"/>
      <c r="V157" s="6" t="n"/>
      <c r="W157" s="6" t="n"/>
      <c r="X157" s="6" t="n"/>
      <c r="Y157" s="6" t="n"/>
      <c r="Z157" s="6" t="n"/>
      <c r="AA157" s="6" t="n"/>
    </row>
    <row r="158" ht="45" customHeight="1">
      <c r="A158" s="137" t="inlineStr">
        <is>
          <t>A-CFG-01</t>
        </is>
      </c>
      <c r="B158" s="138" t="inlineStr">
        <is>
          <t>운영</t>
        </is>
      </c>
      <c r="C158" s="5" t="inlineStr">
        <is>
          <t>O3</t>
        </is>
      </c>
      <c r="D158" s="9" t="inlineStr">
        <is>
          <t>★규격 관리 콘솔</t>
        </is>
      </c>
      <c r="E158" s="9" t="inlineStr">
        <is>
          <t>채널 규격을 등록·수정하고 변경 이력을 관리한다. 확인일로부터 일정 기간이 지난 규격은 재확인 알림을 띄운다. 규격은 공지 없이 바뀌므로 주기적 검증이 필요하다.</t>
        </is>
      </c>
      <c r="F158" s="31" t="inlineStr">
        <is>
          <t>P1</t>
        </is>
      </c>
      <c r="G158" s="31" t="inlineStr">
        <is>
          <t>should</t>
        </is>
      </c>
      <c r="H158" s="268" t="inlineStr">
        <is>
          <t>X</t>
        </is>
      </c>
      <c r="I158" s="9" t="inlineStr">
        <is>
          <t>① 규격 CRUD ② 변경 이력 보존 ③ 확인일 경과 알림 ④ 출처 URL 필수</t>
        </is>
      </c>
      <c r="J158" s="9" t="inlineStr">
        <is>
          <t>사용 중인 규격 삭제 시도 시 차단하고 비활성 처리로 유도</t>
        </is>
      </c>
      <c r="K158" s="5" t="inlineStr">
        <is>
          <t>F-CH-01의 운영 화면</t>
        </is>
      </c>
      <c r="L158" s="246" t="n"/>
      <c r="M158" s="31" t="n"/>
      <c r="N158" s="6" t="n"/>
      <c r="O158" s="6" t="n"/>
      <c r="P158" s="6" t="n"/>
      <c r="Q158" s="6" t="n"/>
      <c r="R158" s="6" t="n"/>
      <c r="S158" s="6" t="n"/>
      <c r="T158" s="6" t="n"/>
      <c r="U158" s="6" t="n"/>
      <c r="V158" s="6" t="n"/>
      <c r="W158" s="6" t="n"/>
      <c r="X158" s="6" t="n"/>
      <c r="Y158" s="6" t="n"/>
      <c r="Z158" s="6" t="n"/>
      <c r="AA158" s="6" t="n"/>
    </row>
    <row r="159" ht="45" customHeight="1">
      <c r="A159" s="137" t="inlineStr">
        <is>
          <t>A-CFG-02</t>
        </is>
      </c>
      <c r="B159" s="138" t="inlineStr">
        <is>
          <t>운영</t>
        </is>
      </c>
      <c r="C159" s="5" t="inlineStr">
        <is>
          <t>O3</t>
        </is>
      </c>
      <c r="D159" s="9" t="inlineStr">
        <is>
          <t>★규제 사전 · 용어집 관리</t>
        </is>
      </c>
      <c r="E159" s="9" t="inlineStr">
        <is>
          <t>국가별 금지표현과 대체 표현, 그리고 번역 용어집을 등록·수정한다. 규제 사전은 국가 축만 따르고 카테고리로 분기하지 않는다. 용어집은 도착어와 내부 카테고리 두 축으로 분기한다. 각 항목에 근거 법령과 출처, 확인일자를 함께 기록해 사용자에게 제시할 수 있게 한다.</t>
        </is>
      </c>
      <c r="F159" s="31" t="inlineStr">
        <is>
          <t>P1</t>
        </is>
      </c>
      <c r="G159" s="31" t="inlineStr">
        <is>
          <t>should</t>
        </is>
      </c>
      <c r="H159" s="268" t="inlineStr">
        <is>
          <t>X</t>
        </is>
      </c>
      <c r="I159" s="9" t="inlineStr">
        <is>
          <t>① 금지·대체 표현 CRUD ② 용어쌍 CRUD ③ 근거·출처·확인일자 필수 입력 ④ 규제 사전은 국가별, 용어집은 도착어·카테고리별 분류</t>
        </is>
      </c>
      <c r="J159" s="9" t="inlineStr">
        <is>
          <t>근거 없는 규제 항목은 등록 불가</t>
        </is>
      </c>
      <c r="K159" s="5" t="inlineStr">
        <is>
          <t>v1.6 수정 · 규제 사전의 카테고리 분기 폐기 · F-TRN-06과 연결</t>
        </is>
      </c>
      <c r="L159" s="5" t="n"/>
      <c r="M159" s="31" t="n"/>
      <c r="N159" s="6" t="n"/>
      <c r="O159" s="6" t="n"/>
      <c r="P159" s="6" t="n"/>
      <c r="Q159" s="6" t="n"/>
      <c r="R159" s="6" t="n"/>
      <c r="S159" s="6" t="n"/>
      <c r="T159" s="6" t="n"/>
      <c r="U159" s="6" t="n"/>
      <c r="V159" s="6" t="n"/>
      <c r="W159" s="6" t="n"/>
      <c r="X159" s="6" t="n"/>
      <c r="Y159" s="6" t="n"/>
      <c r="Z159" s="6" t="n"/>
      <c r="AA159" s="6" t="n"/>
    </row>
    <row r="160" ht="45" customHeight="1">
      <c r="A160" s="137" t="inlineStr">
        <is>
          <t>A-CFG-03</t>
        </is>
      </c>
      <c r="B160" s="138" t="inlineStr">
        <is>
          <t>운영</t>
        </is>
      </c>
      <c r="C160" s="5" t="inlineStr">
        <is>
          <t>O3</t>
        </is>
      </c>
      <c r="D160" s="9" t="inlineStr">
        <is>
          <t>★사전 변경 이력 및 롤백</t>
        </is>
      </c>
      <c r="E160" s="9" t="inlineStr">
        <is>
          <t>규제 사전·용어집·채널 규격의 변경 이력을 버전으로 관리하고 이전 버전으로 되돌릴 수 있게 한다.</t>
        </is>
      </c>
      <c r="F160" s="31" t="inlineStr">
        <is>
          <t>P1</t>
        </is>
      </c>
      <c r="G160" s="31" t="inlineStr">
        <is>
          <t>should</t>
        </is>
      </c>
      <c r="H160" s="268" t="inlineStr">
        <is>
          <t>X</t>
        </is>
      </c>
      <c r="I160" s="9" t="inlineStr">
        <is>
          <t>① 버전 이력 보존 ② 변경자·시각 기록 ③ 이전 버전 롤백</t>
        </is>
      </c>
      <c r="J160" s="9" t="inlineStr">
        <is>
          <t>롤백 시 진행 중 작업은 기존 버전을 유지</t>
        </is>
      </c>
      <c r="K160" s="5" t="n"/>
      <c r="L160" s="246" t="inlineStr">
        <is>
          <t>【근거】 승인 필요 근거 — 잘못된 사전 반영이 전체 생성물 품질에 즉시 영향을 주기 때문이다</t>
        </is>
      </c>
      <c r="M160" s="31" t="n"/>
      <c r="N160" s="6" t="n"/>
      <c r="O160" s="6" t="n"/>
      <c r="P160" s="6" t="n"/>
      <c r="Q160" s="6" t="n"/>
      <c r="R160" s="6" t="n"/>
      <c r="S160" s="6" t="n"/>
      <c r="T160" s="6" t="n"/>
      <c r="U160" s="6" t="n"/>
      <c r="V160" s="6" t="n"/>
      <c r="W160" s="6" t="n"/>
      <c r="X160" s="6" t="n"/>
      <c r="Y160" s="6" t="n"/>
      <c r="Z160" s="6" t="n"/>
      <c r="AA160" s="6" t="n"/>
    </row>
    <row r="161" ht="141.75" customHeight="1">
      <c r="A161" s="137" t="inlineStr">
        <is>
          <t>A-CFG-04</t>
        </is>
      </c>
      <c r="B161" s="138" t="inlineStr">
        <is>
          <t>운영</t>
        </is>
      </c>
      <c r="C161" s="5" t="inlineStr">
        <is>
          <t>O3</t>
        </is>
      </c>
      <c r="D161" s="9" t="inlineStr">
        <is>
          <t>템플릿 관리</t>
        </is>
      </c>
      <c r="E161" s="16" t="inlineStr">
        <is>
          <t>12월 규격 변경 경로의 채널별 템플릿(A+ 모듈 등)과 섹션→모듈 매핑 규칙을 등록·수정한다.</t>
        </is>
      </c>
      <c r="F161" s="31" t="inlineStr">
        <is>
          <t>P1</t>
        </is>
      </c>
      <c r="G161" s="31" t="inlineStr">
        <is>
          <t>should</t>
        </is>
      </c>
      <c r="H161" s="268" t="inlineStr">
        <is>
          <t>X</t>
        </is>
      </c>
      <c r="I161" s="9" t="inlineStr">
        <is>
          <t>① 템플릿 CRUD ② 채널 연결 ③ 미리보기</t>
        </is>
      </c>
      <c r="J161" s="9" t="inlineStr">
        <is>
          <t>연결된 채널이 있는 템플릿은 삭제 대신 비활성</t>
        </is>
      </c>
      <c r="K161" s="5" t="n"/>
      <c r="L161" s="5" t="n"/>
      <c r="M161" s="31" t="inlineStr">
        <is>
          <t>v3.0 수정 — AI 초안 기준→규격 변경 템플릿 관리로 재정의</t>
        </is>
      </c>
      <c r="N161" s="6" t="n"/>
      <c r="O161" s="6" t="n"/>
      <c r="P161" s="6" t="n"/>
      <c r="Q161" s="6" t="n"/>
      <c r="R161" s="6" t="n"/>
      <c r="S161" s="6" t="n"/>
      <c r="T161" s="6" t="n"/>
      <c r="U161" s="6" t="n"/>
      <c r="V161" s="6" t="n"/>
      <c r="W161" s="6" t="n"/>
      <c r="X161" s="6" t="n"/>
      <c r="Y161" s="6" t="n"/>
      <c r="Z161" s="6" t="n"/>
      <c r="AA161" s="6" t="n"/>
    </row>
    <row r="162" ht="45" customHeight="1">
      <c r="A162" s="137" t="inlineStr">
        <is>
          <t>A-CFG-05</t>
        </is>
      </c>
      <c r="B162" s="138" t="inlineStr">
        <is>
          <t>운영</t>
        </is>
      </c>
      <c r="C162" s="5" t="inlineStr">
        <is>
          <t>O3</t>
        </is>
      </c>
      <c r="D162" s="9" t="inlineStr">
        <is>
          <t>★모델 · 프롬프트 설정</t>
        </is>
      </c>
      <c r="E162" s="9" t="inlineStr">
        <is>
          <t>번역·검증·인페인팅에 사용하는 모델과 프롬프트를 관리한다. 역할별 모델 지정, 파라미터 조정, 버전 관리, 단계적 롤아웃을 지원한다. 인페인팅 모델은 POC 결과에 따라 교체될 수 있으므로 설정으로 분리한다.</t>
        </is>
      </c>
      <c r="F162" s="31" t="inlineStr">
        <is>
          <t>P1</t>
        </is>
      </c>
      <c r="G162" s="31" t="inlineStr">
        <is>
          <t>should</t>
        </is>
      </c>
      <c r="H162" s="268" t="inlineStr">
        <is>
          <t>X</t>
        </is>
      </c>
      <c r="I162" s="9" t="inlineStr">
        <is>
          <t>① 역할별 모델 지정 ② 프롬프트 버전 관리 ③ 일부 트래픽에만 적용 가능</t>
        </is>
      </c>
      <c r="J162" s="9" t="inlineStr">
        <is>
          <t>설정 오류로 호출 실패 시 직전 안정 버전으로 자동 폴백</t>
        </is>
      </c>
      <c r="K162" s="5" t="n"/>
      <c r="L162" s="246" t="n"/>
      <c r="M162" s="31" t="n"/>
      <c r="N162" s="6" t="n"/>
      <c r="O162" s="6" t="n"/>
      <c r="P162" s="6" t="n"/>
      <c r="Q162" s="6" t="n"/>
      <c r="R162" s="6" t="n"/>
      <c r="S162" s="6" t="n"/>
      <c r="T162" s="6" t="n"/>
      <c r="U162" s="6" t="n"/>
      <c r="V162" s="6" t="n"/>
      <c r="W162" s="6" t="n"/>
      <c r="X162" s="6" t="n"/>
      <c r="Y162" s="6" t="n"/>
      <c r="Z162" s="6" t="n"/>
      <c r="AA162" s="6" t="n"/>
    </row>
    <row r="163" ht="45" customHeight="1">
      <c r="A163" s="137" t="inlineStr">
        <is>
          <t>A-CFG-06</t>
        </is>
      </c>
      <c r="B163" s="138" t="inlineStr">
        <is>
          <t>운영</t>
        </is>
      </c>
      <c r="C163" s="5" t="inlineStr">
        <is>
          <t>O3</t>
        </is>
      </c>
      <c r="D163" s="9" t="inlineStr">
        <is>
          <t>★마스터 데이터 조회 (읽기 전용)</t>
        </is>
      </c>
      <c r="E163" s="9" t="inlineStr">
        <is>
          <t>규격·규제 사전·용어집·카테고리 마스터의 현재 적재 상태를 조회한다. 목록과 검색만 제공하며 등록·수정은 하지 않는다. ★MVP에서는 제공하지 않는다. 각 데이터의 버전과 적재 시각을 함께 표시한다.</t>
        </is>
      </c>
      <c r="F163" s="31" t="inlineStr">
        <is>
          <t>P1</t>
        </is>
      </c>
      <c r="G163" s="31" t="inlineStr">
        <is>
          <t>should</t>
        </is>
      </c>
      <c r="H163" s="268" t="inlineStr">
        <is>
          <t>X</t>
        </is>
      </c>
      <c r="I163" s="5" t="inlineStr">
        <is>
          <t>① 4종 마스터를 각각 조회·검색 가능 ② 버전과 적재 시각이 표시됨 ③ 편집 기능이 존재하지 않음 ④ 도착어·카테고리별 용어집 보유 현황이 확인됨</t>
        </is>
      </c>
      <c r="J163" s="9" t="inlineStr">
        <is>
          <t>적재되지 않은 마스터는 '미적재'로 표시하고 오류를 내지 않는다</t>
        </is>
      </c>
      <c r="K163" s="5" t="inlineStr">
        <is>
          <t>v1.8 이월 · 시드 적재 확인은 DB 직접 조회로 대체 · O3 화면 소멸</t>
        </is>
      </c>
      <c r="L163" s="5" t="n"/>
      <c r="M163" s="31" t="inlineStr">
        <is>
          <t xml:space="preserve"> · v3.0 수정 — 상세와 릴리스 불일치 정정(MVP 미제공 명시) · P0→P1 · v1.6에서 "시드 확인 수단이 없다"는 이유로 must로 신설했으나, v1.8에서 확인을 DB 직접 조회로 대체하며 12월로 이월했다(O3 화면은 MVP에서 사라진다)</t>
        </is>
      </c>
      <c r="N163" s="6" t="n"/>
      <c r="O163" s="6" t="n"/>
      <c r="P163" s="6" t="n"/>
      <c r="Q163" s="6" t="n"/>
      <c r="R163" s="6" t="n"/>
      <c r="S163" s="6" t="n"/>
      <c r="T163" s="6" t="n"/>
      <c r="U163" s="6" t="n"/>
      <c r="V163" s="6" t="n"/>
      <c r="W163" s="6" t="n"/>
      <c r="X163" s="6" t="n"/>
      <c r="Y163" s="6" t="n"/>
      <c r="Z163" s="6" t="n"/>
      <c r="AA163" s="6" t="n"/>
    </row>
    <row r="164" ht="38.25" customHeight="1">
      <c r="A164" s="137" t="inlineStr">
        <is>
          <t>A-ACC-01</t>
        </is>
      </c>
      <c r="B164" s="138" t="inlineStr">
        <is>
          <t>운영</t>
        </is>
      </c>
      <c r="C164" s="5" t="inlineStr">
        <is>
          <t>O4</t>
        </is>
      </c>
      <c r="D164" s="9" t="inlineStr">
        <is>
          <t>★셀러 계정 관리</t>
        </is>
      </c>
      <c r="E164" s="9" t="inlineStr">
        <is>
          <t>셀러 계정을 조회하고 상태를 변경한다. 정지·해제, 사용량 한도 조정, 브랜드 수 확인을 지원한다.</t>
        </is>
      </c>
      <c r="F164" s="31" t="inlineStr">
        <is>
          <t>P1</t>
        </is>
      </c>
      <c r="G164" s="31" t="inlineStr">
        <is>
          <t>should</t>
        </is>
      </c>
      <c r="H164" s="268" t="inlineStr">
        <is>
          <t>X</t>
        </is>
      </c>
      <c r="I164" s="9" t="inlineStr">
        <is>
          <t>① 계정 조회·검색 ② 정지·해제 ③ 조치 이력 기록</t>
        </is>
      </c>
      <c r="J164" s="9" t="inlineStr">
        <is>
          <t>정지 시 진행 중 작업은 보존하고 신규 생성만 차단</t>
        </is>
      </c>
      <c r="K164" s="5" t="inlineStr">
        <is>
          <t>v1.6 수정 · MVP는 계정이 내부 인원뿐이라 관리 대상이 없음</t>
        </is>
      </c>
      <c r="L164" s="246" t="n"/>
      <c r="M164" s="31" t="n"/>
      <c r="N164" s="6" t="n"/>
      <c r="O164" s="6" t="n"/>
      <c r="P164" s="6" t="n"/>
      <c r="Q164" s="6" t="n"/>
      <c r="R164" s="6" t="n"/>
      <c r="S164" s="6" t="n"/>
      <c r="T164" s="6" t="n"/>
      <c r="U164" s="6" t="n"/>
      <c r="V164" s="6" t="n"/>
      <c r="W164" s="6" t="n"/>
      <c r="X164" s="6" t="n"/>
      <c r="Y164" s="6" t="n"/>
      <c r="Z164" s="6" t="n"/>
      <c r="AA164" s="6" t="n"/>
    </row>
    <row r="165" ht="76.5" customHeight="1">
      <c r="A165" s="137" t="inlineStr">
        <is>
          <t>A-ACC-02</t>
        </is>
      </c>
      <c r="B165" s="138" t="inlineStr">
        <is>
          <t>운영</t>
        </is>
      </c>
      <c r="C165" s="5" t="inlineStr">
        <is>
          <t>O4</t>
        </is>
      </c>
      <c r="D165" s="9" t="inlineStr">
        <is>
          <t>운영자 권한 관리</t>
        </is>
      </c>
      <c r="E165" s="9" t="inlineStr">
        <is>
          <t>운영자 역할을 정의하고 기능별 접근 권한을 부여한다. 최소 권한 원칙을 따른다.</t>
        </is>
      </c>
      <c r="F165" s="31" t="inlineStr">
        <is>
          <t>P1</t>
        </is>
      </c>
      <c r="G165" s="31" t="inlineStr">
        <is>
          <t>should</t>
        </is>
      </c>
      <c r="H165" s="268" t="inlineStr">
        <is>
          <t>X</t>
        </is>
      </c>
      <c r="I165" s="9" t="inlineStr">
        <is>
          <t>① 역할 기반 권한 부여 ② 권한 변경 이력 기록</t>
        </is>
      </c>
      <c r="J165" s="9" t="inlineStr">
        <is>
          <t>마지막 최고 관리자 권한은 회수 불가</t>
        </is>
      </c>
      <c r="K165" s="5" t="inlineStr">
        <is>
          <t>v1.6 수정 · A-ACC-01과 동일 사유</t>
        </is>
      </c>
      <c r="L165" s="5" t="n"/>
      <c r="M165" s="31" t="n"/>
      <c r="N165" s="6" t="n"/>
      <c r="O165" s="6" t="n"/>
      <c r="P165" s="6" t="n"/>
      <c r="Q165" s="6" t="n"/>
      <c r="R165" s="6" t="n"/>
      <c r="S165" s="6" t="n"/>
      <c r="T165" s="6" t="n"/>
      <c r="U165" s="6" t="n"/>
      <c r="V165" s="6" t="n"/>
      <c r="W165" s="6" t="n"/>
      <c r="X165" s="6" t="n"/>
      <c r="Y165" s="6" t="n"/>
      <c r="Z165" s="6" t="n"/>
      <c r="AA165" s="6" t="n"/>
    </row>
    <row r="166" ht="45" customHeight="1">
      <c r="A166" s="137" t="inlineStr">
        <is>
          <t>A-ACC-03</t>
        </is>
      </c>
      <c r="B166" s="138" t="inlineStr">
        <is>
          <t>운영</t>
        </is>
      </c>
      <c r="C166" s="5" t="inlineStr">
        <is>
          <t>O4</t>
        </is>
      </c>
      <c r="D166" s="9" t="inlineStr">
        <is>
          <t>★감사 로그 기록</t>
        </is>
      </c>
      <c r="E166" s="9" t="inlineStr">
        <is>
          <t>운영자와 사용자의 주요 조작을 감사 로그로 기록한다. 대상: 책임 한계 동의, 인증 사용권 확인, 번역문 직접 수정, 규격 위반 강행, 단계 되돌림, 마스터 데이터 변경, 고객 작업 열람, 계정 조치. 기록은 소급이 불가능하므로 MVP부터 동작해야 한다. 조회 화면은 A-ACC-03a로 분리한다.</t>
        </is>
      </c>
      <c r="F166" s="31" t="inlineStr">
        <is>
          <t>P0</t>
        </is>
      </c>
      <c r="G166" s="31" t="inlineStr">
        <is>
          <t>must</t>
        </is>
      </c>
      <c r="H166" s="268" t="inlineStr">
        <is>
          <t>O</t>
        </is>
      </c>
      <c r="I166" s="9" t="inlineStr">
        <is>
          <t>① 전 조작이 기록됨 ② 행위자·시각·대상이 기록됨 ③ 로그 임의 삭제 불가</t>
        </is>
      </c>
      <c r="J166" s="9" t="inlineStr">
        <is>
          <t>로그 저장 실패 시 해당 조작을 중단한다</t>
        </is>
      </c>
      <c r="K166" s="5" t="inlineStr">
        <is>
          <t>v1.6 수정 · 기록(must)과 조회(A-ACC-03a, should)를 분리 · NFR-24가 P0이고 기록은 소급 불가</t>
        </is>
      </c>
      <c r="L166" s="246" t="n"/>
      <c r="M166" s="31" t="n"/>
      <c r="N166" s="6" t="n"/>
      <c r="O166" s="6" t="n"/>
      <c r="P166" s="6" t="n"/>
      <c r="Q166" s="6" t="n"/>
      <c r="R166" s="6" t="n"/>
      <c r="S166" s="6" t="n"/>
      <c r="T166" s="6" t="n"/>
      <c r="U166" s="6" t="n"/>
      <c r="V166" s="6" t="n"/>
      <c r="W166" s="6" t="n"/>
      <c r="X166" s="6" t="n"/>
      <c r="Y166" s="6" t="n"/>
      <c r="Z166" s="6" t="n"/>
      <c r="AA166" s="6" t="n"/>
    </row>
    <row r="167" ht="45" customHeight="1">
      <c r="A167" s="137" t="inlineStr">
        <is>
          <t>A-ACC-03a</t>
        </is>
      </c>
      <c r="B167" s="138" t="inlineStr">
        <is>
          <t>운영</t>
        </is>
      </c>
      <c r="C167" s="5" t="inlineStr">
        <is>
          <t>O4</t>
        </is>
      </c>
      <c r="D167" s="9" t="inlineStr">
        <is>
          <t>감사 로그 조회</t>
        </is>
      </c>
      <c r="E167" s="9" t="inlineStr">
        <is>
          <t>기록된 감사 로그를 기간·행위자·대상으로 검색해 조회한다. 기록(A-ACC-03)과 분리된 화면이다.</t>
        </is>
      </c>
      <c r="F167" s="31" t="inlineStr">
        <is>
          <t>P1</t>
        </is>
      </c>
      <c r="G167" s="31" t="inlineStr">
        <is>
          <t>should</t>
        </is>
      </c>
      <c r="H167" s="268" t="inlineStr">
        <is>
          <t>X</t>
        </is>
      </c>
      <c r="I167" s="9" t="inlineStr">
        <is>
          <t>① 기간·행위자·대상 검색 ② 결과 목록 표시 ③ 읽기 전용</t>
        </is>
      </c>
      <c r="J167" s="9" t="inlineStr">
        <is>
          <t>로그 보관 기간이 지난 항목은 조회되지 않음을 표시한다</t>
        </is>
      </c>
      <c r="K167" s="5" t="inlineStr">
        <is>
          <t>v1.6 신설 · A-ACC-03에서 조회 기능을 분리 · 읽는 시점은 미룰 수 있으나 쓰는 시점은 미룰 수 없음</t>
        </is>
      </c>
      <c r="L167" s="5" t="n"/>
      <c r="M167" s="31" t="n"/>
      <c r="N167" s="6" t="n"/>
      <c r="O167" s="6" t="n"/>
      <c r="P167" s="6" t="n"/>
      <c r="Q167" s="6" t="n"/>
      <c r="R167" s="6" t="n"/>
      <c r="S167" s="6" t="n"/>
      <c r="T167" s="6" t="n"/>
      <c r="U167" s="6" t="n"/>
      <c r="V167" s="6" t="n"/>
      <c r="W167" s="6" t="n"/>
      <c r="X167" s="6" t="n"/>
      <c r="Y167" s="6" t="n"/>
      <c r="Z167" s="6" t="n"/>
      <c r="AA167" s="6" t="n"/>
    </row>
    <row r="168" ht="72.75" customHeight="1">
      <c r="A168" s="137" t="inlineStr">
        <is>
          <t>A-QA-01</t>
        </is>
      </c>
      <c r="B168" s="138" t="inlineStr">
        <is>
          <t>운영</t>
        </is>
      </c>
      <c r="C168" s="5" t="inlineStr">
        <is>
          <t>O5</t>
        </is>
      </c>
      <c r="D168" s="9" t="inlineStr">
        <is>
          <t>★사용자 수정 신호 수집 (기록 전용)</t>
        </is>
      </c>
      <c r="E168" s="9" t="inlineStr">
        <is>
          <t>품질 개선의 원천 데이터를 적재한다. 신호 4종을 구분해 기록한다. ① 규제 검증이 걸린 사례 ② 사용자가 제안을 해제한 사례(오탐 신호) ③ 검증을 통과했으나 사용자가 직접 고친 사례(미탐 신호) ④ 번역문 수정 전후 쌍. F-CFM-02a(블록 상태)가 이미 수정 사실을 기록하므로 수정 전후 텍스트와 신호 유형만 함께 남기면 된다. 수집은 소급이 불가능하므로 화면 유무와 무관하게 MVP부터 동작한다. 조회·라벨링 화면(O5)은 12월 이후다.</t>
        </is>
      </c>
      <c r="F168" s="31" t="inlineStr">
        <is>
          <t>P0</t>
        </is>
      </c>
      <c r="G168" s="31" t="inlineStr">
        <is>
          <t>must</t>
        </is>
      </c>
      <c r="H168" s="268" t="inlineStr">
        <is>
          <t>O</t>
        </is>
      </c>
      <c r="I168" s="5" t="inlineStr">
        <is>
          <t>① 4종 신호가 유형 구분과 함께 적재됨 ② 수정 전후 텍스트가 함께 보존됨 ③ 오탐·미탐이 구분됨 ④ 조회 화면 없이 동작함</t>
        </is>
      </c>
      <c r="J168" s="9" t="inlineStr">
        <is>
          <t>적재 실패가 사용자 작업을 막지 않는다 (비동기·베스트에포트)</t>
        </is>
      </c>
      <c r="K168" s="5" t="inlineStr">
        <is>
          <t>v2.0 · signal_type 4종 구분 · 범위는 수집만 · 분석은 A-QA-02(12월 이후)</t>
        </is>
      </c>
      <c r="L168" s="246" t="n"/>
      <c r="M168" s="31" t="n"/>
      <c r="N168" s="6" t="n"/>
      <c r="O168" s="6" t="n"/>
      <c r="P168" s="6" t="n"/>
      <c r="Q168" s="6" t="n"/>
      <c r="R168" s="6" t="n"/>
      <c r="S168" s="6" t="n"/>
      <c r="T168" s="6" t="n"/>
      <c r="U168" s="6" t="n"/>
      <c r="V168" s="6" t="n"/>
      <c r="W168" s="6" t="n"/>
      <c r="X168" s="6" t="n"/>
      <c r="Y168" s="6" t="n"/>
      <c r="Z168" s="6" t="n"/>
      <c r="AA168" s="6" t="n"/>
    </row>
    <row r="169" ht="38.25" customHeight="1">
      <c r="A169" s="137" t="inlineStr">
        <is>
          <t>A-QA-02</t>
        </is>
      </c>
      <c r="B169" s="138" t="inlineStr">
        <is>
          <t>운영</t>
        </is>
      </c>
      <c r="C169" s="5" t="inlineStr">
        <is>
          <t>O5</t>
        </is>
      </c>
      <c r="D169" s="9" t="inlineStr">
        <is>
          <t>★수정 신호 라벨링 및 분석</t>
        </is>
      </c>
      <c r="E169" s="9" t="inlineStr">
        <is>
          <t>수집된 신호를 오탐·미탐으로 라벨링하고 빈발 패턴을 집계한다. 결과는 규제 사전과 용어집 보강에 사용한다. 초기에는 표본이 적으므로 CSV 내보내기 후 외부 라벨링으로 갈음하고, 물량이 쌓인 뒤 전용 화면을 만든다.</t>
        </is>
      </c>
      <c r="F169" s="31" t="inlineStr">
        <is>
          <t>P2</t>
        </is>
      </c>
      <c r="G169" s="31" t="inlineStr">
        <is>
          <t>could</t>
        </is>
      </c>
      <c r="H169" s="268" t="inlineStr">
        <is>
          <t>X</t>
        </is>
      </c>
      <c r="I169" s="9" t="inlineStr">
        <is>
          <t>① 오탐·미탐 라벨링 ② 빈발 패턴 상위 목록 ③ 사전·용어집 반영 연결</t>
        </is>
      </c>
      <c r="J169" s="9" t="inlineStr">
        <is>
          <t>표본 부족 시 분석을 보류하고 수집만 지속</t>
        </is>
      </c>
      <c r="K169" s="5" t="inlineStr">
        <is>
          <t>★v1.4: 전용 UI는 후순위, 수집(A-QA-01)이 선행</t>
        </is>
      </c>
      <c r="L169" s="5" t="n"/>
      <c r="M169" s="31" t="n"/>
      <c r="N169" s="6" t="n"/>
      <c r="O169" s="6" t="n"/>
      <c r="P169" s="6" t="n"/>
      <c r="Q169" s="6" t="n"/>
      <c r="R169" s="6" t="n"/>
      <c r="S169" s="6" t="n"/>
      <c r="T169" s="6" t="n"/>
      <c r="U169" s="6" t="n"/>
      <c r="V169" s="6" t="n"/>
      <c r="W169" s="6" t="n"/>
      <c r="X169" s="6" t="n"/>
      <c r="Y169" s="6" t="n"/>
      <c r="Z169" s="6" t="n"/>
      <c r="AA169" s="6" t="n"/>
    </row>
    <row r="170" ht="86.25" customHeight="1">
      <c r="A170" s="139" t="inlineStr">
        <is>
          <t>A-QA-03</t>
        </is>
      </c>
      <c r="B170" s="140" t="inlineStr">
        <is>
          <t>운영</t>
        </is>
      </c>
      <c r="C170" s="141" t="inlineStr">
        <is>
          <t>O5</t>
        </is>
      </c>
      <c r="D170" s="142" t="inlineStr">
        <is>
          <t>신고 · 이의 접수 처리</t>
        </is>
      </c>
      <c r="E170" s="142" t="inlineStr">
        <is>
          <t>결과물 오류나 규제 판단에 대한 사용자 이의를 접수하고 처리 상태를 관리한다.</t>
        </is>
      </c>
      <c r="F170" s="143" t="inlineStr">
        <is>
          <t>P3</t>
        </is>
      </c>
      <c r="G170" s="143" t="inlineStr">
        <is>
          <t>won't</t>
        </is>
      </c>
      <c r="H170" s="282" t="inlineStr">
        <is>
          <t>X</t>
        </is>
      </c>
      <c r="I170" s="142" t="inlineStr">
        <is>
          <t>① 접수·배정·처리 상태 관리 ② 처리 결과 회신</t>
        </is>
      </c>
      <c r="J170" s="142" t="inlineStr">
        <is>
          <t>동일 사안 중복 접수는 병합</t>
        </is>
      </c>
      <c r="K170" s="141" t="n"/>
      <c r="L170" s="246" t="n"/>
      <c r="M170" s="143" t="n"/>
      <c r="N170" s="6" t="n"/>
      <c r="O170" s="6" t="n"/>
      <c r="P170" s="6" t="n"/>
      <c r="Q170" s="6" t="n"/>
      <c r="R170" s="6" t="n"/>
      <c r="S170" s="6" t="n"/>
      <c r="T170" s="6" t="n"/>
      <c r="U170" s="6" t="n"/>
      <c r="V170" s="6" t="n"/>
      <c r="W170" s="6" t="n"/>
      <c r="X170" s="6" t="n"/>
      <c r="Y170" s="6" t="n"/>
      <c r="Z170" s="6" t="n"/>
      <c r="AA170" s="6" t="n"/>
    </row>
    <row r="171" ht="45" customHeight="1"/>
    <row r="172" ht="238.5" customHeight="1"/>
    <row r="173" ht="86.25" customHeight="1"/>
    <row r="174" ht="86.25" customHeight="1"/>
    <row r="175" ht="17.25" customHeight="1"/>
    <row r="176" ht="31.5" customHeight="1"/>
    <row r="177" ht="17.25" customHeight="1"/>
    <row r="178" ht="72.75" customHeight="1"/>
    <row r="179" ht="169.5" customHeight="1"/>
    <row r="180" ht="127.5" customHeight="1"/>
    <row r="181" ht="100.5" customHeight="1"/>
    <row r="182" ht="45" customHeight="1"/>
    <row r="183" ht="31.5" customHeight="1"/>
    <row r="184" ht="31.5" customHeight="1"/>
    <row r="185" ht="31.5" customHeight="1"/>
    <row r="186" ht="31.5" customHeight="1"/>
    <row r="187" ht="45" customHeight="1"/>
    <row r="188" ht="31.5" customHeight="1"/>
    <row r="189" ht="31.5" customHeight="1"/>
    <row r="190" ht="31.5" customHeight="1"/>
    <row r="191" ht="58.5" customHeight="1"/>
    <row r="192" ht="45" customHeight="1"/>
    <row r="193" ht="58.5" customHeight="1"/>
    <row r="194" ht="45" customHeight="1"/>
    <row r="195" ht="31.5" customHeight="1"/>
    <row r="196" ht="31.5" customHeight="1"/>
    <row r="197" ht="45" customHeight="1"/>
    <row r="198" ht="45" customHeight="1"/>
    <row r="199" ht="45" customHeight="1"/>
    <row r="200" ht="31.5" customHeight="1"/>
    <row r="201" ht="45" customHeight="1"/>
    <row r="202" ht="58.5" customHeight="1"/>
    <row r="203" ht="45" customHeight="1"/>
    <row r="204" ht="45" customHeight="1"/>
    <row r="205" ht="58.5" customHeight="1"/>
    <row r="206" ht="72.75" customHeight="1"/>
    <row r="207" ht="31.5" customHeight="1"/>
    <row r="208" ht="31.5" customHeight="1"/>
    <row r="209" ht="72.75" customHeight="1"/>
    <row r="210" ht="45" customHeight="1"/>
    <row r="211" ht="100.5" customHeight="1"/>
    <row r="212" ht="58.5" customHeight="1"/>
    <row r="213" ht="31.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sheetData>
  <autoFilter ref="A5:L177"/>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Z29"/>
  <sheetViews>
    <sheetView showGridLines="0" zoomScaleNormal="100" workbookViewId="0">
      <pane ySplit="4" topLeftCell="A5" activePane="bottomLeft" state="frozen"/>
      <selection pane="bottomLeft" activeCell="B6" sqref="B6"/>
    </sheetView>
  </sheetViews>
  <sheetFormatPr baseColWidth="8" defaultColWidth="14.42578125" defaultRowHeight="15"/>
  <cols>
    <col width="10" customWidth="1" min="1" max="1"/>
    <col width="24" customWidth="1" min="2" max="2"/>
    <col width="6" customWidth="1" min="3" max="3"/>
    <col width="28" customWidth="1" min="4" max="4"/>
    <col width="20" customWidth="1" min="5" max="5"/>
    <col width="60" customWidth="1" min="6" max="6"/>
    <col width="24" customWidth="1" min="7" max="7"/>
    <col width="20" customWidth="1" min="8" max="8"/>
    <col width="56" customWidth="1" min="9" max="9"/>
    <col width="34" customWidth="1" min="10" max="10"/>
  </cols>
  <sheetData>
    <row r="1" ht="21" customHeight="1">
      <c r="A1" s="17" t="inlineStr">
        <is>
          <t>03. 화면 정의서 — v3.2.1</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5" customHeight="1">
      <c r="A2" s="145" t="inlineStr">
        <is>
          <t>v3.0 — 파이프라인 재구성에 따라 화면 체계를 N1~N6으로 재정의. 사용자 화면 4개(N1 입력 · N3 섹션 확인 · N5 검수 · N6 저장) + 처리 화면 2개(N2 분석 · N4 번역). 구 S1~S8은 삭제(빨강·취소선), 신규 화면은 연녹, 수정은 연노랑. ★연빨강 = v3.0 삭제 · 연녹 = v3.0 신규 · 연노랑 = v3.0 수정</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ht="15" customHeight="1">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ht="17.25" customHeight="1">
      <c r="A4" s="146" t="inlineStr">
        <is>
          <t>화면 ID</t>
        </is>
      </c>
      <c r="B4" s="146" t="inlineStr">
        <is>
          <t>화면명</t>
        </is>
      </c>
      <c r="C4" s="147" t="inlineStr">
        <is>
          <t>MVP</t>
        </is>
      </c>
      <c r="D4" s="146" t="inlineStr">
        <is>
          <t>화면 목적</t>
        </is>
      </c>
      <c r="E4" s="146" t="inlineStr">
        <is>
          <t>진입 경로</t>
        </is>
      </c>
      <c r="F4" s="146" t="inlineStr">
        <is>
          <t>주요 구성 요소</t>
        </is>
      </c>
      <c r="G4" s="146" t="inlineStr">
        <is>
          <t>주요 버튼</t>
        </is>
      </c>
      <c r="H4" s="146" t="inlineStr">
        <is>
          <t>다음 화면</t>
        </is>
      </c>
      <c r="I4" s="146" t="inlineStr">
        <is>
          <t>예외 / 알럿</t>
        </is>
      </c>
      <c r="J4" s="146" t="inlineStr">
        <is>
          <t>관련 기능 ID</t>
        </is>
      </c>
      <c r="K4" s="6" t="n"/>
      <c r="L4" s="6" t="n"/>
      <c r="M4" s="6" t="n"/>
      <c r="N4" s="6" t="n"/>
      <c r="O4" s="6" t="n"/>
      <c r="P4" s="6" t="n"/>
      <c r="Q4" s="6" t="n"/>
      <c r="R4" s="6" t="n"/>
      <c r="S4" s="6" t="n"/>
      <c r="T4" s="6" t="n"/>
      <c r="U4" s="6" t="n"/>
      <c r="V4" s="6" t="n"/>
      <c r="W4" s="6" t="n"/>
      <c r="X4" s="6" t="n"/>
      <c r="Y4" s="6" t="n"/>
      <c r="Z4" s="6" t="n"/>
    </row>
    <row r="5" ht="31.5" customHeight="1">
      <c r="A5" s="148" t="inlineStr">
        <is>
          <t>G1</t>
        </is>
      </c>
      <c r="B5" s="149" t="inlineStr">
        <is>
          <t>로그인 · 회원가입</t>
        </is>
      </c>
      <c r="C5" s="148" t="inlineStr">
        <is>
          <t>O</t>
        </is>
      </c>
      <c r="D5" s="149" t="inlineStr">
        <is>
          <t>셀러 인증과 계정 생성</t>
        </is>
      </c>
      <c r="E5" s="149" t="inlineStr">
        <is>
          <t>최초 진입</t>
        </is>
      </c>
      <c r="F5" s="149" t="inlineStr">
        <is>
          <t>이메일 로그인 · 회원가입</t>
        </is>
      </c>
      <c r="G5" s="148" t="inlineStr">
        <is>
          <t>[로그인] [가입]</t>
        </is>
      </c>
      <c r="H5" s="148" t="inlineStr">
        <is>
          <t>M1 보관함</t>
        </is>
      </c>
      <c r="I5" s="148" t="inlineStr">
        <is>
          <t>MVP는 이메일 로그인만. 소셜 로그인·계정 성격 선택은 12월 이후</t>
        </is>
      </c>
      <c r="J5" s="148" t="inlineStr">
        <is>
          <t>F-ACC-01·04 (05~08은 12월)</t>
        </is>
      </c>
      <c r="K5" s="6" t="n"/>
      <c r="L5" s="6" t="n"/>
      <c r="M5" s="6" t="n"/>
      <c r="N5" s="6" t="n"/>
      <c r="O5" s="6" t="n"/>
      <c r="P5" s="6" t="n"/>
      <c r="Q5" s="6" t="n"/>
      <c r="R5" s="6" t="n"/>
      <c r="S5" s="6" t="n"/>
      <c r="T5" s="6" t="n"/>
      <c r="U5" s="6" t="n"/>
      <c r="V5" s="6" t="n"/>
      <c r="W5" s="6" t="n"/>
      <c r="X5" s="6" t="n"/>
      <c r="Y5" s="6" t="n"/>
      <c r="Z5" s="6" t="n"/>
    </row>
    <row r="6" ht="45" customHeight="1">
      <c r="A6" s="148" t="inlineStr">
        <is>
          <t>S0</t>
        </is>
      </c>
      <c r="B6" s="149" t="inlineStr">
        <is>
          <t>작업 단계 프로세스 바 (전역)</t>
        </is>
      </c>
      <c r="C6" s="148" t="inlineStr">
        <is>
          <t>O</t>
        </is>
      </c>
      <c r="D6" s="149" t="inlineStr">
        <is>
          <t>현재 작업 단계 표시 (MVP는 표시 전용)</t>
        </is>
      </c>
      <c r="E6" s="148" t="inlineStr">
        <is>
          <t>N1~N6 전 화면 상단 고정</t>
        </is>
      </c>
      <c r="F6" s="149" t="inlineStr">
        <is>
          <t>단계 표시(N1 입력 → N2 분석 → N3 섹션 확인 → N4 번역 → N5 검수 → N6 저장) · ★우측 [X] 작업 취소 (전 화면 고정, N1 제외 — F-JOB-07) · [12월] 단계 선택·되돌림 경고 모달</t>
        </is>
      </c>
      <c r="G6" s="149" t="inlineStr">
        <is>
          <t>★[X] 작업 취소 (전 화면 고정 · N1 제외) / 단계 표시는 클릭 불가</t>
        </is>
      </c>
      <c r="H6" s="148" t="inlineStr">
        <is>
          <t>- (이동 없음)</t>
        </is>
      </c>
      <c r="I6" s="148" t="inlineStr">
        <is>
          <t>★[X]는 작업 전체를 취소하며 되돌릴 수 없다 — 처리 중단(N2·N4)은 별개 동작으로 F-JOB-08이 담당한다 / ★N1에는 [X] 대신 「보관함으로 나가기」가 노출된다(작업이 아직 생성되지 않아 취소할 대상이 없음) / MVP는 단계 클릭이 동작하지 않으며 툴팁으로 12월 기능임을 안내 / 앞으로 진행은 각 화면의 [다음] 버튼으로만 / 되돌림 관련 경고는 12월</t>
        </is>
      </c>
      <c r="J6" s="148" t="inlineStr">
        <is>
          <t>F-NAV-01, F-JOB-07 (F-NAV-02~08은 12월)</t>
        </is>
      </c>
      <c r="K6" s="6" t="n"/>
      <c r="L6" s="6" t="n"/>
      <c r="M6" s="6" t="n"/>
      <c r="N6" s="6" t="n"/>
      <c r="O6" s="6" t="n"/>
      <c r="P6" s="6" t="n"/>
      <c r="Q6" s="6" t="n"/>
      <c r="R6" s="6" t="n"/>
      <c r="S6" s="6" t="n"/>
      <c r="T6" s="6" t="n"/>
      <c r="U6" s="6" t="n"/>
      <c r="V6" s="6" t="n"/>
      <c r="W6" s="6" t="n"/>
      <c r="X6" s="6" t="n"/>
      <c r="Y6" s="6" t="n"/>
      <c r="Z6" s="6" t="n"/>
    </row>
    <row r="7" ht="45" customHeight="1">
      <c r="A7" s="6" t="inlineStr">
        <is>
          <t>N1</t>
        </is>
      </c>
      <c r="B7" s="262" t="inlineStr">
        <is>
          <t>입력</t>
        </is>
      </c>
      <c r="C7" s="6" t="inlineStr">
        <is>
          <t>O</t>
        </is>
      </c>
      <c r="D7" s="262" t="inlineStr">
        <is>
          <t>원본 업로드와 작업 조건(국가·언어·규제분류·입력 유형·규격)을 한 화면에서 확정</t>
        </is>
      </c>
      <c r="E7" s="6" t="inlineStr">
        <is>
          <t>M1 + 카드 / GNB</t>
        </is>
      </c>
      <c r="F7" s="262" t="inlineStr">
        <is>
          <t>원본 이미지 업로드 · 국가 선택 → 규제분류 셀렉터(미선택 차단, "잘 모름"이 탈출구) · 도착어 · 입력 유형 선택(상세페이지 / 썸네일 — 12월) · 규격 선택(원본 규격 ✅ 활성 / 사이트별 ⬜ / 커스텀 ⬜ — 비활성 노출, 배지 없음) · 카테고리·키워드</t>
        </is>
      </c>
      <c r="G7" s="9" t="inlineStr">
        <is>
          <t>[다음] (필수값 검증 후 분석 시작) / ★「보관함으로 나가기」 (S0의 [X] 대신)</t>
        </is>
      </c>
      <c r="H7" s="9" t="inlineStr">
        <is>
          <t>N2 분석</t>
        </is>
      </c>
      <c r="I7" s="9" t="inlineStr">
        <is>
          <t>국가·규제분류 미선택 시 진행 차단('잘 모름'이 명시적 대안) / 분류 체계가 없는 국가는 셀렉터 미노출·국가 축만 검증 / 비활성 규격(사이트별·커스텀)은 선택되지 않으며 별도 안내를 띄우지 않음 / 카테고리 미선택 시 진행 불가 / 원본 언어를 탐지하지 않음 — 비한국어 원본도 경고 없이 그대로 진행(품질 미보장·책임 셀러) / ★나가기 선택 시 확인 모달 — 입력값과 업로드한 이미지가 저장되지 않음을 알린다(MVP는 미완료 작업 저장 없음, F-LST-08은 12월) / ★지원 포맷(JPG·PNG)을 벗어난 파일은 업로드 차단(F-CH-03) — 해상도·용량·색공간은 9월 미검사이며 사전 규격 검증 전량은 12월(F-CH-04) / ★입력 유형 미선택 시 진행 차단 · 원본이 선택한 유형과 맞는지는 검사하지 않음(F-THM-01, 12월)</t>
        </is>
      </c>
      <c r="J7" s="9" t="inlineStr">
        <is>
          <t>F-CH-02·02a·02b·02c·03·04, F-SRC-01·03·04·04a·04b·06·10, F-LNG-01·02·03, F-ACC-04, F-JOB-07, F-THM-01(12월)</t>
        </is>
      </c>
      <c r="K7" s="6" t="n"/>
      <c r="L7" s="6" t="n"/>
      <c r="M7" s="6" t="n"/>
      <c r="N7" s="6" t="n"/>
      <c r="O7" s="6" t="n"/>
      <c r="P7" s="6" t="n"/>
      <c r="Q7" s="6" t="n"/>
      <c r="R7" s="6" t="n"/>
      <c r="S7" s="6" t="n"/>
      <c r="T7" s="6" t="n"/>
      <c r="U7" s="6" t="n"/>
      <c r="V7" s="6" t="n"/>
      <c r="W7" s="6" t="n"/>
      <c r="X7" s="6" t="n"/>
      <c r="Y7" s="6" t="n"/>
      <c r="Z7" s="6" t="n"/>
    </row>
    <row r="8" ht="31.5" customHeight="1">
      <c r="A8" s="6" t="inlineStr">
        <is>
          <t>N2</t>
        </is>
      </c>
      <c r="B8" s="262" t="inlineStr">
        <is>
          <t>분석 중 (처리)</t>
        </is>
      </c>
      <c r="C8" s="6" t="inlineStr">
        <is>
          <t>O</t>
        </is>
      </c>
      <c r="D8" s="262" t="inlineStr">
        <is>
          <t>전체 OCR → 섹션 자동 분해(썸네일 입력은 미수행 — 원본 1장 = 1섹션) → 규제·현지적합성 판정</t>
        </is>
      </c>
      <c r="E8" s="6" t="inlineStr">
        <is>
          <t>N1 완료 자동 진입</t>
        </is>
      </c>
      <c r="F8" s="262" t="inlineStr">
        <is>
          <t>진행률 + 현재 단계 노출(초장축이므로 필수) · 완료 시 N3 자동 전환</t>
        </is>
      </c>
      <c r="G8" s="9" t="inlineStr">
        <is>
          <t>★[중단] — 처리를 멈추고 N1 입력으로 복귀(F-JOB-08) / S0의 [X] 작업 취소(F-JOB-07)는 작업 전체를 버림</t>
        </is>
      </c>
      <c r="H8" s="9" t="inlineStr">
        <is>
          <t>N3 섹션 확인 (완료 시 자동 전환)</t>
        </is>
      </c>
      <c r="I8" s="9" t="inlineStr">
        <is>
          <t>섹션 분해 실패 시 전체를 단일 섹션으로 두고 진행(F-SEC-01) / 처리 실패 시 자동 재시도 2회 후 오류 상태·재시도 안내(NFR-08, F-JOB-05·06) / ★[중단] 시 작업은 삭제되지 않고 N1 입력값이 보존된 채 복귀한다 — 재진행하면 완료된 산출물을 재사용한다(F-JOB-08) / 초장축 처리 중 진행률+현재 단계 상시 표시(F-TRN-01) / 썸네일 입력이면 섹션 자동 분해를 수행하지 않고 원본 1장을 1섹션으로 둠(F-THM-02, 12월)</t>
        </is>
      </c>
      <c r="J8" s="9" t="inlineStr">
        <is>
          <t>F-SEC-01, F-TXT-05, F-LOC-01·02, F-TRN-01, F-JOB-05·06·07·08, F-THM-02(12월)</t>
        </is>
      </c>
      <c r="K8" s="6" t="n"/>
      <c r="L8" s="6" t="n"/>
      <c r="M8" s="6" t="n"/>
      <c r="N8" s="6" t="n"/>
      <c r="O8" s="6" t="n"/>
      <c r="P8" s="6" t="n"/>
      <c r="Q8" s="6" t="n"/>
      <c r="R8" s="6" t="n"/>
      <c r="S8" s="6" t="n"/>
      <c r="T8" s="6" t="n"/>
      <c r="U8" s="6" t="n"/>
      <c r="V8" s="6" t="n"/>
      <c r="W8" s="6" t="n"/>
      <c r="X8" s="6" t="n"/>
      <c r="Y8" s="6" t="n"/>
      <c r="Z8" s="6" t="n"/>
    </row>
    <row r="9" ht="58.5" customHeight="1">
      <c r="A9" s="6" t="inlineStr">
        <is>
          <t>N3</t>
        </is>
      </c>
      <c r="B9" s="262" t="inlineStr">
        <is>
          <t>섹션 확인</t>
        </is>
      </c>
      <c r="C9" s="6" t="inlineStr">
        <is>
          <t>O</t>
        </is>
      </c>
      <c r="D9" s="262" t="inlineStr">
        <is>
          <t>판정 결과를 확인하고 섹션을 되살리거나 제외</t>
        </is>
      </c>
      <c r="E9" s="6" t="inlineStr">
        <is>
          <t>N2 완료</t>
        </is>
      </c>
      <c r="F9" s="262" t="inlineStr">
        <is>
          <t>⚠ 제외 버킷(펼침) / ✓ 포함 버킷(접힘) · 액션 2개([되살리기]/[제외하기]) · 【12월 · 결과물이 썸네일】 대표이미지 지정(단일 선택) + 「로고도 제거」 토글(기본 켜짐) · 배지 4종(규제/채널 티저/현지 무의미/수정 필요) · 판정 근거 [보기] · [이대로 진행](무조작 통과) · 순서 재정렬 불가</t>
        </is>
      </c>
      <c r="G9" s="9" t="inlineStr">
        <is>
          <t>[이대로 진행] / 섹션별 [되살리기]·[제외하기] / 판정 근거 [보기] / (12월 · 결과물이 썸네일) 섹션별 [대표이미지 지정] · 「로고도 제거」 토글</t>
        </is>
      </c>
      <c r="H9" s="9" t="inlineStr">
        <is>
          <t>N4 번역</t>
        </is>
      </c>
      <c r="I9" s="9" t="inlineStr">
        <is>
          <t>무조작 통과 허용 — 권고 기본값 그대로 진행(전자동과 동일 결과) / 전 섹션 제외 시 진행 차단·안내 / 되살리기 시 원래 판정을 함께 기록(restored_by_user — PL-25) / 순서 재정렬 UI 없음 / 채널 정책 배지는 9월 티저로만 표시(F-LOC-03) / ★결과물이 썸네일이면 대표이미지는 단일 선택이며 미지정으로 진행 가능 · 포함 섹션이 채널의 썸네일 장수 상한을 넘으면 경고(F-THM-04, 12월) / 썸네일 입력이면 원본을 세로로 붙이지 않고 장 단위로 표시(F-THM-03)</t>
        </is>
      </c>
      <c r="J9" s="9" t="inlineStr">
        <is>
          <t>F-SEC-02·03·04·05·06, F-LOC-03, F-CH-06(12월), F-CRP-01a, F-TXT-05, F-THM-03·04·05(12월)</t>
        </is>
      </c>
      <c r="K9" s="6" t="n"/>
      <c r="L9" s="6" t="n"/>
      <c r="M9" s="6" t="n"/>
      <c r="N9" s="6" t="n"/>
      <c r="O9" s="6" t="n"/>
      <c r="P9" s="6" t="n"/>
      <c r="Q9" s="6" t="n"/>
      <c r="R9" s="6" t="n"/>
      <c r="S9" s="6" t="n"/>
      <c r="T9" s="6" t="n"/>
      <c r="U9" s="6" t="n"/>
      <c r="V9" s="6" t="n"/>
      <c r="W9" s="6" t="n"/>
      <c r="X9" s="6" t="n"/>
      <c r="Y9" s="6" t="n"/>
      <c r="Z9" s="6" t="n"/>
    </row>
    <row r="10" ht="72.75" customHeight="1">
      <c r="A10" s="258" t="inlineStr">
        <is>
          <t>N4</t>
        </is>
      </c>
      <c r="B10" s="261" t="inlineStr">
        <is>
          <t>번역 중 (처리)</t>
        </is>
      </c>
      <c r="C10" s="258" t="inlineStr">
        <is>
          <t>O</t>
        </is>
      </c>
      <c r="D10" s="261" t="inlineStr">
        <is>
          <t>인페인팅 ∥ 1차 번역 ∥ 규제 검증 (병렬) → 조판·렌더</t>
        </is>
      </c>
      <c r="E10" s="258" t="inlineStr">
        <is>
          <t>N3 [이대로 진행]</t>
        </is>
      </c>
      <c r="F10" s="261" t="inlineStr">
        <is>
          <t>진행률 + 현재 단계 · 인페인팅 ∥ 1차 번역 ∥ 규제 검증 (병렬) · 공간 제약 번역(렌더 폭 실측 → 조판 조정) · 【12월 · 규격 변경 경로】 이 처리 구간에서 템플릿 매핑(Rule Engine 섹션→모듈) → 2차 번역 파생(선별→압축) → 규제 재검증 → 템플릿 렌더까지 수행 — 별도 화면 없음</t>
        </is>
      </c>
      <c r="G10" s="276" t="inlineStr">
        <is>
          <t>★[중단] — 처리를 멈추고 N3 섹션 확인으로 복귀(F-JOB-08) / S0의 [X] 작업 취소(F-JOB-07)는 작업 전체를 버림</t>
        </is>
      </c>
      <c r="H10" s="276" t="inlineStr">
        <is>
          <t>N5 검수 (완료 시 자동 전환)</t>
        </is>
      </c>
      <c r="I10" s="276" t="inlineStr">
        <is>
          <t>조판 조정(폰트 −10% 상한·줄바꿈)으로 수렴하지 않으면 폭을 넘긴 채 렌더하고 폭 초과로 표시해 검수로 이관(F-TRN-04) / 섹션 단위 부분 실패 시 성공분 유지·해당 섹션만 재시도(F-JOB-06) / 처리 화면은 자동 전환되므로 실패·품질 주의 배지는 N4에 띄우지 않고 N5에서 노출한다(F-INP-01b·F-CFM-05) / ★[중단] 시 버킷 선택이 보존된 채 N3으로 복귀하며 완료된 섹션 산출물은 재사용한다(F-JOB-08) / 인페인팅·번역·규제 검증은 병렬(A-2)</t>
        </is>
      </c>
      <c r="J10" s="276" t="inlineStr">
        <is>
          <t>F-INP-01·01a·01b·01c·01e·02·02a·02b·03, F-STY-01~05, F-BG-01, F-SEC-07, F-TRN-01·02(계열)·03·03a·04·09, F-JOB-05·06·07·08</t>
        </is>
      </c>
      <c r="K10" s="6" t="n"/>
      <c r="L10" s="6" t="n"/>
      <c r="M10" s="6" t="n"/>
      <c r="N10" s="6" t="n"/>
      <c r="O10" s="6" t="n"/>
      <c r="P10" s="6" t="n"/>
      <c r="Q10" s="6" t="n"/>
      <c r="R10" s="6" t="n"/>
      <c r="S10" s="6" t="n"/>
      <c r="T10" s="6" t="n"/>
      <c r="U10" s="6" t="n"/>
      <c r="V10" s="6" t="n"/>
      <c r="W10" s="6" t="n"/>
      <c r="X10" s="6" t="n"/>
      <c r="Y10" s="6" t="n"/>
      <c r="Z10" s="6" t="n"/>
    </row>
    <row r="11" ht="155.25" customHeight="1">
      <c r="A11" s="258" t="inlineStr">
        <is>
          <t>N5</t>
        </is>
      </c>
      <c r="B11" s="261" t="inlineStr">
        <is>
          <t>검수</t>
        </is>
      </c>
      <c r="C11" s="258" t="inlineStr">
        <is>
          <t>O</t>
        </is>
      </c>
      <c r="D11" s="261" t="inlineStr">
        <is>
          <t>원문/번역 대조·수정 — 좌: 초장축 뷰어 / 우: 블록 표. 대조는 경로별 1회. 【9월】 원문 / 1차 번역 【12월】 원문 / 2차 번역(1차 번역 접힘)</t>
        </is>
      </c>
      <c r="E11" s="258" t="inlineStr">
        <is>
          <t>N4 완료</t>
        </is>
      </c>
      <c r="F11" s="261" t="inlineStr">
        <is>
          <t>【좌우 2분할】 좌 = 초장축 뷰어(F-CRP-01a, 화면 세로 전체) — 좌측에 놓이는 「대조용 원본」은 셀러가 올린 파일 그대로가 아니라 포함 섹션만 스택한 표시용 이미지이며, 별도 산출물로 만들지 않고 섹션 이미지와 manifest 오프셋으로 구성한다(썸네일 입력은 세로로 붙이지 않고 장 단위로 개별 나열 — F-THM-03) · 우 = 블록별 표(섹션별 그룹 헤더 · 셀 수정 → 재렌더 + 금지표현 사전 재실행) + 자동 조정 알림(ℹ, 조작 불가) · 폭 초과 표시 · 로컬라이징 근거
【9월 · 규격 그대로】 좌 = 대조용 원본↔제자리 렌더 결과를 한 뷰에서 슬라이더(라벨 「번역 전」/「번역 후」)로 겹쳐 보기 · 우 표 = 원문 / 1차 번역
【12월 · 규격 변경】 좌 = 상하 2단(위: 템플릿 렌더 결과 = 모듈 그리드, 주역 / 아래: 원본 세로, 보조·기본 접힘) · 우 표 = 원문 / 2차 번역, 1차 번역 열은 "원본 규격 번역 보기"로 접힘
★제외 섹션 2종 — 【N3 제외】 좌·우 어디에도 표시하지 않음(원본도 제외분을 뺀 스택 상태), 삭제 내역은 N3·content.csv·manifest에 남음 / 【N5 제외】 회색 오버레이 + 「저장 시 제외됨 · 위아래가 붙습니다」 + [되돌리기]로 자리에 남음. 우측 표의 해당 그룹도 회색·편집 불가. 오버레이는 슬라이더 위치와 무관하게 항상 표시(F-CFM-14)
좌↔우 연동 선택(F-CFM-13): 표 행 클릭 → 뷰어 이동·블록 하이라이트 / 섹션 클릭 → 표 그룹 스크롤 · 인페인팅 경고 배지(처리 실패 / 품질 주의 — F-INP-01b·F-CFM-05)도 같은 선택 상태</t>
        </is>
      </c>
      <c r="G11" s="276" t="inlineStr">
        <is>
          <t>[확정 → 저장] / 전·후 슬라이더 핸들 / ★섹션별 [제외하기]·[되돌리기](F-CFM-14) / [실행 취소](버튼 노출·MVP 무동작, 12월 — F-CFM-03) / 표 행·블록·섹션·배지 클릭(연동 이동·셀 포커스) / (12월) 좌측 하단 원본 펼치기 · "원본 규격 번역 보기" 접기 · 배지 → [마스크 조정]</t>
        </is>
      </c>
      <c r="H11" s="276" t="inlineStr">
        <is>
          <t>N6 저장</t>
        </is>
      </c>
      <c r="I11" s="276" t="inlineStr">
        <is>
          <t>셀 수정 시 재렌더 + 금지표현 사전 자동 재실행 — 위반 검출 시 차단 없이 경고 배지(F-CFM-02, F-TRN-03a) / 미해결 규제 경고가 있는 채로 확정 시 확인을 받고 이력 저장(F-CFM-09) / 자동 조정(폰트 −8% 등)은 알림만, 조작 불가(F-CFM-12) / 조판 조정으로 수렴하지 않은 블록은 폭 초과로 표시하고 "짧은 표현이 필요합니다" 경고 + 직접 수정 안내(F-TRN-04·F-CFM-05) / N3에서 제외한 섹션은 이 화면에 나타나지 않으며 여기서 되살릴 수 없음(되돌림 F-NAV-02는 12월) / ★N5에서 제외한 섹션은 회색으로 남아 [되돌리기]로 복구 가능하고, 전 섹션 제외 시 확정을 차단 / ★[실행 취소]는 버튼만 노출되고 동작하지 않으며 12월 기능임을 툴팁으로 안내(F-CFM-03) — MVP에서 셀 수정을 잘못하면 표에 남은 원문으로 다시 입력해 복구 / 인페인팅 실패·품질 주의 섹션은 배지로만 알리고 9월에는 수정 수단을 제공하지 않음 — 마스크 조정은 12월(F-INP-01e), 그 전까지 대안은 해당 섹션 [제외하기](F-CFM-14) 또는 [X] 작업 취소 / 3단 대조(원문·1차·2차)는 제공하지 않음 — 12월에도 하단 표의 대조는 원문/2차 번역 1회뿐(F-CFM-01)</t>
        </is>
      </c>
      <c r="J11" s="276" t="inlineStr">
        <is>
          <t>F-CFM-01·02·02a·03·04·05·09·12, F-CFM-13·14, F-TRN-03a·04, F-INP-01b, F-CRP-01a, F-THM-03·05(12월)</t>
        </is>
      </c>
      <c r="K11" s="6" t="n"/>
      <c r="L11" s="6" t="n"/>
      <c r="M11" s="6" t="n"/>
      <c r="N11" s="6" t="n"/>
      <c r="O11" s="6" t="n"/>
      <c r="P11" s="6" t="n"/>
      <c r="Q11" s="6" t="n"/>
      <c r="R11" s="6" t="n"/>
      <c r="S11" s="6" t="n"/>
      <c r="T11" s="6" t="n"/>
      <c r="U11" s="6" t="n"/>
      <c r="V11" s="6" t="n"/>
      <c r="W11" s="6" t="n"/>
      <c r="X11" s="6" t="n"/>
      <c r="Y11" s="6" t="n"/>
      <c r="Z11" s="6" t="n"/>
    </row>
    <row r="12" ht="100.5" customHeight="1">
      <c r="A12" s="6" t="inlineStr">
        <is>
          <t>N6</t>
        </is>
      </c>
      <c r="B12" s="262" t="inlineStr">
        <is>
          <t>저장</t>
        </is>
      </c>
      <c r="C12" s="6" t="inlineStr">
        <is>
          <t>O</t>
        </is>
      </c>
      <c r="D12" s="262" t="inlineStr">
        <is>
          <t>산출물 묶음 생성·확정</t>
        </is>
      </c>
      <c r="E12" s="6" t="inlineStr">
        <is>
          <t>N5 확정</t>
        </is>
      </c>
      <c r="F12" s="6" t="inlineStr">
        <is>
          <t>export.zip — images/ · content.csv · html (9월) / ★baked/ (12월 — 텍스트가 구워진 모듈 이미지, F-EXP-07) · psd (12월, 비활성 노출) · 구성요소 체크박스 + 항목별 [↓] · 보관함 카드 생성  ※ manifest.json은 셀러 배포 대상이 아니므로 목록에 없음(서버 생성·보관, F-EXP-03)</t>
        </is>
      </c>
      <c r="G12" s="9" t="inlineStr">
        <is>
          <t>[선택 항목 export.zip 다운로드] (체크한 구성요소를 묶음) / ★항목별 [↓] 개별 다운로드 — 체크와 무관하게 그 항목만, 단일 파일은 파일로 복수 파일 항목(images/·baked/)은 그 항목만 묶은 zip / [저장] (보관함 카드 생성) · psd는 12월 비활성 노출</t>
        </is>
      </c>
      <c r="H12" s="9" t="inlineStr">
        <is>
          <t>M1 보관함 (카드 생성)</t>
        </is>
      </c>
      <c r="I12" s="9" t="inlineStr">
        <is>
          <t>일부 구성요소 생성 실패 시 성공분만 묶고 실패를 명시(F-EXP-01) / 렌더 성공 시에만 완료 전환(F-FIN-03) / 규격 검증 결과는 표시만, 저장 차단 안 함 — MVP는 업로드 없음(F-CH-05) / ★결과물은 규격의 높이·용량 상한에 맞춰 섹션 경계에서 분할하며(썸네일 입력은 원본 장 단위 유지) 순서는 렌더 → 분할 → 규격 검증(F-FIN-01·F-CH-05) — 검수(N5)는 통짜로 보고 분할은 이 화면에서 수행 / ★9월은 포맷·색공간만 판정하고 용량은 미검사로 표시(OI-53) / ★생성 실패했거나 12월 비활성인 항목은 [↓]도 비활성 / ★baked/ 선택 시 모바일 축소·스크린리더 미인식·아마존 정책 확인 필요를 고지(F-EXP-07) / 저장 실패 시 결과물 유지·재시도(F-FIN-03)</t>
        </is>
      </c>
      <c r="J12" s="9" t="inlineStr">
        <is>
          <t>F-FIN-01·01a·01b·02·03, F-EXP-01·02·04·05·06·07(12월) · F-EXP-03은 서버 생성만(배포 제외), F-CH-05·05a, F-LST-02, F-THM-01(12월)</t>
        </is>
      </c>
      <c r="K12" s="6" t="n"/>
      <c r="L12" s="6" t="n"/>
      <c r="M12" s="6" t="n"/>
      <c r="N12" s="6" t="n"/>
      <c r="O12" s="6" t="n"/>
      <c r="P12" s="6" t="n"/>
      <c r="Q12" s="6" t="n"/>
      <c r="R12" s="6" t="n"/>
      <c r="S12" s="6" t="n"/>
      <c r="T12" s="6" t="n"/>
      <c r="U12" s="6" t="n"/>
      <c r="V12" s="6" t="n"/>
      <c r="W12" s="6" t="n"/>
      <c r="X12" s="6" t="n"/>
      <c r="Y12" s="6" t="n"/>
      <c r="Z12" s="6" t="n"/>
    </row>
    <row r="13" ht="45" customHeight="1">
      <c r="A13" s="148" t="inlineStr">
        <is>
          <t>M1</t>
        </is>
      </c>
      <c r="B13" s="149" t="inlineStr">
        <is>
          <t>보관함</t>
        </is>
      </c>
      <c r="C13" s="148" t="inlineStr">
        <is>
          <t>O</t>
        </is>
      </c>
      <c r="D13" s="149" t="inlineStr">
        <is>
          <t>결과물을 카드로 관리하고 내려받음</t>
        </is>
      </c>
      <c r="E13" s="148" t="inlineStr">
        <is>
          <t>N6 저장 완료 / GNB</t>
        </is>
      </c>
      <c r="F13" s="149" t="inlineStr">
        <is>
          <t>상품 카드 목록 · 결과물 상세 · [12월] 카드 선택(체크) · 산출물 묶음/구성요소 선택 다운로드(F-EXP) · [다른 버전 만들기] — 국가/언어/사이트(규격) 선택(12월, F-VER-01)</t>
        </is>
      </c>
      <c r="G13" s="148" t="inlineStr">
        <is>
          <t>- · [12월] [다운로드] [삭제] (선택 0건 시 비활성)</t>
        </is>
      </c>
      <c r="H13" s="148" t="inlineStr">
        <is>
          <t>-</t>
        </is>
      </c>
      <c r="I13" s="148" t="inlineStr">
        <is>
          <t>MVP는 완료 결과물의 조회만 지원 / 선택·다운로드·삭제·신규등록·수정 진입·검색은 12월 / 다운로드·삭제는 선택 경유 단일 경로 / 규격 미준수 결과물 다운로드 시 경고 후 진행(12월)</t>
        </is>
      </c>
      <c r="J13" s="148" t="inlineStr">
        <is>
          <t>F-LST-02 (01·03~09는 12월)</t>
        </is>
      </c>
      <c r="K13" s="6" t="n"/>
      <c r="L13" s="6" t="n"/>
      <c r="M13" s="6" t="n"/>
      <c r="N13" s="6" t="n"/>
      <c r="O13" s="6" t="n"/>
      <c r="P13" s="6" t="n"/>
      <c r="Q13" s="6" t="n"/>
      <c r="R13" s="6" t="n"/>
      <c r="S13" s="6" t="n"/>
      <c r="T13" s="6" t="n"/>
      <c r="U13" s="6" t="n"/>
      <c r="V13" s="6" t="n"/>
      <c r="W13" s="6" t="n"/>
      <c r="X13" s="6" t="n"/>
      <c r="Y13" s="6" t="n"/>
      <c r="Z13" s="6" t="n"/>
    </row>
    <row r="14" ht="58.5" customHeight="1">
      <c r="A14" s="148" t="inlineStr">
        <is>
          <t>M2</t>
        </is>
      </c>
      <c r="B14" s="149" t="inlineStr">
        <is>
          <t>브랜드 정보</t>
        </is>
      </c>
      <c r="C14" s="148" t="inlineStr">
        <is>
          <t>O</t>
        </is>
      </c>
      <c r="D14" s="149" t="inlineStr">
        <is>
          <t>브랜드 공통 기준을 관리</t>
        </is>
      </c>
      <c r="E14" s="148" t="inlineStr">
        <is>
          <t>GNB</t>
        </is>
      </c>
      <c r="F14" s="149" t="inlineStr">
        <is>
          <t>브랜드명(한/영) · 로고 업로드 · 로고 비번역 태깅 · 브랜드 개요 · 핵심 고객층</t>
        </is>
      </c>
      <c r="G14" s="148" t="inlineStr">
        <is>
          <t>[수정] [저장]</t>
        </is>
      </c>
      <c r="H14" s="148" t="inlineStr">
        <is>
          <t>-</t>
        </is>
      </c>
      <c r="I14" s="149" t="inlineStr">
        <is>
          <t>영문명 미등록 시 번역 결과에 한글명이 노출됨을 경고 / MVP는 셀러:브랜드 1:1 / 변경은 새 작업부터 적용</t>
        </is>
      </c>
      <c r="J14" s="148" t="inlineStr">
        <is>
          <t>F-BRD-01~03·05·07 (F-ACC-02·02a는 12월)</t>
        </is>
      </c>
      <c r="K14" s="6" t="n"/>
      <c r="L14" s="6" t="n"/>
      <c r="M14" s="6" t="n"/>
      <c r="N14" s="6" t="n"/>
      <c r="O14" s="6" t="n"/>
      <c r="P14" s="6" t="n"/>
      <c r="Q14" s="6" t="n"/>
      <c r="R14" s="6" t="n"/>
      <c r="S14" s="6" t="n"/>
      <c r="T14" s="6" t="n"/>
      <c r="U14" s="6" t="n"/>
      <c r="V14" s="6" t="n"/>
      <c r="W14" s="6" t="n"/>
      <c r="X14" s="6" t="n"/>
      <c r="Y14" s="6" t="n"/>
      <c r="Z14" s="6" t="n"/>
    </row>
    <row r="15" ht="86.25" customHeight="1">
      <c r="A15" s="155" t="inlineStr">
        <is>
          <t>M3</t>
        </is>
      </c>
      <c r="B15" s="154" t="inlineStr">
        <is>
          <t>작업관리 (셀러 관리자)</t>
        </is>
      </c>
      <c r="C15" s="155" t="inlineStr">
        <is>
          <t>X</t>
        </is>
      </c>
      <c r="D15" s="154" t="inlineStr">
        <is>
          <t>자사 작업 이력을 표로 조회</t>
        </is>
      </c>
      <c r="E15" s="155" t="inlineStr">
        <is>
          <t>GNB (팀 관리자 권한)</t>
        </is>
      </c>
      <c r="F15" s="154" t="inlineStr">
        <is>
          <t>국가/날짜/브랜드/규격 필터 · 이력 테이블 · 페이지네이션 · 작업 상태</t>
        </is>
      </c>
      <c r="G15" s="154" t="inlineStr">
        <is>
          <t>행 클릭 → 해당 단계 이동</t>
        </is>
      </c>
      <c r="H15" s="154" t="inlineStr">
        <is>
          <t>각 단계 화면</t>
        </is>
      </c>
      <c r="I15" s="154" t="inlineStr">
        <is>
          <t>권한 없는 계정 차단 / 삭제된 작업은 이동 비활성</t>
        </is>
      </c>
      <c r="J15" s="155" t="inlineStr">
        <is>
          <t>F-JOB-01~04, F-ACC-03 · v1.4 M2를 이 ID로 이관</t>
        </is>
      </c>
      <c r="K15" s="6" t="n"/>
      <c r="L15" s="6" t="n"/>
      <c r="M15" s="6" t="n"/>
      <c r="N15" s="6" t="n"/>
      <c r="O15" s="6" t="n"/>
      <c r="P15" s="6" t="n"/>
      <c r="Q15" s="6" t="n"/>
      <c r="R15" s="6" t="n"/>
      <c r="S15" s="6" t="n"/>
      <c r="T15" s="6" t="n"/>
      <c r="U15" s="6" t="n"/>
      <c r="V15" s="6" t="n"/>
      <c r="W15" s="6" t="n"/>
      <c r="X15" s="6" t="n"/>
      <c r="Y15" s="6" t="n"/>
      <c r="Z15" s="6" t="n"/>
    </row>
    <row r="16" ht="58.5" customHeight="1">
      <c r="A16" s="155" t="inlineStr">
        <is>
          <t>O1</t>
        </is>
      </c>
      <c r="B16" s="154" t="inlineStr">
        <is>
          <t>운영 대시보드</t>
        </is>
      </c>
      <c r="C16" s="155" t="inlineStr">
        <is>
          <t>X</t>
        </is>
      </c>
      <c r="D16" s="154" t="inlineStr">
        <is>
          <t>서비스 상태·품질·비용을 파악</t>
        </is>
      </c>
      <c r="E16" s="154" t="inlineStr">
        <is>
          <t>관리자 콘솔</t>
        </is>
      </c>
      <c r="F16" s="154" t="inlineStr">
        <is>
          <t>핵심 지표 · 파이프라인 모니터 · 비용·자원 · 품질 지표 · 알림 임계값</t>
        </is>
      </c>
      <c r="G16" s="155" t="inlineStr">
        <is>
          <t>[기간 필터] [분해 기준]</t>
        </is>
      </c>
      <c r="H16" s="154" t="inlineStr">
        <is>
          <t>각 상세 뷰</t>
        </is>
      </c>
      <c r="I16" s="154" t="inlineStr">
        <is>
          <t>집계 지연 시 마지막 갱신 시각 표시 / 표본 부족 시 신뢰도 주의 표시</t>
        </is>
      </c>
      <c r="J16" s="155" t="inlineStr">
        <is>
          <t>A-DSH-01~05 · 전량 12월</t>
        </is>
      </c>
      <c r="K16" s="6" t="n"/>
      <c r="L16" s="6" t="n"/>
      <c r="M16" s="6" t="n"/>
      <c r="N16" s="6" t="n"/>
      <c r="O16" s="6" t="n"/>
      <c r="P16" s="6" t="n"/>
      <c r="Q16" s="6" t="n"/>
      <c r="R16" s="6" t="n"/>
      <c r="S16" s="6" t="n"/>
      <c r="T16" s="6" t="n"/>
      <c r="U16" s="6" t="n"/>
      <c r="V16" s="6" t="n"/>
      <c r="W16" s="6" t="n"/>
      <c r="X16" s="6" t="n"/>
      <c r="Y16" s="6" t="n"/>
      <c r="Z16" s="6" t="n"/>
    </row>
    <row r="17" ht="72.75" customHeight="1">
      <c r="A17" s="155" t="inlineStr">
        <is>
          <t>O2</t>
        </is>
      </c>
      <c r="B17" s="154" t="inlineStr">
        <is>
          <t>작업 운영</t>
        </is>
      </c>
      <c r="C17" s="155" t="inlineStr">
        <is>
          <t>X</t>
        </is>
      </c>
      <c r="D17" s="154" t="inlineStr">
        <is>
          <t>전체 작업을 조회·제어하고 실패를 분석</t>
        </is>
      </c>
      <c r="E17" s="154" t="inlineStr">
        <is>
          <t>관리자 콘솔</t>
        </is>
      </c>
      <c r="F17" s="154" t="inlineStr">
        <is>
          <t>전체 작업 목록 · 재시도·취소 · 긴급 처리 플래그 · 오류 코드별 집계 · 고객 지원 열람 · 공지 배너</t>
        </is>
      </c>
      <c r="G17" s="155" t="inlineStr">
        <is>
          <t>[재시도] [취소] [긴급] [열람]</t>
        </is>
      </c>
      <c r="H17" s="154" t="inlineStr">
        <is>
          <t>작업 상세</t>
        </is>
      </c>
      <c r="I17" s="154" t="inlineStr">
        <is>
          <t>열람 사유 미입력 시 차단 / 민감 정보 마스킹 / 완료 작업은 제어 대상 제외</t>
        </is>
      </c>
      <c r="J17" s="155" t="inlineStr">
        <is>
          <t>A-OPS-01~05 · 전량 12월</t>
        </is>
      </c>
      <c r="K17" s="6" t="n"/>
      <c r="L17" s="6" t="n"/>
      <c r="M17" s="6" t="n"/>
      <c r="N17" s="6" t="n"/>
      <c r="O17" s="6" t="n"/>
      <c r="P17" s="6" t="n"/>
      <c r="Q17" s="6" t="n"/>
      <c r="R17" s="6" t="n"/>
      <c r="S17" s="6" t="n"/>
      <c r="T17" s="6" t="n"/>
      <c r="U17" s="6" t="n"/>
      <c r="V17" s="6" t="n"/>
      <c r="W17" s="6" t="n"/>
      <c r="X17" s="6" t="n"/>
      <c r="Y17" s="6" t="n"/>
      <c r="Z17" s="6" t="n"/>
    </row>
    <row r="18" ht="72.75" customHeight="1">
      <c r="A18" s="148" t="inlineStr">
        <is>
          <t>O3</t>
        </is>
      </c>
      <c r="B18" s="149" t="inlineStr">
        <is>
          <t>마스터 데이터</t>
        </is>
      </c>
      <c r="C18" s="148" t="inlineStr">
        <is>
          <t>X</t>
        </is>
      </c>
      <c r="D18" s="149" t="inlineStr">
        <is>
          <t>규격·사전·용어집·카테고리를 확인하고 관리</t>
        </is>
      </c>
      <c r="E18" s="149" t="inlineStr">
        <is>
          <t>관리자 콘솔</t>
        </is>
      </c>
      <c r="F18" s="148" t="inlineStr">
        <is>
          <t>[12월] 규격 콘솔 · 규제 사전 · 현지 부적합 사전 · 용어집 · 카테고리 마스터 · 변경 이력·롤백 · 규격 변경 템플릿 · 마스터 조회(MVP, 읽기 전용)</t>
        </is>
      </c>
      <c r="G18" s="148" t="inlineStr">
        <is>
          <t>MVP [검색] / 12월 [등록] [수정] [롤백]</t>
        </is>
      </c>
      <c r="H18" s="148" t="inlineStr">
        <is>
          <t>-</t>
        </is>
      </c>
      <c r="I18" s="148" t="inlineStr">
        <is>
          <t>MVP는 화면 없음 — 시드 적재 결과는 DB 직접 조회로 확인</t>
        </is>
      </c>
      <c r="J18" s="148" t="inlineStr">
        <is>
          <t>A-CFG-01~06, F-CH-01, F-TRN-06 · 전량 12월</t>
        </is>
      </c>
      <c r="K18" s="6" t="n"/>
      <c r="L18" s="6" t="n"/>
      <c r="M18" s="6" t="n"/>
      <c r="N18" s="6" t="n"/>
      <c r="O18" s="6" t="n"/>
      <c r="P18" s="6" t="n"/>
      <c r="Q18" s="6" t="n"/>
      <c r="R18" s="6" t="n"/>
      <c r="S18" s="6" t="n"/>
      <c r="T18" s="6" t="n"/>
      <c r="U18" s="6" t="n"/>
      <c r="V18" s="6" t="n"/>
      <c r="W18" s="6" t="n"/>
      <c r="X18" s="6" t="n"/>
      <c r="Y18" s="6" t="n"/>
      <c r="Z18" s="6" t="n"/>
    </row>
    <row r="19" ht="86.25" customHeight="1">
      <c r="A19" s="155" t="inlineStr">
        <is>
          <t>O4</t>
        </is>
      </c>
      <c r="B19" s="154" t="inlineStr">
        <is>
          <t>계정 · 감사</t>
        </is>
      </c>
      <c r="C19" s="155" t="inlineStr">
        <is>
          <t>X</t>
        </is>
      </c>
      <c r="D19" s="154" t="inlineStr">
        <is>
          <t>계정과 권한을 관리하고 감사 로그를 조회</t>
        </is>
      </c>
      <c r="E19" s="154" t="inlineStr">
        <is>
          <t>관리자 콘솔</t>
        </is>
      </c>
      <c r="F19" s="154" t="inlineStr">
        <is>
          <t>셀러 계정 목록 · 정지·해제 · 운영자 역할·권한 · 감사 로그 조회 · 조직/직원 관리</t>
        </is>
      </c>
      <c r="G19" s="155" t="inlineStr">
        <is>
          <t>[정지] [권한 변경]</t>
        </is>
      </c>
      <c r="H19" s="155" t="inlineStr">
        <is>
          <t>-</t>
        </is>
      </c>
      <c r="I19" s="154" t="inlineStr">
        <is>
          <t>마지막 최고 관리자 권한 회수 불가 / 로그 삭제 불가 · 단 감사 로그 기록(A-ACC-03)은 MVP부터 동작</t>
        </is>
      </c>
      <c r="J19" s="155" t="inlineStr">
        <is>
          <t>A-ACC-01·02·03a, F-ORG-01~03 · 화면은 전량 12월</t>
        </is>
      </c>
      <c r="K19" s="6" t="n"/>
      <c r="L19" s="6" t="n"/>
      <c r="M19" s="6" t="n"/>
      <c r="N19" s="6" t="n"/>
      <c r="O19" s="6" t="n"/>
      <c r="P19" s="6" t="n"/>
      <c r="Q19" s="6" t="n"/>
      <c r="R19" s="6" t="n"/>
      <c r="S19" s="6" t="n"/>
      <c r="T19" s="6" t="n"/>
      <c r="U19" s="6" t="n"/>
      <c r="V19" s="6" t="n"/>
      <c r="W19" s="6" t="n"/>
      <c r="X19" s="6" t="n"/>
      <c r="Y19" s="6" t="n"/>
      <c r="Z19" s="6" t="n"/>
    </row>
    <row r="20" ht="58.5" customHeight="1">
      <c r="A20" s="155" t="inlineStr">
        <is>
          <t>O5</t>
        </is>
      </c>
      <c r="B20" s="154" t="inlineStr">
        <is>
          <t>품질 개선</t>
        </is>
      </c>
      <c r="C20" s="155" t="inlineStr">
        <is>
          <t>X</t>
        </is>
      </c>
      <c r="D20" s="154" t="inlineStr">
        <is>
          <t>사용자 수정 신호를 수집·라벨링</t>
        </is>
      </c>
      <c r="E20" s="154" t="inlineStr">
        <is>
          <t>관리자 콘솔</t>
        </is>
      </c>
      <c r="F20" s="154" t="inlineStr">
        <is>
          <t>수집 신호 목록 · 오탐·미탐 라벨링 · 빈발 패턴 집계 · CSV 내보내기</t>
        </is>
      </c>
      <c r="G20" s="155" t="inlineStr">
        <is>
          <t>[라벨링] [내보내기]</t>
        </is>
      </c>
      <c r="H20" s="154" t="inlineStr">
        <is>
          <t>규제 사전·용어집 반영</t>
        </is>
      </c>
      <c r="I20" s="154" t="inlineStr">
        <is>
          <t>개인·브랜드 식별 정보 마스킹 / 표본 부족 시 분석 보류 / 수집은 소급 불가 — OI-35 참조</t>
        </is>
      </c>
      <c r="J20" s="155" t="inlineStr">
        <is>
          <t>A-QA-01~03 · 화면은 전량 12월 이후 — A-QA-01(수집)은 화면 없이 MVP부터 동작한다(02_기능명세 must)</t>
        </is>
      </c>
      <c r="K20" s="6" t="n"/>
      <c r="L20" s="6" t="n"/>
      <c r="M20" s="6" t="n"/>
      <c r="N20" s="6" t="n"/>
      <c r="O20" s="6" t="n"/>
      <c r="P20" s="6" t="n"/>
      <c r="Q20" s="6" t="n"/>
      <c r="R20" s="6" t="n"/>
      <c r="S20" s="6" t="n"/>
      <c r="T20" s="6" t="n"/>
      <c r="U20" s="6" t="n"/>
      <c r="V20" s="6" t="n"/>
      <c r="W20" s="6" t="n"/>
      <c r="X20" s="6" t="n"/>
      <c r="Y20" s="6" t="n"/>
      <c r="Z20" s="6" t="n"/>
    </row>
    <row r="21" ht="58.5" customHeight="1">
      <c r="A21" s="6" t="n"/>
      <c r="B21" s="6" t="n"/>
      <c r="C21" s="6" t="n"/>
      <c r="D21" s="6" t="n"/>
      <c r="E21" s="6" t="n"/>
      <c r="F21" s="6" t="n"/>
      <c r="G21" s="6" t="n"/>
      <c r="H21" s="6" t="n"/>
      <c r="I21" s="6" t="n"/>
      <c r="J21" s="6" t="n"/>
      <c r="K21" s="6" t="n"/>
      <c r="L21" s="6" t="n"/>
      <c r="M21" s="6" t="n"/>
      <c r="N21" s="6" t="n"/>
      <c r="O21" s="6" t="n"/>
      <c r="P21" s="6" t="n"/>
      <c r="Q21" s="6" t="n"/>
      <c r="R21" s="6" t="n"/>
      <c r="S21" s="6" t="n"/>
      <c r="T21" s="6" t="n"/>
      <c r="U21" s="6" t="n"/>
      <c r="V21" s="6" t="n"/>
      <c r="W21" s="6" t="n"/>
      <c r="X21" s="6" t="n"/>
      <c r="Y21" s="6" t="n"/>
      <c r="Z21" s="6" t="n"/>
    </row>
    <row r="22" ht="31.5" customHeight="1">
      <c r="A22" s="161" t="inlineStr">
        <is>
          <t>MVP 열 — O: MVP 포함 / △: 일부 기능만 MVP / X: 12월 이후</t>
        </is>
      </c>
      <c r="B22" s="6" t="n"/>
      <c r="C22" s="6" t="n"/>
      <c r="D22" s="6" t="n"/>
      <c r="E22" s="6" t="n"/>
      <c r="F22" s="6" t="n"/>
      <c r="G22" s="6" t="n"/>
      <c r="H22" s="6" t="n"/>
      <c r="I22" s="6" t="n"/>
      <c r="J22" s="6" t="n"/>
      <c r="K22" s="6" t="n"/>
      <c r="L22" s="6" t="n"/>
      <c r="M22" s="6" t="n"/>
      <c r="N22" s="6" t="n"/>
      <c r="O22" s="6" t="n"/>
      <c r="P22" s="6" t="n"/>
      <c r="Q22" s="6" t="n"/>
      <c r="R22" s="6" t="n"/>
      <c r="S22" s="6" t="n"/>
      <c r="T22" s="6" t="n"/>
      <c r="U22" s="6" t="n"/>
      <c r="V22" s="6" t="n"/>
      <c r="W22" s="6" t="n"/>
      <c r="X22" s="6" t="n"/>
      <c r="Y22" s="6" t="n"/>
      <c r="Z22" s="6" t="n"/>
    </row>
    <row r="23" ht="31.5" customHeight="1">
      <c r="A23" s="6" t="n"/>
      <c r="B23" s="6" t="n"/>
      <c r="C23" s="6" t="n"/>
      <c r="D23" s="6" t="n"/>
      <c r="E23" s="6" t="n"/>
      <c r="F23" s="6" t="n"/>
      <c r="G23" s="6" t="n"/>
      <c r="H23" s="6" t="n"/>
      <c r="I23" s="6" t="n"/>
      <c r="J23" s="6" t="n"/>
      <c r="K23" s="6" t="n"/>
      <c r="L23" s="6" t="n"/>
      <c r="M23" s="6" t="n"/>
      <c r="N23" s="6" t="n"/>
      <c r="O23" s="6" t="n"/>
      <c r="P23" s="6" t="n"/>
      <c r="Q23" s="6" t="n"/>
      <c r="R23" s="6" t="n"/>
      <c r="S23" s="6" t="n"/>
      <c r="T23" s="6" t="n"/>
      <c r="U23" s="6" t="n"/>
      <c r="V23" s="6" t="n"/>
      <c r="W23" s="6" t="n"/>
      <c r="X23" s="6" t="n"/>
      <c r="Y23" s="6" t="n"/>
      <c r="Z23" s="6" t="n"/>
    </row>
    <row r="24" ht="31.5" customHeight="1">
      <c r="A24" s="6" t="inlineStr">
        <is>
          <t>※ 12월(규격 변경) 활성화 시 화면 변화 — 새 화면은 생기지 않는다(변경안 §7 "화면 구조를 바꾸지 않고 데이터만 켜지는 형태"):</t>
        </is>
      </c>
      <c r="B24" s="6" t="n"/>
      <c r="C24" s="6" t="n"/>
      <c r="D24" s="6" t="n"/>
      <c r="E24" s="6" t="n"/>
      <c r="F24" s="6" t="n"/>
      <c r="G24" s="6" t="n"/>
      <c r="H24" s="6" t="n"/>
      <c r="I24" s="6" t="n"/>
      <c r="J24" s="6" t="n"/>
      <c r="K24" s="6" t="n"/>
      <c r="L24" s="6" t="n"/>
      <c r="M24" s="6" t="n"/>
      <c r="N24" s="6" t="n"/>
      <c r="O24" s="6" t="n"/>
      <c r="P24" s="6" t="n"/>
      <c r="Q24" s="6" t="n"/>
      <c r="R24" s="6" t="n"/>
      <c r="S24" s="6" t="n"/>
      <c r="T24" s="6" t="n"/>
      <c r="U24" s="6" t="n"/>
      <c r="V24" s="6" t="n"/>
      <c r="W24" s="6" t="n"/>
      <c r="X24" s="6" t="n"/>
      <c r="Y24" s="6" t="n"/>
      <c r="Z24" s="6" t="n"/>
    </row>
    <row r="25" ht="31.5" customHeight="1">
      <c r="A25" s="6" t="inlineStr">
        <is>
          <t xml:space="preserve">   N1 비활성 규격(사이트별·커스텀) 활성화 · N3 채널 정책 배지 티저→실판정 승격 · N4 처리에 템플릿 매핑→2차 번역→재검증→템플릿 렌더 추가 · N5 좌측이 슬라이더에서 상하 2단(위 템플릿 렌더·아래 원본 접힘)으로, 우측 표가 원문/2차 번역으로 전환(1차 번역 열은 "원본 규격 번역 보기"로 접힘) · 섹션↔모듈 하이라이트 연동 활성화(F-CFM-13) · N6 baked/·psd 활성화 · N5 표 그룹 헤더가 섹션별→모듈별로 전환</t>
        </is>
      </c>
      <c r="B25" s="6" t="n"/>
      <c r="C25" s="6" t="n"/>
      <c r="D25" s="6" t="n"/>
      <c r="E25" s="6" t="n"/>
      <c r="F25" s="6" t="n"/>
      <c r="G25" s="6" t="n"/>
      <c r="H25" s="6" t="n"/>
      <c r="I25" s="6" t="n"/>
      <c r="J25" s="6" t="n"/>
      <c r="K25" s="6" t="n"/>
      <c r="L25" s="6" t="n"/>
      <c r="M25" s="6" t="n"/>
      <c r="N25" s="6" t="n"/>
      <c r="O25" s="6" t="n"/>
      <c r="P25" s="6" t="n"/>
      <c r="Q25" s="6" t="n"/>
      <c r="R25" s="6" t="n"/>
      <c r="S25" s="6" t="n"/>
      <c r="T25" s="6" t="n"/>
      <c r="U25" s="6" t="n"/>
      <c r="V25" s="6" t="n"/>
      <c r="W25" s="6" t="n"/>
      <c r="X25" s="6" t="n"/>
      <c r="Y25" s="6" t="n"/>
      <c r="Z25" s="6" t="n"/>
    </row>
    <row r="26" ht="45" customHeight="1">
      <c r="A26" s="262" t="inlineStr">
        <is>
          <t>※ 다른 버전 만들기(F-VER-01) 재진입 흐름: M1 카드 → 국가/언어/규격 선택(N1 재진입·기존 값 프리셋) → 상시 재사용(OCR·섹션 분해·인페인팅) 위에 바뀐 축만 재실행 —</t>
        </is>
      </c>
      <c r="B26" s="6" t="n"/>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c r="Y26" s="6" t="n"/>
      <c r="Z26" s="6" t="n"/>
    </row>
    <row r="27" ht="31.5" customHeight="1">
      <c r="A27" s="262" t="inlineStr">
        <is>
          <t xml:space="preserve">   규격만 변경: N2·N3 건너뛰고 처리→N5(템플릿 위 검수)→N6 / 국가·분류 변경: 재판정 후 N3 재개입(직전 선택 프리셋) / 언어 변경: 1차 번역 재생성 후 N5→N6</t>
        </is>
      </c>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c r="X27" s="6" t="n"/>
      <c r="Y27" s="6" t="n"/>
      <c r="Z27" s="6" t="n"/>
    </row>
    <row r="28" ht="31.5" customHeight="1"/>
    <row r="29" ht="17.25" customHeight="1">
      <c r="A29" s="6" t="inlineStr">
        <is>
          <t>※ 구 화면 체계(v2.5의 S1~S8)는 v3.0에서 폐기. 대응 관계 — S1 원본 등록 → N1 입력 / S2 크롭 → 폐기(크롭 축 삭제) / S3 배치 → 폐기(배치 캔버스 삭제) / S4 처리 → N4 번역(처리) / S5 타겟 설정·1차 피드백 → 조건 선택은 N1, 원문 수정 축은 폐기 / S6 번역 → N4 번역(처리) / S7 2차 피드백 → N5 검수 / S8 최종 합성·확정 → N6 저장. S0(프로세스 바)는 유효 ID로 유지. 각 화면에서 폐기된 기능은 12_폐기기능 시트 참조.</t>
        </is>
      </c>
    </row>
    <row r="30" ht="100.5" customHeight="1"/>
    <row r="31" ht="17.25" customHeight="1"/>
    <row r="32" ht="196.5" customHeight="1"/>
    <row r="33" ht="321" customHeight="1"/>
    <row r="34" ht="252" customHeight="1"/>
    <row r="35" ht="238.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 customHeight="1"/>
    <row r="1002" ht="15" customHeight="1"/>
    <row r="1003" ht="15" customHeight="1"/>
    <row r="1004" ht="15" customHeight="1"/>
    <row r="1005" ht="15" customHeight="1"/>
    <row r="1006" ht="15" customHeight="1"/>
  </sheetData>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Z68"/>
  <sheetViews>
    <sheetView showGridLines="0" zoomScaleNormal="100" workbookViewId="0">
      <selection activeCell="A1" sqref="A1"/>
    </sheetView>
  </sheetViews>
  <sheetFormatPr baseColWidth="8" defaultColWidth="14.42578125" defaultRowHeight="15"/>
  <cols>
    <col width="16" customWidth="1" min="1" max="1"/>
    <col width="30" customWidth="1" min="2" max="2"/>
    <col width="96" customWidth="1" min="3" max="3"/>
    <col width="36" customWidth="1" min="4" max="4"/>
    <col width="10" customWidth="1" min="5" max="5"/>
    <col width="8.7109375" customWidth="1" min="6" max="6"/>
  </cols>
  <sheetData>
    <row r="1" ht="21" customHeight="1">
      <c r="A1" s="17" t="inlineStr">
        <is>
          <t>05. 작업 상태 및 비즈니스 정책 — v3.2.1</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5" customHeight="1">
      <c r="A2" s="19" t="inlineStr">
        <is>
          <t>★연녹 = v3.0 신규 · 연노랑 = v3.0 수정 · 연빨강+취소선 = v3.0 삭제 · (연보라 = v2.5 · 주황 = v2.4)</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ht="15" customHeight="1">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ht="17.25" customHeight="1">
      <c r="A4" s="146" t="inlineStr">
        <is>
          <t>작업 상태</t>
        </is>
      </c>
      <c r="B4" s="146" t="inlineStr">
        <is>
          <t>진입 조건</t>
        </is>
      </c>
      <c r="C4" s="146" t="inlineStr">
        <is>
          <t>의미</t>
        </is>
      </c>
      <c r="D4" s="146" t="inlineStr">
        <is>
          <t>다음 가능 상태</t>
        </is>
      </c>
      <c r="E4" s="6" t="n"/>
      <c r="F4" s="6" t="n"/>
      <c r="G4" s="6" t="n"/>
      <c r="H4" s="6" t="n"/>
      <c r="I4" s="6" t="n"/>
      <c r="J4" s="6" t="n"/>
      <c r="K4" s="6" t="n"/>
      <c r="L4" s="6" t="n"/>
      <c r="M4" s="6" t="n"/>
      <c r="N4" s="6" t="n"/>
      <c r="O4" s="6" t="n"/>
      <c r="P4" s="6" t="n"/>
      <c r="Q4" s="6" t="n"/>
      <c r="R4" s="6" t="n"/>
      <c r="S4" s="6" t="n"/>
      <c r="T4" s="6" t="n"/>
      <c r="U4" s="6" t="n"/>
      <c r="V4" s="6" t="n"/>
      <c r="W4" s="6" t="n"/>
      <c r="X4" s="6" t="n"/>
      <c r="Y4" s="6" t="n"/>
      <c r="Z4" s="6" t="n"/>
    </row>
    <row r="5" ht="31.5" customHeight="1">
      <c r="A5" s="149" t="inlineStr">
        <is>
          <t>생성됨 (created)</t>
        </is>
      </c>
      <c r="B5" s="148" t="inlineStr">
        <is>
          <t>N1 완료</t>
        </is>
      </c>
      <c r="C5" s="149" t="inlineStr">
        <is>
          <t>원본·조건(국가·규제분류·규격) 등록 완료</t>
        </is>
      </c>
      <c r="D5" s="149" t="inlineStr">
        <is>
          <t>분석중 / 취소</t>
        </is>
      </c>
      <c r="E5" s="6" t="n"/>
      <c r="F5" s="6" t="n"/>
      <c r="G5" s="6" t="n"/>
      <c r="H5" s="6" t="n"/>
      <c r="I5" s="6" t="n"/>
      <c r="J5" s="6" t="n"/>
      <c r="K5" s="6" t="n"/>
      <c r="L5" s="6" t="n"/>
      <c r="M5" s="6" t="n"/>
      <c r="N5" s="6" t="n"/>
      <c r="O5" s="6" t="n"/>
      <c r="P5" s="6" t="n"/>
      <c r="Q5" s="6" t="n"/>
      <c r="R5" s="6" t="n"/>
      <c r="S5" s="6" t="n"/>
      <c r="T5" s="6" t="n"/>
      <c r="U5" s="6" t="n"/>
      <c r="V5" s="6" t="n"/>
      <c r="W5" s="6" t="n"/>
      <c r="X5" s="6" t="n"/>
      <c r="Y5" s="6" t="n"/>
      <c r="Z5" s="6" t="n"/>
    </row>
    <row r="6" ht="31.5" customHeight="1">
      <c r="A6" s="149" t="inlineStr">
        <is>
          <t>분석중 (analyzing)</t>
        </is>
      </c>
      <c r="B6" s="148" t="inlineStr">
        <is>
          <t>N2 진입</t>
        </is>
      </c>
      <c r="C6" s="149" t="inlineStr">
        <is>
          <t>전체 OCR·섹션 분해·판정 실행 — 비동기</t>
        </is>
      </c>
      <c r="D6" s="149" t="inlineStr">
        <is>
          <t>섹션확인 / 오류</t>
        </is>
      </c>
      <c r="E6" s="6" t="n"/>
      <c r="F6" s="6" t="n"/>
      <c r="G6" s="6" t="n"/>
      <c r="H6" s="6" t="n"/>
      <c r="I6" s="6" t="n"/>
      <c r="J6" s="6" t="n"/>
      <c r="K6" s="6" t="n"/>
      <c r="L6" s="6" t="n"/>
      <c r="M6" s="6" t="n"/>
      <c r="N6" s="6" t="n"/>
      <c r="O6" s="6" t="n"/>
      <c r="P6" s="6" t="n"/>
      <c r="Q6" s="6" t="n"/>
      <c r="R6" s="6" t="n"/>
      <c r="S6" s="6" t="n"/>
      <c r="T6" s="6" t="n"/>
      <c r="U6" s="6" t="n"/>
      <c r="V6" s="6" t="n"/>
      <c r="W6" s="6" t="n"/>
      <c r="X6" s="6" t="n"/>
      <c r="Y6" s="6" t="n"/>
      <c r="Z6" s="6" t="n"/>
    </row>
    <row r="7" ht="31.5" customHeight="1">
      <c r="A7" s="149" t="inlineStr">
        <is>
          <t>섹션확인 (section_review)</t>
        </is>
      </c>
      <c r="B7" s="148" t="inlineStr">
        <is>
          <t>N2 완료</t>
        </is>
      </c>
      <c r="C7" s="283" t="inlineStr">
        <is>
          <t>N3 섹션 확인 대기 (되살리기/제외)</t>
        </is>
      </c>
      <c r="D7" s="149" t="inlineStr">
        <is>
          <t>번역중 / 취소</t>
        </is>
      </c>
      <c r="E7" s="6" t="n"/>
      <c r="F7" s="6" t="n"/>
      <c r="G7" s="6" t="n"/>
      <c r="H7" s="6" t="n"/>
      <c r="I7" s="6" t="n"/>
      <c r="J7" s="6" t="n"/>
      <c r="K7" s="6" t="n"/>
      <c r="L7" s="6" t="n"/>
      <c r="M7" s="6" t="n"/>
      <c r="N7" s="6" t="n"/>
      <c r="O7" s="6" t="n"/>
      <c r="P7" s="6" t="n"/>
      <c r="Q7" s="6" t="n"/>
      <c r="R7" s="6" t="n"/>
      <c r="S7" s="6" t="n"/>
      <c r="T7" s="6" t="n"/>
      <c r="U7" s="6" t="n"/>
      <c r="V7" s="6" t="n"/>
      <c r="W7" s="6" t="n"/>
      <c r="X7" s="6" t="n"/>
      <c r="Y7" s="6" t="n"/>
      <c r="Z7" s="6" t="n"/>
    </row>
    <row r="8" ht="31.5" customHeight="1">
      <c r="A8" s="149" t="inlineStr">
        <is>
          <t>번역중 (translating)</t>
        </is>
      </c>
      <c r="B8" s="148" t="inlineStr">
        <is>
          <t>N3 [이대로 진행]</t>
        </is>
      </c>
      <c r="C8" s="149" t="inlineStr">
        <is>
          <t>인페인팅 ∥ 1차 번역 ∥ 규제 검증 → 조판·렌더 — 비동기</t>
        </is>
      </c>
      <c r="D8" s="149" t="inlineStr">
        <is>
          <t>검수 / 오류</t>
        </is>
      </c>
      <c r="E8" s="6" t="n"/>
      <c r="F8" s="6" t="n"/>
      <c r="G8" s="6" t="n"/>
      <c r="H8" s="6" t="n"/>
      <c r="I8" s="6" t="n"/>
      <c r="J8" s="6" t="n"/>
      <c r="K8" s="6" t="n"/>
      <c r="L8" s="6" t="n"/>
      <c r="M8" s="6" t="n"/>
      <c r="N8" s="6" t="n"/>
      <c r="O8" s="6" t="n"/>
      <c r="P8" s="6" t="n"/>
      <c r="Q8" s="6" t="n"/>
      <c r="R8" s="6" t="n"/>
      <c r="S8" s="6" t="n"/>
      <c r="T8" s="6" t="n"/>
      <c r="U8" s="6" t="n"/>
      <c r="V8" s="6" t="n"/>
      <c r="W8" s="6" t="n"/>
      <c r="X8" s="6" t="n"/>
      <c r="Y8" s="6" t="n"/>
      <c r="Z8" s="6" t="n"/>
    </row>
    <row r="9" ht="31.5" customHeight="1">
      <c r="A9" s="149" t="inlineStr">
        <is>
          <t>검수 (reviewing)</t>
        </is>
      </c>
      <c r="B9" s="148" t="inlineStr">
        <is>
          <t>N4 완료</t>
        </is>
      </c>
      <c r="C9" s="148" t="inlineStr">
        <is>
          <t>N5 검수 표 수정 대기</t>
        </is>
      </c>
      <c r="D9" s="149" t="inlineStr">
        <is>
          <t>완료 / 취소</t>
        </is>
      </c>
      <c r="E9" s="6" t="n"/>
      <c r="F9" s="6" t="n"/>
      <c r="G9" s="6" t="n"/>
      <c r="H9" s="6" t="n"/>
      <c r="I9" s="6" t="n"/>
      <c r="J9" s="6" t="n"/>
      <c r="K9" s="6" t="n"/>
      <c r="L9" s="6" t="n"/>
      <c r="M9" s="6" t="n"/>
      <c r="N9" s="6" t="n"/>
      <c r="O9" s="6" t="n"/>
      <c r="P9" s="6" t="n"/>
      <c r="Q9" s="6" t="n"/>
      <c r="R9" s="6" t="n"/>
      <c r="S9" s="6" t="n"/>
      <c r="T9" s="6" t="n"/>
      <c r="U9" s="6" t="n"/>
      <c r="V9" s="6" t="n"/>
      <c r="W9" s="6" t="n"/>
      <c r="X9" s="6" t="n"/>
      <c r="Y9" s="6" t="n"/>
      <c r="Z9" s="6" t="n"/>
    </row>
    <row r="10" ht="31.5" customHeight="1">
      <c r="A10" s="149" t="inlineStr">
        <is>
          <t>완료 (completed)</t>
        </is>
      </c>
      <c r="B10" s="148" t="inlineStr">
        <is>
          <t>N6 확인</t>
        </is>
      </c>
      <c r="C10" s="149" t="inlineStr">
        <is>
          <t>산출물 묶음 확정. 보관함에 카드 생성</t>
        </is>
      </c>
      <c r="D10" s="283" t="inlineStr">
        <is>
          <t>-</t>
        </is>
      </c>
      <c r="E10" s="6" t="n"/>
      <c r="F10" s="6" t="n"/>
      <c r="G10" s="6" t="n"/>
      <c r="H10" s="6" t="n"/>
      <c r="I10" s="6" t="n"/>
      <c r="J10" s="6" t="n"/>
      <c r="K10" s="6" t="n"/>
      <c r="L10" s="6" t="n"/>
      <c r="M10" s="6" t="n"/>
      <c r="N10" s="6" t="n"/>
      <c r="O10" s="6" t="n"/>
      <c r="P10" s="6" t="n"/>
      <c r="Q10" s="6" t="n"/>
      <c r="R10" s="6" t="n"/>
      <c r="S10" s="6" t="n"/>
      <c r="T10" s="6" t="n"/>
      <c r="U10" s="6" t="n"/>
      <c r="V10" s="6" t="n"/>
      <c r="W10" s="6" t="n"/>
      <c r="X10" s="6" t="n"/>
      <c r="Y10" s="6" t="n"/>
      <c r="Z10" s="6" t="n"/>
    </row>
    <row r="11" ht="17.25" customHeight="1">
      <c r="A11" s="149" t="inlineStr">
        <is>
          <t>오류 (error)</t>
        </is>
      </c>
      <c r="B11" s="149" t="inlineStr">
        <is>
          <t>재시도 소진</t>
        </is>
      </c>
      <c r="C11" s="149" t="inlineStr">
        <is>
          <t>실패 사유 표시, 해당 단계 재시도 가능</t>
        </is>
      </c>
      <c r="D11" s="149" t="inlineStr">
        <is>
          <t>분석중 / 번역중</t>
        </is>
      </c>
      <c r="E11" s="6" t="n"/>
      <c r="F11" s="6" t="n"/>
      <c r="G11" s="6" t="n"/>
      <c r="H11" s="6" t="n"/>
      <c r="I11" s="6" t="n"/>
      <c r="J11" s="6" t="n"/>
      <c r="K11" s="6" t="n"/>
      <c r="L11" s="6" t="n"/>
      <c r="M11" s="6" t="n"/>
      <c r="N11" s="6" t="n"/>
      <c r="O11" s="6" t="n"/>
      <c r="P11" s="6" t="n"/>
      <c r="Q11" s="6" t="n"/>
      <c r="R11" s="6" t="n"/>
      <c r="S11" s="6" t="n"/>
      <c r="T11" s="6" t="n"/>
      <c r="U11" s="6" t="n"/>
      <c r="V11" s="6" t="n"/>
      <c r="W11" s="6" t="n"/>
      <c r="X11" s="6" t="n"/>
      <c r="Y11" s="6" t="n"/>
      <c r="Z11" s="6" t="n"/>
    </row>
    <row r="12" ht="31.5" customHeight="1">
      <c r="A12" s="149" t="inlineStr">
        <is>
          <t>취소 (cancelled)</t>
        </is>
      </c>
      <c r="B12" s="149" t="inlineStr">
        <is>
          <t>사용자 취소</t>
        </is>
      </c>
      <c r="C12" s="149" t="inlineStr">
        <is>
          <t>작업 중단 및 리소스 정리</t>
        </is>
      </c>
      <c r="D12" s="283" t="inlineStr">
        <is>
          <t>-</t>
        </is>
      </c>
      <c r="E12" s="6" t="n"/>
      <c r="F12" s="6" t="n"/>
      <c r="G12" s="6" t="n"/>
      <c r="H12" s="6" t="n"/>
      <c r="I12" s="6" t="n"/>
      <c r="J12" s="6" t="n"/>
      <c r="K12" s="6" t="n"/>
      <c r="L12" s="6" t="n"/>
      <c r="M12" s="6" t="n"/>
      <c r="N12" s="6" t="n"/>
      <c r="O12" s="6" t="n"/>
      <c r="P12" s="6" t="n"/>
      <c r="Q12" s="6" t="n"/>
      <c r="R12" s="6" t="n"/>
      <c r="S12" s="6" t="n"/>
      <c r="T12" s="6" t="n"/>
      <c r="U12" s="6" t="n"/>
      <c r="V12" s="6" t="n"/>
      <c r="W12" s="6" t="n"/>
      <c r="X12" s="6" t="n"/>
      <c r="Y12" s="6" t="n"/>
      <c r="Z12" s="6" t="n"/>
    </row>
    <row r="13" ht="17.25" customHeight="1">
      <c r="A13" s="149" t="n"/>
      <c r="B13" s="149" t="n"/>
      <c r="C13" s="149" t="n"/>
      <c r="D13" s="148" t="n"/>
      <c r="E13" s="6" t="n"/>
      <c r="F13" s="6" t="n"/>
      <c r="G13" s="6" t="n"/>
      <c r="H13" s="6" t="n"/>
      <c r="I13" s="6" t="n"/>
      <c r="J13" s="6" t="n"/>
      <c r="K13" s="6" t="n"/>
      <c r="L13" s="6" t="n"/>
      <c r="M13" s="6" t="n"/>
      <c r="N13" s="6" t="n"/>
      <c r="O13" s="6" t="n"/>
      <c r="P13" s="6" t="n"/>
      <c r="Q13" s="6" t="n"/>
      <c r="R13" s="6" t="n"/>
      <c r="S13" s="6" t="n"/>
      <c r="T13" s="6" t="n"/>
      <c r="U13" s="6" t="n"/>
      <c r="V13" s="6" t="n"/>
      <c r="W13" s="6" t="n"/>
      <c r="X13" s="6" t="n"/>
      <c r="Y13" s="6" t="n"/>
      <c r="Z13" s="6" t="n"/>
    </row>
    <row r="14" ht="17.25" customHeight="1">
      <c r="A14" s="6" t="n"/>
      <c r="B14" s="6" t="n"/>
      <c r="C14" s="6" t="n"/>
      <c r="D14" s="6" t="n"/>
      <c r="E14" s="6" t="n"/>
      <c r="F14" s="6" t="n"/>
      <c r="G14" s="6" t="n"/>
      <c r="H14" s="6" t="n"/>
      <c r="I14" s="6" t="n"/>
      <c r="J14" s="6" t="n"/>
      <c r="K14" s="6" t="n"/>
      <c r="L14" s="6" t="n"/>
      <c r="M14" s="6" t="n"/>
      <c r="N14" s="6" t="n"/>
      <c r="O14" s="6" t="n"/>
      <c r="P14" s="6" t="n"/>
      <c r="Q14" s="6" t="n"/>
      <c r="R14" s="6" t="n"/>
      <c r="S14" s="6" t="n"/>
      <c r="T14" s="6" t="n"/>
      <c r="U14" s="6" t="n"/>
      <c r="V14" s="6" t="n"/>
      <c r="W14" s="6" t="n"/>
      <c r="X14" s="6" t="n"/>
      <c r="Y14" s="6" t="n"/>
      <c r="Z14" s="6" t="n"/>
    </row>
    <row r="15" ht="100.5" customHeight="1">
      <c r="A15" s="284" t="inlineStr">
        <is>
          <t>※ v3.0 재정의 (8종 — 구 9종에서 배치중·원문확인 폐지, 분석중·섹션확인 신설). MVP는 단일 세션 전제 유지.</t>
        </is>
      </c>
      <c r="B15" s="6" t="n"/>
      <c r="C15" s="6" t="n"/>
      <c r="D15" s="6" t="n"/>
      <c r="E15" s="6" t="n"/>
      <c r="F15" s="6" t="n"/>
      <c r="G15" s="6" t="n"/>
      <c r="H15" s="6" t="n"/>
      <c r="I15" s="6" t="n"/>
      <c r="J15" s="6" t="n"/>
      <c r="K15" s="6" t="n"/>
      <c r="L15" s="6" t="n"/>
      <c r="M15" s="6" t="n"/>
      <c r="N15" s="6" t="n"/>
      <c r="O15" s="6" t="n"/>
      <c r="P15" s="6" t="n"/>
      <c r="Q15" s="6" t="n"/>
      <c r="R15" s="6" t="n"/>
      <c r="S15" s="6" t="n"/>
      <c r="T15" s="6" t="n"/>
      <c r="U15" s="6" t="n"/>
      <c r="V15" s="6" t="n"/>
      <c r="W15" s="6" t="n"/>
      <c r="X15" s="6" t="n"/>
      <c r="Y15" s="6" t="n"/>
      <c r="Z15" s="6" t="n"/>
    </row>
    <row r="16" ht="321" customHeight="1">
      <c r="A16" s="285" t="inlineStr">
        <is>
          <t>※ 취소(F-JOB-07)는 작업(상품 1건의 N1~N6) 전체를 종료하며 되돌아올 수 없다. 진입점은 S0 프로세스 바의 [X]이며 전 화면 고정이다(N1은 예외 — 「보관함으로 나가기」). ★처리 화면(N2·N4)의 [중단]은 취소가 아니라 F-JOB-08로, 진행 중인 처리만 멈추고 직전 화면(N1·N3)으로 돌아가며 작업은 남는다 — 되돌릴 수 있는 동작이다. 확인 다이얼로그가 삭제 대상을 항목별로 열거한다. MVP의 후퇴 수단은 처리 중단·복귀(F-JOB-08), 검수 중 섹션 제외(F-CFM-14), 그리고 [X] 취소 셋이다. 되돌림(F-NAV-02)·재인페인팅(F-INP-01e)·미완료 저장(F-LST-08)·실행 취소(F-CFM-03)는 모두 12월이며, 도입되면 취소는 최후 수단이 된다. — v2.4</t>
        </is>
      </c>
      <c r="B16" s="6" t="n"/>
      <c r="C16" s="6" t="n"/>
      <c r="D16" s="6" t="n"/>
      <c r="E16" s="6" t="n"/>
      <c r="F16" s="6" t="n"/>
      <c r="G16" s="6" t="n"/>
      <c r="H16" s="6" t="n"/>
      <c r="I16" s="6" t="n"/>
      <c r="J16" s="6" t="n"/>
      <c r="K16" s="6" t="n"/>
      <c r="L16" s="6" t="n"/>
      <c r="M16" s="6" t="n"/>
      <c r="N16" s="6" t="n"/>
      <c r="O16" s="6" t="n"/>
      <c r="P16" s="6" t="n"/>
      <c r="Q16" s="6" t="n"/>
      <c r="R16" s="6" t="n"/>
      <c r="S16" s="6" t="n"/>
      <c r="T16" s="6" t="n"/>
      <c r="U16" s="6" t="n"/>
      <c r="V16" s="6" t="n"/>
      <c r="W16" s="6" t="n"/>
      <c r="X16" s="6" t="n"/>
      <c r="Y16" s="6" t="n"/>
      <c r="Z16" s="6" t="n"/>
    </row>
    <row r="17" ht="17.25" customHeight="1">
      <c r="A17" s="6" t="n"/>
      <c r="B17" s="6" t="n"/>
      <c r="C17" s="6" t="n"/>
      <c r="D17" s="6" t="n"/>
      <c r="E17" s="6" t="n"/>
      <c r="F17" s="6" t="n"/>
      <c r="G17" s="6" t="n"/>
      <c r="H17" s="6" t="n"/>
      <c r="I17" s="6" t="n"/>
      <c r="J17" s="6" t="n"/>
      <c r="K17" s="6" t="n"/>
      <c r="L17" s="6" t="n"/>
      <c r="M17" s="6" t="n"/>
      <c r="N17" s="6" t="n"/>
      <c r="O17" s="6" t="n"/>
      <c r="P17" s="6" t="n"/>
      <c r="Q17" s="6" t="n"/>
      <c r="R17" s="6" t="n"/>
      <c r="S17" s="6" t="n"/>
      <c r="T17" s="6" t="n"/>
      <c r="U17" s="6" t="n"/>
      <c r="V17" s="6" t="n"/>
      <c r="W17" s="6" t="n"/>
      <c r="X17" s="6" t="n"/>
      <c r="Y17" s="6" t="n"/>
      <c r="Z17" s="6" t="n"/>
    </row>
    <row r="18" ht="31.5" customHeight="1">
      <c r="A18" s="167" t="inlineStr">
        <is>
          <t>사용자용 상태 (API 응답)</t>
        </is>
      </c>
      <c r="B18" s="168" t="inlineStr">
        <is>
          <t>DB status</t>
        </is>
      </c>
      <c r="C18" s="168" t="inlineStr">
        <is>
          <t>DB current_step</t>
        </is>
      </c>
      <c r="D18" s="167" t="inlineStr">
        <is>
          <t>비고</t>
        </is>
      </c>
      <c r="E18" s="6" t="n"/>
      <c r="F18" s="6" t="n"/>
      <c r="G18" s="6" t="n"/>
      <c r="H18" s="6" t="n"/>
      <c r="I18" s="6" t="n"/>
      <c r="J18" s="6" t="n"/>
      <c r="K18" s="6" t="n"/>
      <c r="L18" s="6" t="n"/>
      <c r="M18" s="6" t="n"/>
      <c r="N18" s="6" t="n"/>
      <c r="O18" s="6" t="n"/>
      <c r="P18" s="6" t="n"/>
      <c r="Q18" s="6" t="n"/>
      <c r="R18" s="6" t="n"/>
      <c r="S18" s="6" t="n"/>
      <c r="T18" s="6" t="n"/>
      <c r="U18" s="6" t="n"/>
      <c r="V18" s="6" t="n"/>
      <c r="W18" s="6" t="n"/>
      <c r="X18" s="6" t="n"/>
      <c r="Y18" s="6" t="n"/>
      <c r="Z18" s="6" t="n"/>
    </row>
    <row r="19" ht="17.25" customHeight="1">
      <c r="A19" s="149" t="inlineStr">
        <is>
          <t>생성됨</t>
        </is>
      </c>
      <c r="B19" s="148" t="inlineStr">
        <is>
          <t>draft</t>
        </is>
      </c>
      <c r="C19" s="148" t="inlineStr">
        <is>
          <t>N1</t>
        </is>
      </c>
      <c r="D19" s="149" t="n"/>
      <c r="E19" s="6" t="n"/>
      <c r="F19" s="6" t="n"/>
      <c r="G19" s="6" t="n"/>
      <c r="H19" s="6" t="n"/>
      <c r="I19" s="6" t="n"/>
      <c r="J19" s="6" t="n"/>
      <c r="K19" s="6" t="n"/>
      <c r="L19" s="6" t="n"/>
      <c r="M19" s="6" t="n"/>
      <c r="N19" s="6" t="n"/>
      <c r="O19" s="6" t="n"/>
      <c r="P19" s="6" t="n"/>
      <c r="Q19" s="6" t="n"/>
      <c r="R19" s="6" t="n"/>
      <c r="S19" s="6" t="n"/>
      <c r="T19" s="6" t="n"/>
      <c r="U19" s="6" t="n"/>
      <c r="V19" s="6" t="n"/>
      <c r="W19" s="6" t="n"/>
      <c r="X19" s="6" t="n"/>
      <c r="Y19" s="6" t="n"/>
      <c r="Z19" s="6" t="n"/>
    </row>
    <row r="20" ht="17.25" customHeight="1">
      <c r="A20" s="149" t="inlineStr">
        <is>
          <t>분석중</t>
        </is>
      </c>
      <c r="B20" s="148" t="inlineStr">
        <is>
          <t>processing</t>
        </is>
      </c>
      <c r="C20" s="148" t="inlineStr">
        <is>
          <t>N2</t>
        </is>
      </c>
      <c r="D20" s="149" t="inlineStr">
        <is>
          <t>비동기 (F-JOB-05)</t>
        </is>
      </c>
      <c r="E20" s="6" t="n"/>
      <c r="F20" s="6" t="n"/>
      <c r="G20" s="6" t="n"/>
      <c r="H20" s="6" t="n"/>
      <c r="I20" s="6" t="n"/>
      <c r="J20" s="6" t="n"/>
      <c r="K20" s="6" t="n"/>
      <c r="L20" s="6" t="n"/>
      <c r="M20" s="6" t="n"/>
      <c r="N20" s="6" t="n"/>
      <c r="O20" s="6" t="n"/>
      <c r="P20" s="6" t="n"/>
      <c r="Q20" s="6" t="n"/>
      <c r="R20" s="6" t="n"/>
      <c r="S20" s="6" t="n"/>
      <c r="T20" s="6" t="n"/>
      <c r="U20" s="6" t="n"/>
      <c r="V20" s="6" t="n"/>
      <c r="W20" s="6" t="n"/>
      <c r="X20" s="6" t="n"/>
      <c r="Y20" s="6" t="n"/>
      <c r="Z20" s="6" t="n"/>
    </row>
    <row r="21" ht="17.25" customHeight="1">
      <c r="A21" s="149" t="inlineStr">
        <is>
          <t>섹션확인</t>
        </is>
      </c>
      <c r="B21" s="148" t="inlineStr">
        <is>
          <t>review</t>
        </is>
      </c>
      <c r="C21" s="148" t="inlineStr">
        <is>
          <t>N3</t>
        </is>
      </c>
      <c r="D21" s="149" t="n"/>
      <c r="E21" s="6" t="n"/>
      <c r="F21" s="6" t="n"/>
      <c r="G21" s="6" t="n"/>
      <c r="H21" s="6" t="n"/>
      <c r="I21" s="6" t="n"/>
      <c r="J21" s="6" t="n"/>
      <c r="K21" s="6" t="n"/>
      <c r="L21" s="6" t="n"/>
      <c r="M21" s="6" t="n"/>
      <c r="N21" s="6" t="n"/>
      <c r="O21" s="6" t="n"/>
      <c r="P21" s="6" t="n"/>
      <c r="Q21" s="6" t="n"/>
      <c r="R21" s="6" t="n"/>
      <c r="S21" s="6" t="n"/>
      <c r="T21" s="6" t="n"/>
      <c r="U21" s="6" t="n"/>
      <c r="V21" s="6" t="n"/>
      <c r="W21" s="6" t="n"/>
      <c r="X21" s="6" t="n"/>
      <c r="Y21" s="6" t="n"/>
      <c r="Z21" s="6" t="n"/>
    </row>
    <row r="22" ht="17.25" customHeight="1">
      <c r="A22" s="149" t="inlineStr">
        <is>
          <t>번역중</t>
        </is>
      </c>
      <c r="B22" s="148" t="inlineStr">
        <is>
          <t>processing</t>
        </is>
      </c>
      <c r="C22" s="148" t="inlineStr">
        <is>
          <t>N4</t>
        </is>
      </c>
      <c r="D22" s="149" t="inlineStr">
        <is>
          <t>비동기 (F-JOB-05)</t>
        </is>
      </c>
      <c r="E22" s="6" t="n"/>
      <c r="F22" s="6" t="n"/>
      <c r="G22" s="6" t="n"/>
      <c r="H22" s="6" t="n"/>
      <c r="I22" s="6" t="n"/>
      <c r="J22" s="6" t="n"/>
      <c r="K22" s="6" t="n"/>
      <c r="L22" s="6" t="n"/>
      <c r="M22" s="6" t="n"/>
      <c r="N22" s="6" t="n"/>
      <c r="O22" s="6" t="n"/>
      <c r="P22" s="6" t="n"/>
      <c r="Q22" s="6" t="n"/>
      <c r="R22" s="6" t="n"/>
      <c r="S22" s="6" t="n"/>
      <c r="T22" s="6" t="n"/>
      <c r="U22" s="6" t="n"/>
      <c r="V22" s="6" t="n"/>
      <c r="W22" s="6" t="n"/>
      <c r="X22" s="6" t="n"/>
      <c r="Y22" s="6" t="n"/>
      <c r="Z22" s="6" t="n"/>
    </row>
    <row r="23" ht="17.25" customHeight="1">
      <c r="A23" s="149" t="inlineStr">
        <is>
          <t>검수</t>
        </is>
      </c>
      <c r="B23" s="148" t="inlineStr">
        <is>
          <t>review</t>
        </is>
      </c>
      <c r="C23" s="148" t="inlineStr">
        <is>
          <t>N5</t>
        </is>
      </c>
      <c r="D23" s="149" t="n"/>
      <c r="E23" s="6" t="n"/>
      <c r="F23" s="6" t="n"/>
      <c r="G23" s="6" t="n"/>
      <c r="H23" s="6" t="n"/>
      <c r="I23" s="6" t="n"/>
      <c r="J23" s="6" t="n"/>
      <c r="K23" s="6" t="n"/>
      <c r="L23" s="6" t="n"/>
      <c r="M23" s="6" t="n"/>
      <c r="N23" s="6" t="n"/>
      <c r="O23" s="6" t="n"/>
      <c r="P23" s="6" t="n"/>
      <c r="Q23" s="6" t="n"/>
      <c r="R23" s="6" t="n"/>
      <c r="S23" s="6" t="n"/>
      <c r="T23" s="6" t="n"/>
      <c r="U23" s="6" t="n"/>
      <c r="V23" s="6" t="n"/>
      <c r="W23" s="6" t="n"/>
      <c r="X23" s="6" t="n"/>
      <c r="Y23" s="6" t="n"/>
      <c r="Z23" s="6" t="n"/>
    </row>
    <row r="24" ht="17.25" customHeight="1">
      <c r="A24" s="149" t="inlineStr">
        <is>
          <t>완료</t>
        </is>
      </c>
      <c r="B24" s="148" t="inlineStr">
        <is>
          <t>done</t>
        </is>
      </c>
      <c r="C24" s="148" t="inlineStr">
        <is>
          <t>N6</t>
        </is>
      </c>
      <c r="D24" s="149" t="n"/>
      <c r="E24" s="6" t="n"/>
      <c r="F24" s="6" t="n"/>
      <c r="G24" s="6" t="n"/>
      <c r="H24" s="6" t="n"/>
      <c r="I24" s="6" t="n"/>
      <c r="J24" s="6" t="n"/>
      <c r="K24" s="6" t="n"/>
      <c r="L24" s="6" t="n"/>
      <c r="M24" s="6" t="n"/>
      <c r="N24" s="6" t="n"/>
      <c r="O24" s="6" t="n"/>
      <c r="P24" s="6" t="n"/>
      <c r="Q24" s="6" t="n"/>
      <c r="R24" s="6" t="n"/>
      <c r="S24" s="6" t="n"/>
      <c r="T24" s="6" t="n"/>
      <c r="U24" s="6" t="n"/>
      <c r="V24" s="6" t="n"/>
      <c r="W24" s="6" t="n"/>
      <c r="X24" s="6" t="n"/>
      <c r="Y24" s="6" t="n"/>
      <c r="Z24" s="6" t="n"/>
    </row>
    <row r="25" ht="17.25" customHeight="1">
      <c r="A25" s="149" t="inlineStr">
        <is>
          <t>오류</t>
        </is>
      </c>
      <c r="B25" s="148" t="inlineStr">
        <is>
          <t>failed</t>
        </is>
      </c>
      <c r="C25" s="149" t="inlineStr">
        <is>
          <t>실패 지점 유지</t>
        </is>
      </c>
      <c r="D25" s="149" t="inlineStr">
        <is>
          <t>재시도 시 해당 step으로 복귀</t>
        </is>
      </c>
      <c r="E25" s="6" t="n"/>
      <c r="F25" s="6" t="n"/>
      <c r="G25" s="6" t="n"/>
      <c r="H25" s="6" t="n"/>
      <c r="I25" s="6" t="n"/>
      <c r="J25" s="6" t="n"/>
      <c r="K25" s="6" t="n"/>
      <c r="L25" s="6" t="n"/>
      <c r="M25" s="6" t="n"/>
      <c r="N25" s="6" t="n"/>
      <c r="O25" s="6" t="n"/>
      <c r="P25" s="6" t="n"/>
      <c r="Q25" s="6" t="n"/>
      <c r="R25" s="6" t="n"/>
      <c r="S25" s="6" t="n"/>
      <c r="T25" s="6" t="n"/>
      <c r="U25" s="6" t="n"/>
      <c r="V25" s="6" t="n"/>
      <c r="W25" s="6" t="n"/>
      <c r="X25" s="6" t="n"/>
      <c r="Y25" s="6" t="n"/>
      <c r="Z25" s="6" t="n"/>
    </row>
    <row r="26" ht="17.25" customHeight="1">
      <c r="A26" s="149" t="inlineStr">
        <is>
          <t>취소</t>
        </is>
      </c>
      <c r="B26" s="148" t="inlineStr">
        <is>
          <t>archived</t>
        </is>
      </c>
      <c r="C26" s="149" t="inlineStr">
        <is>
          <t>중단 지점 유지</t>
        </is>
      </c>
      <c r="D26" s="149" t="n"/>
      <c r="E26" s="6" t="n"/>
      <c r="F26" s="6" t="n"/>
      <c r="G26" s="6" t="n"/>
      <c r="H26" s="6" t="n"/>
      <c r="I26" s="6" t="n"/>
      <c r="J26" s="6" t="n"/>
      <c r="K26" s="6" t="n"/>
      <c r="L26" s="6" t="n"/>
      <c r="M26" s="6" t="n"/>
      <c r="N26" s="6" t="n"/>
      <c r="O26" s="6" t="n"/>
      <c r="P26" s="6" t="n"/>
      <c r="Q26" s="6" t="n"/>
      <c r="R26" s="6" t="n"/>
      <c r="S26" s="6" t="n"/>
      <c r="T26" s="6" t="n"/>
      <c r="U26" s="6" t="n"/>
      <c r="V26" s="6" t="n"/>
      <c r="W26" s="6" t="n"/>
      <c r="X26" s="6" t="n"/>
      <c r="Y26" s="6" t="n"/>
      <c r="Z26" s="6" t="n"/>
    </row>
    <row r="27" ht="17.25" customHeight="1">
      <c r="A27" s="149" t="n"/>
      <c r="B27" s="148" t="n"/>
      <c r="C27" s="149" t="n"/>
      <c r="D27" s="149" t="n"/>
      <c r="E27" s="6" t="n"/>
      <c r="F27" s="6" t="n"/>
      <c r="G27" s="6" t="n"/>
      <c r="H27" s="6" t="n"/>
      <c r="I27" s="6" t="n"/>
      <c r="J27" s="6" t="n"/>
      <c r="K27" s="6" t="n"/>
      <c r="L27" s="6" t="n"/>
      <c r="M27" s="6" t="n"/>
      <c r="N27" s="6" t="n"/>
      <c r="O27" s="6" t="n"/>
      <c r="P27" s="6" t="n"/>
      <c r="Q27" s="6" t="n"/>
      <c r="R27" s="6" t="n"/>
      <c r="S27" s="6" t="n"/>
      <c r="T27" s="6" t="n"/>
      <c r="U27" s="6" t="n"/>
      <c r="V27" s="6" t="n"/>
      <c r="W27" s="6" t="n"/>
      <c r="X27" s="6" t="n"/>
      <c r="Y27" s="6" t="n"/>
      <c r="Z27" s="6" t="n"/>
    </row>
    <row r="28" ht="58.5" customHeight="1">
      <c r="A28" s="284" t="inlineStr">
        <is>
          <t>※ v3.0 매핑 재정의 — status 6종 + current_step(N1~N6)</t>
        </is>
      </c>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row>
    <row r="29" ht="17.25" customHeight="1">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row>
    <row r="30" ht="86.25" customHeight="1">
      <c r="A30" s="175" t="inlineStr">
        <is>
          <t>되돌림 판정표 (F-NAV-05 부표) — 12월 범위 · v3.0 새 화면 흐름 기준으로 재작성</t>
        </is>
      </c>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row>
    <row r="31" ht="17.25" customHeight="1">
      <c r="A31" s="170" t="inlineStr">
        <is>
          <t>이동 구간</t>
        </is>
      </c>
      <c r="B31" s="170" t="inlineStr">
        <is>
          <t>조건</t>
        </is>
      </c>
      <c r="C31" s="170" t="inlineStr">
        <is>
          <t>보존 대상</t>
        </is>
      </c>
      <c r="D31" s="170" t="inlineStr">
        <is>
          <t>무효 · 재계산 대상</t>
        </is>
      </c>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row>
    <row r="32" ht="31.5" customHeight="1">
      <c r="A32" s="155" t="inlineStr">
        <is>
          <t>N3 → N1</t>
        </is>
      </c>
      <c r="B32" s="154" t="inlineStr">
        <is>
          <t>조건 변경(국가·분류·규격)</t>
        </is>
      </c>
      <c r="C32" s="154" t="inlineStr">
        <is>
          <t>섹션 분해·OCR·인페인팅 캐시</t>
        </is>
      </c>
      <c r="D32" s="154" t="inlineStr">
        <is>
          <t>판정 배지·번역(조건 종속분)만 재계산</t>
        </is>
      </c>
      <c r="E32" s="6" t="n"/>
      <c r="F32" s="6" t="n"/>
      <c r="G32" s="6" t="n"/>
      <c r="H32" s="6" t="n"/>
      <c r="I32" s="6" t="n"/>
      <c r="J32" s="6" t="n"/>
      <c r="K32" s="6" t="n"/>
      <c r="L32" s="6" t="n"/>
      <c r="M32" s="6" t="n"/>
      <c r="N32" s="6" t="n"/>
      <c r="O32" s="6" t="n"/>
      <c r="P32" s="6" t="n"/>
      <c r="Q32" s="6" t="n"/>
      <c r="R32" s="6" t="n"/>
      <c r="S32" s="6" t="n"/>
      <c r="T32" s="6" t="n"/>
      <c r="U32" s="6" t="n"/>
      <c r="V32" s="6" t="n"/>
      <c r="W32" s="6" t="n"/>
      <c r="X32" s="6" t="n"/>
      <c r="Y32" s="6" t="n"/>
      <c r="Z32" s="6" t="n"/>
    </row>
    <row r="33" ht="31.5" customHeight="1">
      <c r="A33" s="155" t="inlineStr">
        <is>
          <t>N5 → N3</t>
        </is>
      </c>
      <c r="B33" s="183" t="inlineStr">
        <is>
          <t>-</t>
        </is>
      </c>
      <c r="C33" s="183" t="inlineStr">
        <is>
          <t>OCR·인페인팅·1차 번역·사용자 수정 번역문</t>
        </is>
      </c>
      <c r="D33" s="154" t="inlineStr">
        <is>
          <t>되살리기/제외 변경 섹션의 번역·조판만 재실행</t>
        </is>
      </c>
      <c r="E33" s="6" t="n"/>
      <c r="F33" s="6" t="n"/>
      <c r="G33" s="6" t="n"/>
      <c r="H33" s="6" t="n"/>
      <c r="I33" s="6" t="n"/>
      <c r="J33" s="6" t="n"/>
      <c r="K33" s="6" t="n"/>
      <c r="L33" s="6" t="n"/>
      <c r="M33" s="6" t="n"/>
      <c r="N33" s="6" t="n"/>
      <c r="O33" s="6" t="n"/>
      <c r="P33" s="6" t="n"/>
      <c r="Q33" s="6" t="n"/>
      <c r="R33" s="6" t="n"/>
      <c r="S33" s="6" t="n"/>
      <c r="T33" s="6" t="n"/>
      <c r="U33" s="6" t="n"/>
      <c r="V33" s="6" t="n"/>
      <c r="W33" s="6" t="n"/>
      <c r="X33" s="6" t="n"/>
      <c r="Y33" s="6" t="n"/>
      <c r="Z33" s="6" t="n"/>
    </row>
    <row r="34" ht="31.5" customHeight="1">
      <c r="A34" s="154" t="inlineStr">
        <is>
          <t>공통</t>
        </is>
      </c>
      <c r="B34" s="154" t="inlineStr">
        <is>
          <t>모든 되돌림</t>
        </is>
      </c>
      <c r="C34" s="154" t="inlineStr">
        <is>
          <t>사용자 입력(수정 번역문·버킷 선택)은 구간과 무관하게 항상 보존</t>
        </is>
      </c>
      <c r="D34" s="154" t="inlineStr">
        <is>
          <t>실행취소 스택은 항상 초기화 (사전 고지 — F-NAV-04)</t>
        </is>
      </c>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row>
    <row r="35" ht="17.25" customHeight="1">
      <c r="A35" s="155" t="n"/>
      <c r="B35" s="155" t="n"/>
      <c r="C35" s="154" t="n"/>
      <c r="D35" s="154"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row>
    <row r="36" ht="17.25" customHeight="1">
      <c r="A36" s="154" t="n"/>
      <c r="B36" s="154" t="n"/>
      <c r="C36" s="154" t="n"/>
      <c r="D36" s="154"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ht="17.25" customHeight="1">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row>
    <row r="38" ht="86.25" customHeight="1">
      <c r="A38" s="286" t="inlineStr">
        <is>
          <t>※ 되돌림 기능(F-NAV-02~06·08)은 12월 범위 유지. v3.0에서 구간을 새 화면 체계로 재정의했다.</t>
        </is>
      </c>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ht="17.25" customHeight="1">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ht="17.25" customHeight="1">
      <c r="A40" s="175" t="inlineStr">
        <is>
          <t>비즈니스 정책</t>
        </is>
      </c>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ht="31.5" customHeight="1">
      <c r="A41" s="170" t="inlineStr">
        <is>
          <t>정책 ID</t>
        </is>
      </c>
      <c r="B41" s="170" t="inlineStr">
        <is>
          <t>정책명</t>
        </is>
      </c>
      <c r="C41" s="170" t="inlineStr">
        <is>
          <t>내용</t>
        </is>
      </c>
      <c r="D41" s="170" t="inlineStr">
        <is>
          <t>관련 기능 ID</t>
        </is>
      </c>
      <c r="E41" s="170" t="inlineStr">
        <is>
          <t>변경 이력</t>
        </is>
      </c>
      <c r="F41" s="6" t="n"/>
      <c r="G41" s="6" t="n"/>
      <c r="H41" s="6" t="n"/>
      <c r="I41" s="6" t="n"/>
      <c r="J41" s="6" t="n"/>
      <c r="K41" s="6" t="n"/>
      <c r="L41" s="6" t="n"/>
      <c r="M41" s="6" t="n"/>
      <c r="N41" s="6" t="n"/>
      <c r="O41" s="6" t="n"/>
      <c r="P41" s="6" t="n"/>
      <c r="Q41" s="6" t="n"/>
      <c r="R41" s="6" t="n"/>
      <c r="S41" s="6" t="n"/>
      <c r="T41" s="6" t="n"/>
      <c r="U41" s="6" t="n"/>
      <c r="V41" s="6" t="n"/>
      <c r="W41" s="6" t="n"/>
      <c r="X41" s="6" t="n"/>
      <c r="Y41" s="6" t="n"/>
      <c r="Z41" s="6" t="n"/>
    </row>
    <row r="42" ht="17.25" customHeight="1">
      <c r="A42" s="155" t="inlineStr">
        <is>
          <t>PL-01</t>
        </is>
      </c>
      <c r="B42" s="154" t="inlineStr">
        <is>
          <t>인증 뱃지 진위 검증</t>
        </is>
      </c>
      <c r="C42" s="154" t="inlineStr">
        <is>
          <t>서비스는 인증 뱃지의 진위를 검증하지 않는다. 셀러가 등록한 자료를 그대로 활용한다.</t>
        </is>
      </c>
      <c r="D42" s="155" t="inlineStr">
        <is>
          <t>F-SRC-08</t>
        </is>
      </c>
      <c r="E42" s="155" t="n"/>
      <c r="F42" s="6" t="n"/>
      <c r="G42" s="6" t="n"/>
      <c r="H42" s="6" t="n"/>
      <c r="I42" s="6" t="n"/>
      <c r="J42" s="6" t="n"/>
      <c r="K42" s="6" t="n"/>
      <c r="L42" s="6" t="n"/>
      <c r="M42" s="6" t="n"/>
      <c r="N42" s="6" t="n"/>
      <c r="O42" s="6" t="n"/>
      <c r="P42" s="6" t="n"/>
      <c r="Q42" s="6" t="n"/>
      <c r="R42" s="6" t="n"/>
      <c r="S42" s="6" t="n"/>
      <c r="T42" s="6" t="n"/>
      <c r="U42" s="6" t="n"/>
      <c r="V42" s="6" t="n"/>
      <c r="W42" s="6" t="n"/>
      <c r="X42" s="6" t="n"/>
      <c r="Y42" s="6" t="n"/>
      <c r="Z42" s="6" t="n"/>
    </row>
    <row r="43" ht="31.5" customHeight="1">
      <c r="A43" s="155" t="inlineStr">
        <is>
          <t>PL-02</t>
        </is>
      </c>
      <c r="B43" s="154" t="inlineStr">
        <is>
          <t>책임 한계 고지</t>
        </is>
      </c>
      <c r="C43" s="154" t="inlineStr">
        <is>
          <t>인증·시험 정보의 적용 가능 여부는 사용자가 최종 확인하며 문제 발생 시 플랫폼은 책임지지 않는다. N1에 상시 노출하고 동의 시점을 기록한다.</t>
        </is>
      </c>
      <c r="D43" s="155" t="inlineStr">
        <is>
          <t>F-ACC-04, F-SRC-09</t>
        </is>
      </c>
      <c r="E43" s="155" t="n"/>
      <c r="F43" s="6" t="n"/>
      <c r="G43" s="6" t="n"/>
      <c r="H43" s="6" t="n"/>
      <c r="I43" s="6" t="n"/>
      <c r="J43" s="6" t="n"/>
      <c r="K43" s="6" t="n"/>
      <c r="L43" s="6" t="n"/>
      <c r="M43" s="6" t="n"/>
      <c r="N43" s="6" t="n"/>
      <c r="O43" s="6" t="n"/>
      <c r="P43" s="6" t="n"/>
      <c r="Q43" s="6" t="n"/>
      <c r="R43" s="6" t="n"/>
      <c r="S43" s="6" t="n"/>
      <c r="T43" s="6" t="n"/>
      <c r="U43" s="6" t="n"/>
      <c r="V43" s="6" t="n"/>
      <c r="W43" s="6" t="n"/>
      <c r="X43" s="6" t="n"/>
      <c r="Y43" s="6" t="n"/>
      <c r="Z43" s="6" t="n"/>
    </row>
    <row r="44" ht="31.5" customHeight="1">
      <c r="A44" s="155" t="inlineStr">
        <is>
          <t>PL-04</t>
        </is>
      </c>
      <c r="B44" s="154" t="inlineStr">
        <is>
          <t>크롤링 수집 범위</t>
        </is>
      </c>
      <c r="C44" s="154" t="inlineStr">
        <is>
          <t>용어집 보강용 크롤링은 robots.txt·rate limit·이용약관을 준수하고, 내부 지식 구축·검증 목적으로만 사용한다. 수집물을 그대로 재배포하지 않으며 출처와 수집 시점을 기록한다.</t>
        </is>
      </c>
      <c r="D44" s="155" t="inlineStr">
        <is>
          <t>F-TRN-06</t>
        </is>
      </c>
      <c r="E44" s="155" t="n"/>
      <c r="F44" s="6" t="n"/>
      <c r="G44" s="6" t="n"/>
      <c r="H44" s="6" t="n"/>
      <c r="I44" s="6" t="n"/>
      <c r="J44" s="6" t="n"/>
      <c r="K44" s="6" t="n"/>
      <c r="L44" s="6" t="n"/>
      <c r="M44" s="6" t="n"/>
      <c r="N44" s="6" t="n"/>
      <c r="O44" s="6" t="n"/>
      <c r="P44" s="6" t="n"/>
      <c r="Q44" s="6" t="n"/>
      <c r="R44" s="6" t="n"/>
      <c r="S44" s="6" t="n"/>
      <c r="T44" s="6" t="n"/>
      <c r="U44" s="6" t="n"/>
      <c r="V44" s="6" t="n"/>
      <c r="W44" s="6" t="n"/>
      <c r="X44" s="6" t="n"/>
      <c r="Y44" s="6" t="n"/>
      <c r="Z44" s="6" t="n"/>
    </row>
    <row r="45" ht="17.25" customHeight="1">
      <c r="A45" s="155" t="inlineStr">
        <is>
          <t>PL-05</t>
        </is>
      </c>
      <c r="B45" s="154" t="inlineStr">
        <is>
          <t>브랜드 정보 변경 적용 시점</t>
        </is>
      </c>
      <c r="C45" s="154" t="inlineStr">
        <is>
          <t>변경된 브랜드 정보는 새로 시작되는 작업부터 적용하며 기존 완료 작업에는 반영하지 않는다.</t>
        </is>
      </c>
      <c r="D45" s="155" t="inlineStr">
        <is>
          <t>F-BRD-07</t>
        </is>
      </c>
      <c r="E45" s="155" t="n"/>
      <c r="F45" s="6" t="n"/>
      <c r="G45" s="6" t="n"/>
      <c r="H45" s="6" t="n"/>
      <c r="I45" s="6" t="n"/>
      <c r="J45" s="6" t="n"/>
      <c r="K45" s="6" t="n"/>
      <c r="L45" s="6" t="n"/>
      <c r="M45" s="6" t="n"/>
      <c r="N45" s="6" t="n"/>
      <c r="O45" s="6" t="n"/>
      <c r="P45" s="6" t="n"/>
      <c r="Q45" s="6" t="n"/>
      <c r="R45" s="6" t="n"/>
      <c r="S45" s="6" t="n"/>
      <c r="T45" s="6" t="n"/>
      <c r="U45" s="6" t="n"/>
      <c r="V45" s="6" t="n"/>
      <c r="W45" s="6" t="n"/>
      <c r="X45" s="6" t="n"/>
      <c r="Y45" s="6" t="n"/>
      <c r="Z45" s="6" t="n"/>
    </row>
    <row r="46" ht="17.25" customHeight="1">
      <c r="A46" s="155" t="inlineStr">
        <is>
          <t>PL-06</t>
        </is>
      </c>
      <c r="B46" s="154" t="inlineStr">
        <is>
          <t>셀러–브랜드 구조</t>
        </is>
      </c>
      <c r="C46" s="154" t="inlineStr">
        <is>
          <t>셀러 1 : 브랜드 N. 쿠팡의 복수 마켓플레이스 계정 모델을 준용한다.</t>
        </is>
      </c>
      <c r="D46" s="155" t="inlineStr">
        <is>
          <t>F-ACC-02</t>
        </is>
      </c>
      <c r="E46" s="155" t="n"/>
      <c r="F46" s="6" t="n"/>
      <c r="G46" s="6" t="n"/>
      <c r="H46" s="6" t="n"/>
      <c r="I46" s="6" t="n"/>
      <c r="J46" s="6" t="n"/>
      <c r="K46" s="6" t="n"/>
      <c r="L46" s="6" t="n"/>
      <c r="M46" s="6" t="n"/>
      <c r="N46" s="6" t="n"/>
      <c r="O46" s="6" t="n"/>
      <c r="P46" s="6" t="n"/>
      <c r="Q46" s="6" t="n"/>
      <c r="R46" s="6" t="n"/>
      <c r="S46" s="6" t="n"/>
      <c r="T46" s="6" t="n"/>
      <c r="U46" s="6" t="n"/>
      <c r="V46" s="6" t="n"/>
      <c r="W46" s="6" t="n"/>
      <c r="X46" s="6" t="n"/>
      <c r="Y46" s="6" t="n"/>
      <c r="Z46" s="6" t="n"/>
    </row>
    <row r="47" ht="31.5" customHeight="1">
      <c r="A47" s="155" t="inlineStr">
        <is>
          <t>PL-07</t>
        </is>
      </c>
      <c r="B47" s="154" t="inlineStr">
        <is>
          <t>원본 데이터 보관</t>
        </is>
      </c>
      <c r="C47" s="154" t="inlineStr">
        <is>
          <t>업로드 원본, 섹션 이미지, 인페인팅 배경, 결과물(이미지·HTML)을 오브젝트 스토리지에 보관하며 브랜드 단위로 논리 분리한다. 보관 기간 정책은 12월에 확정한다(F-LST-09).</t>
        </is>
      </c>
      <c r="D47" s="155" t="inlineStr">
        <is>
          <t>F-LST-09, OI-07</t>
        </is>
      </c>
      <c r="E47" s="154" t="inlineStr">
        <is>
          <t>수정</t>
        </is>
      </c>
      <c r="F47" s="6" t="n"/>
      <c r="G47" s="6" t="n"/>
      <c r="H47" s="6" t="n"/>
      <c r="I47" s="6" t="n"/>
      <c r="J47" s="6" t="n"/>
      <c r="K47" s="6" t="n"/>
      <c r="L47" s="6" t="n"/>
      <c r="M47" s="6" t="n"/>
      <c r="N47" s="6" t="n"/>
      <c r="O47" s="6" t="n"/>
      <c r="P47" s="6" t="n"/>
      <c r="Q47" s="6" t="n"/>
      <c r="R47" s="6" t="n"/>
      <c r="S47" s="6" t="n"/>
      <c r="T47" s="6" t="n"/>
      <c r="U47" s="6" t="n"/>
      <c r="V47" s="6" t="n"/>
      <c r="W47" s="6" t="n"/>
      <c r="X47" s="6" t="n"/>
      <c r="Y47" s="6" t="n"/>
      <c r="Z47" s="6" t="n"/>
    </row>
    <row r="48" ht="45" customHeight="1">
      <c r="A48" s="155" t="inlineStr">
        <is>
          <t>PL-08</t>
        </is>
      </c>
      <c r="B48" s="154" t="inlineStr">
        <is>
          <t>인증 마크 미보유 원칙</t>
        </is>
      </c>
      <c r="C48" s="154" t="inlineStr">
        <is>
          <t>서비스는 인증 마크 이미지를 자체 DB로 보유·제공하지 않는다. 인증 마크는 대부분 증명표장으로 상표 등록되어 있어 마크 파일을 보유·제공하는 행위 자체가 침해 도구 공급으로 평가될 수 있다. 셀러가 사용권을 보유한 파일을 업로드하는 방식만 허용한다.</t>
        </is>
      </c>
      <c r="D48" s="155" t="inlineStr">
        <is>
          <t>F-SRC-08, F-BRD-06</t>
        </is>
      </c>
      <c r="E48" s="155" t="n"/>
      <c r="F48" s="6" t="n"/>
      <c r="G48" s="6" t="n"/>
      <c r="H48" s="6" t="n"/>
      <c r="I48" s="6" t="n"/>
      <c r="J48" s="6" t="n"/>
      <c r="K48" s="6" t="n"/>
      <c r="L48" s="6" t="n"/>
      <c r="M48" s="6" t="n"/>
      <c r="N48" s="6" t="n"/>
      <c r="O48" s="6" t="n"/>
      <c r="P48" s="6" t="n"/>
      <c r="Q48" s="6" t="n"/>
      <c r="R48" s="6" t="n"/>
      <c r="S48" s="6" t="n"/>
      <c r="T48" s="6" t="n"/>
      <c r="U48" s="6" t="n"/>
      <c r="V48" s="6" t="n"/>
      <c r="W48" s="6" t="n"/>
      <c r="X48" s="6" t="n"/>
      <c r="Y48" s="6" t="n"/>
      <c r="Z48" s="6" t="n"/>
    </row>
    <row r="49" ht="45" customHeight="1">
      <c r="A49" s="155" t="inlineStr">
        <is>
          <t>PL-09</t>
        </is>
      </c>
      <c r="B49" s="154" t="inlineStr">
        <is>
          <t>인증 마크 원형 유지</t>
        </is>
      </c>
      <c r="C49" s="183" t="inlineStr">
        <is>
          <t>[12월 이월] 업로드된 인증 뱃지는 색상 변경·비율 왜곡·부분 잘림 없이 원형을 유지한다. v3.0에서 뱃지 배치(F-PLC-07·08)가 삭제되어 적용 대상이 12월 규격 변경 템플릿의 뱃지 슬롯 검토로 이월됨.</t>
        </is>
      </c>
      <c r="D49" s="155" t="inlineStr">
        <is>
          <t>F-SRC-08(12월 이월), F-EXP-06</t>
        </is>
      </c>
      <c r="E49" s="155" t="inlineStr">
        <is>
          <t>v3.0 수정 — 적용 시점 12월</t>
        </is>
      </c>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72.75" customHeight="1">
      <c r="A50" s="155" t="inlineStr">
        <is>
          <t>PL-10</t>
        </is>
      </c>
      <c r="B50" s="154" t="inlineStr">
        <is>
          <t>규격 위반 표시 원칙</t>
        </is>
      </c>
      <c r="C50" s="287" t="inlineStr">
        <is>
          <t>규격 검증 결과는 항목별로 표시한다. MVP는 실제 업로드를 수행하지 않으므로 위반이 있어도 저장·다운로드를 차단하지 않고, 사용자가 경고를 확인한 사실을 로그로 남긴다. 실제 배포 단계에서는 무배포 원칙으로 강화한다.</t>
        </is>
      </c>
      <c r="D50" s="155" t="inlineStr">
        <is>
          <t>F-CH-05, F-FIN-02</t>
        </is>
      </c>
      <c r="E50" s="154" t="inlineStr">
        <is>
          <t>수정 · v3.0 수정 — 검증 용어 개칭</t>
        </is>
      </c>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45" customHeight="1">
      <c r="A51" s="155" t="inlineStr">
        <is>
          <t>PL-11</t>
        </is>
      </c>
      <c r="B51" s="154" t="inlineStr">
        <is>
          <t>로컬라이징 판단 불변 원칙</t>
        </is>
      </c>
      <c r="C51" s="154" t="inlineStr">
        <is>
          <t>사용자는 텍스트를 수정할 수 있으나 AI의 로컬라이징 판단 자체는 수정할 수 없다. 근거는 읽기 전용으로 제공한다. 번역문을 직접 수정한 경우 규제 검증을 우회할 수 있으므로 책임이 사용자에게 있음을 고지하고 해당 블록을 재검증 대상으로 표시한다.</t>
        </is>
      </c>
      <c r="D51" s="155" t="inlineStr">
        <is>
          <t>F-CFM-02, F-CFM-04</t>
        </is>
      </c>
      <c r="E51" s="155"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ht="72.75" customHeight="1">
      <c r="A52" s="288" t="inlineStr">
        <is>
          <t>PL-12</t>
        </is>
      </c>
      <c r="B52" s="288" t="inlineStr">
        <is>
          <t>AI 초안 비파괴 원칙</t>
        </is>
      </c>
      <c r="C52" s="288" t="inlineStr">
        <is>
          <t>AI 초안 생성은 전체 레이아웃을 새로 만들며 사용자의 기존 배치를 참조하지 않는다. 대신 초안을 폐기하면 직전 상태로 정확히 복원되어야 한다.</t>
        </is>
      </c>
      <c r="D52" s="288" t="inlineStr">
        <is>
          <t>F-PLC-03, F-PLC-04</t>
        </is>
      </c>
      <c r="E52" s="288" t="inlineStr">
        <is>
          <t>v3.0 삭제 — AI 초안 축(F-PLC-03~05) 삭제</t>
        </is>
      </c>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100.5" customHeight="1">
      <c r="A53" s="155" t="inlineStr">
        <is>
          <t>PL-13</t>
        </is>
      </c>
      <c r="B53" s="154" t="inlineStr">
        <is>
          <t>★단계 되돌림 판정 원칙 (12월)</t>
        </is>
      </c>
      <c r="C53" s="183" t="inlineStr">
        <is>
          <t>[12월 적용] 이전 단계로 되돌아가면 진행 상태가 그 지점으로 돌아가되 이후 산출물을 일괄 삭제하지 않는다. 삭제·재생성 대상은 이동 지점에 종속된 산출물뿐이다(v3.0 체계 — 섹션 단위 산출물은 보존, 조건 종속 산출물만 무효화·재계산). 사용자 입력(버킷 선택·수정 번역문)은 산출물과 별개로 항상 보존하며, 단계 이동 시 자동 저장한다(F-NAV-08). 실행취소 스택은 초기화한다. 구간별 판정은 되돌림 판정표(v3.0 재작성)를 따른다. 되돌림 전에 무효 대상·보존 대상·초기화 대상을 모두 열거해 고지하며, 이후 단계로 이동할 때는 경고하지 않는다. 이 규칙은 N1 시점부터 사용자가 인지하고 있어야 한다.</t>
        </is>
      </c>
      <c r="D53" s="155" t="inlineStr">
        <is>
          <t>F-NAV-02~05, F-NAV-08, F-CFM-03</t>
        </is>
      </c>
      <c r="E53" s="154" t="inlineStr">
        <is>
          <t>수정 · v3.0 수정 — 판정 대상 재정의</t>
        </is>
      </c>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45" customHeight="1">
      <c r="A54" s="155" t="inlineStr">
        <is>
          <t>PL-14</t>
        </is>
      </c>
      <c r="B54" s="154" t="inlineStr">
        <is>
          <t>운영자 접근 통제 원칙</t>
        </is>
      </c>
      <c r="C54" s="154" t="inlineStr">
        <is>
          <t>운영자가 셀러의 작업을 열람할 때는 사유 입력을 필수화하고 접근 이력을 감사 로그에 남긴다. 열람은 읽기 전용이며 민감 정보는 마스킹한다. 감사 로그는 임의로 삭제할 수 없다. 열람 화면은 12월이지만 기록은 MVP부터 동작한다.</t>
        </is>
      </c>
      <c r="D54" s="155" t="inlineStr">
        <is>
          <t>A-OPS-04, A-ACC-03</t>
        </is>
      </c>
      <c r="E54" s="154" t="inlineStr">
        <is>
          <t>수정</t>
        </is>
      </c>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45" customHeight="1">
      <c r="A55" s="155" t="inlineStr">
        <is>
          <t>PL-16</t>
        </is>
      </c>
      <c r="B55" s="154" t="inlineStr">
        <is>
          <t>★마스터 데이터 시드 주입 원칙</t>
        </is>
      </c>
      <c r="C55" s="155" t="inlineStr">
        <is>
          <t>MVP는 마스터 데이터 편집 콘솔(A-CFG-01·02)을 제공하지 않는다. 규격·규제 사전·용어집·카테고리 마스터는 데이터 담당이 작성한 시트를 시드 스크립트로 주입한다. 주입 시 버전과 적재 시각을 기록하고 그 결과를 A-CFG-06에서 조회할 수 있어야 한다. 시드 파일이 원본(SSOT)이며 DB는 사본이다.</t>
        </is>
      </c>
      <c r="D55" s="155" t="inlineStr">
        <is>
          <t>F-CH-01, F-TRN-06, F-SRC-04a, A-CFG-06</t>
        </is>
      </c>
      <c r="E55" s="154" t="inlineStr">
        <is>
          <t>신설</t>
        </is>
      </c>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58.5" customHeight="1">
      <c r="A56" s="155" t="inlineStr">
        <is>
          <t>PL-17</t>
        </is>
      </c>
      <c r="B56" s="154" t="inlineStr">
        <is>
          <t>★카테고리 2층 분리 원칙</t>
        </is>
      </c>
      <c r="C56" s="154" t="inlineStr">
        <is>
          <t>사용자에게 보여주는 카테고리와 내부 지식을 분기하는 카테고리를 분리한다. 화면은 Amazon 트리에 준하는 상세 수준으로 노출하고(F-SRC-04a), 내부는 7종으로 축약해 용어집을 분기한다(F-SRC-04b). 규제 사전은 카테고리로 분기하지 않고 국가·규제 분류만 따른다(PL-18). 매핑은 데이터로 관리하며 코드에 넣지 않는다.</t>
        </is>
      </c>
      <c r="D56" s="155" t="inlineStr">
        <is>
          <t>F-SRC-04·04a·04b, F-TRN-06, A-CFG-02</t>
        </is>
      </c>
      <c r="E56" s="183" t="inlineStr">
        <is>
          <t>v2.5 수정</t>
        </is>
      </c>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86.25" customHeight="1">
      <c r="A57" s="155" t="inlineStr">
        <is>
          <t>PL-18</t>
        </is>
      </c>
      <c r="B57" s="154" t="inlineStr">
        <is>
          <t>★국가·언어·규제분류 독립 원칙</t>
        </is>
      </c>
      <c r="C57" s="154" t="inlineStr">
        <is>
          <t>타겟 국가·언어·규제분류에 채널·규격을 네 번째 독립 축으로 추가한다(v3.0). 국가·규제분류는 "무엇을 말할 수 있나"(FDA·약기법)를, 채널·규격은 "어떻게 담아야 하나"(규격+플랫폼 정책)를 결정하며, 둘 다 입력(N1)에서 선택한다(9월은 규격이 원본 고정). 채널을 입력에서 물으면 판정 배지의 2층 구조가 사라진다 — 국가 규제·채널 정책·현지 적합성을 섹션 확인 한 화면에서 판정한다. 9월엔 채널 정책 배지가 티저로만 뜨고 12월에 실제 판정으로 승격된다(화면 구조를 바꾸지 않고 데이터만 켜지는 형태). 분류 변경 시 번역·판정만 재실행한다. ★9월은 규격이 원본 고정이므로 채널 축이 값을 갖지 않는다 — 판정 티저(F-LOC-03)는 아마존을 가정한 예고이며, MVP 범위를 아마존 단독으로 좁힌 결정(OI-01 종결)에 근거한다. 채널 선택은 12월 사이트별 규격 활성화와 함께 열린다.</t>
        </is>
      </c>
      <c r="D57" s="155" t="inlineStr">
        <is>
          <t>F-LNG-01·02·03, F-CH-02, F-SEC-04, F-LOC-03</t>
        </is>
      </c>
      <c r="E57" s="183" t="inlineStr">
        <is>
          <t>v3.0 수정 — 채널·규격 4축 추가 (변경안 §7)</t>
        </is>
      </c>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45" customHeight="1">
      <c r="A58" s="155" t="inlineStr">
        <is>
          <t>PL-19</t>
        </is>
      </c>
      <c r="B58" s="154" t="inlineStr">
        <is>
          <t>★시연 범위 원칙</t>
        </is>
      </c>
      <c r="C58" s="155" t="inlineStr">
        <is>
          <t>MVP는 실제 쇼핑몰 업로드와 서비스 릴리스를 수행하지 않는다. 실사용자가 있어야 성립하는 기능(운영 지표·계정 관리·보관 만료)은 12월로 이월하되, 소급이 불가능한 기록(감사 로그·작업 이벤트·수정 신호)은 화면이 없어도 MVP부터 적재한다.</t>
        </is>
      </c>
      <c r="D58" s="155" t="inlineStr">
        <is>
          <t>A-ACC-03, A-DSH-01, A-QA-01, F-LST-09</t>
        </is>
      </c>
      <c r="E58" s="154" t="inlineStr">
        <is>
          <t>신설</t>
        </is>
      </c>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58.5" customHeight="1">
      <c r="A59" s="148" t="inlineStr">
        <is>
          <t>PL-20</t>
        </is>
      </c>
      <c r="B59" s="149" t="inlineStr">
        <is>
          <t>★용어집 강제/참고 구분 원칙</t>
        </is>
      </c>
      <c r="C59" s="149" t="inlineStr">
        <is>
          <t>용어집 항목은 enforcement로 강제와 참고를 구분한다. 강제(성분명 INCI 표준명·브랜드명·인증 공식 명칭)는 번역 결과에 반영되었는지 검사하고 미적용 시 확인 필요로 표시한다. 참고(마케팅 표현)는 RAG 예시로만 주입하며 적용 여부를 검사하지 않는다. 구분 없이 전량 검사하면 오탐이 쏟아져 확인 필요 신호의 품질이 무너지기 때문이다.</t>
        </is>
      </c>
      <c r="D59" s="148" t="inlineStr">
        <is>
          <t>F-TRN-02c, F-TRN-06, F-CFM-05</t>
        </is>
      </c>
      <c r="E59" s="149" t="inlineStr">
        <is>
          <t>신설</t>
        </is>
      </c>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86.25" customHeight="1">
      <c r="A60" s="148" t="inlineStr">
        <is>
          <t>PL-21</t>
        </is>
      </c>
      <c r="B60" s="149" t="inlineStr">
        <is>
          <t>★콘텐츠 데이터 3층 구조</t>
        </is>
      </c>
      <c r="C60" s="149" t="inlineStr">
        <is>
          <t>콘텐츠 데이터를 섹션 · 텍스트 블록 · 산출물(manifest) 3층으로 분리한다(v3.0 — 구 크롭·배치·텍스트 블록 구조를 대체). 텍스트 블록은 출처(원본 bbox)와 번역·판정 상태를 분리해 보유하며, 섹션 확인 결과와 1차 번역은 재생성·다른 규격 생성에서 재사용되는 공통 자산이다. ★원문의 출처는 하나다 — N3 판정 근거에 인용되는 문구, 검수(N5) 표의 원문, content.csv의 source_ko는 모두 같은 OCR 결과이며 서로 다를 수 없다(F-SEC-01).</t>
        </is>
      </c>
      <c r="D60" s="148" t="inlineStr">
        <is>
          <t>F-SEC-01~07, F-TRN-09, F-EXP-03, F-VER-02</t>
        </is>
      </c>
      <c r="E60" s="148" t="inlineStr">
        <is>
          <t>v3.0 수정 — 크롭·배치 3층→섹션·블록·산출물 3층</t>
        </is>
      </c>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58.5" customHeight="1">
      <c r="A61" s="148" t="inlineStr">
        <is>
          <t>PL-22</t>
        </is>
      </c>
      <c r="B61" s="149" t="inlineStr">
        <is>
          <t>★블록 생명주기 — 섹션 종속</t>
        </is>
      </c>
      <c r="C61" s="149" t="inlineStr">
        <is>
          <t>텍스트 블록의 생명주기는 섹션에 종속된다(v3.0 — 구 배치 종속을 대체). 섹션 제외 시 블록은 번역·산출물 대상에서 빠지되 데이터는 보존되고, 되살리기 시 그대로 복귀한다. 사용자 수정 번역문은 섹션 제외·복귀와 무관하게 보존된다.</t>
        </is>
      </c>
      <c r="D61" s="148" t="inlineStr">
        <is>
          <t>F-SEC-03, F-TRN-02d, F-CFM-02</t>
        </is>
      </c>
      <c r="E61" s="148" t="inlineStr">
        <is>
          <t>v3.0 수정 — 배치 종속→섹션 종속</t>
        </is>
      </c>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27.5" customHeight="1">
      <c r="A62" s="148" t="inlineStr">
        <is>
          <t>PL-23</t>
        </is>
      </c>
      <c r="B62" s="149" t="inlineStr">
        <is>
          <t>★규격 검증 규칙 단일 소스</t>
        </is>
      </c>
      <c r="C62" s="149" t="inlineStr">
        <is>
          <t>검증 기준은 channel_specs.validation_rules 하나에만 정의한다. 업로드 안내(F-CH-03)와 규격 검증(F-CH-05)이 같은 데이터를 읽으므로 '1600px 권장이라 안내하고 500px로 통과시키는' 불일치가 발생하지 않는다. 모든 규칙은 적용 범위(scope)를 반드시 갖는다 — 값은 module_slots.usage_type과 동일 체계(detail / thumbnail_main / thumbnail_sub / all)이며, 검증은 결과물 용도와 scope가 일치하는 규칙만 적용한다. scope 없는 규칙은 등록할 수 없다. 상품 이미지 규정(짧은 변 최소 500px)이 A+ 모듈(970×300)에 적용되어 정상 결과물이 항상 위반 판정되는 오류가 있었기 때문이다. 항목마다 출처 URL·확인일자·신뢰도를 기록한다 — A+ 970×300처럼 공식 문서에 명시가 없는 값이 있어 확장 시 근거 추적이 필요하다. 판정 결과는 결과물.validation_result에 저장하며 규칙과 결과는 항목 key로 대응한다. 모듈 슬롯 규격과 권장 이미지 장수는 module_spec 소유로 분리한다.</t>
        </is>
      </c>
      <c r="D62" s="148" t="inlineStr">
        <is>
          <t>F-CH-01, F-CH-03, F-CH-05, F-CH-05a, F-CH-07, F-FIN-02, NFR-22</t>
        </is>
      </c>
      <c r="E62" s="148" t="inlineStr">
        <is>
          <t>v2.2 수정 · v3.0 수정 — 검증 용어 개칭</t>
        </is>
      </c>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41.75" customHeight="1">
      <c r="A63" s="148" t="inlineStr">
        <is>
          <t>PL-24</t>
        </is>
      </c>
      <c r="B63" s="149" t="inlineStr">
        <is>
          <t>★비동기 작업 실패·재시도 정책</t>
        </is>
      </c>
      <c r="C63" s="149" t="inlineStr">
        <is>
          <t>사용자 재시도는 조건을 바꾸지 않아도 결과가 달라질 수 있는 작업에만 제공한다. 인페인팅은 시스템이 마스크 팽창 폭을 단계적으로 키워가며 상한까지 자동 재시도한 뒤 멈춘 상태이므로 재시도 버튼을 두지 않는다 — 같은 버튼을 눌러도 더 시도할 조건이 남아 있지 않으며, 조건을 바꾸는 재실행은 마스크 조정(F-INP-01e, 12월)으로 제공한다. 반면 번역과 렌더링은 API 타임아웃·레이트 리밋·폰트 로드 실패 등 일시적 원인으로 실패할 수 있어 같은 입력으로도 성공할 수 있으므로, 실패 항목을 개별 재시도할 수 있게 한다. 일괄 재시도 버튼은 두지 않되, 실패 항목이 5건을 넘으면 개별 재시도를 반복하게 두지 않고 잠시 후 다시 시도하도록 안내한다. 자동 재시도는 모든 작업에서 상한까지만 수행하고 멈춘다. 실패 항목은 목록이 아니라 사용자가 보는 해당 섹션·블록 위에 인라인 경고 배지로 표시하며 숨기지 않는다. 표시 지점은 검수(N5)다 — 인페인팅이 실패한 섹션은 9월에 마스크를 고칠 수 없으므로(F-INP-01e는 12월) 검수에서 해당 섹션을 제외하는 것이 대안이다(F-CFM-14) — N2·N4는 완료 시 자동 전환되는 처리 화면이라 배지가 머물 수 없다 — 인페인팅 실패는 원본 텍스트가 남은 상태이므로 노출해야 사용자가 상황을 이해하고, 숨기면 그 자리가 비어 보여 원인을 알 수 없다.</t>
        </is>
      </c>
      <c r="D63" s="148" t="inlineStr">
        <is>
          <t>F-INP-01b, F-INP-01e, F-JOB-06, F-TRN-05, F-FIN-01</t>
        </is>
      </c>
      <c r="E63" s="148" t="inlineStr">
        <is>
          <t>v2.4 수정</t>
        </is>
      </c>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45" customHeight="1">
      <c r="A64" s="6" t="inlineStr">
        <is>
          <t>PL-25</t>
        </is>
      </c>
      <c r="B64" s="262" t="inlineStr">
        <is>
          <t>★판정 책임 셀러 원칙</t>
        </is>
      </c>
      <c r="C64" s="262" t="inlineStr">
        <is>
          <t>판정은 권고이며 차단하지 않는다. 되살리기로 권고를 뒤집을 수 있고, 그 기록(restored_by_user + 원래 판정)이 판정 책임이 셀러에게 있음을 보여주는 근거가 된다. F-LNG-03의 "잘 모름" 탈출구·미선택 차단 원칙과 같은 계열이다.</t>
        </is>
      </c>
      <c r="D64" s="6" t="inlineStr">
        <is>
          <t>F-SEC-03·06, F-LNG-03, F-ACC-04</t>
        </is>
      </c>
      <c r="E64" s="6" t="inlineStr">
        <is>
          <t>v3.0 신설</t>
        </is>
      </c>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45" customHeight="1">
      <c r="A65" s="258" t="inlineStr">
        <is>
          <t>PL-26</t>
        </is>
      </c>
      <c r="B65" s="261" t="inlineStr">
        <is>
          <t>★편집기 비확장 원칙</t>
        </is>
      </c>
      <c r="C65" s="261" t="inlineStr">
        <is>
          <t>사용자에게 허용하는 것은 번역문 짧게 고치기 · 섹션 제외/되살리기(N3의 버킷, N5의 회색 제외 — F-CFM-14)뿐이다. 조판 파라미터(폰트 크기·줄바꿈 위치)는 시스템 자동 처리 후 알림만 하며 조작 UI를 노출하지 않는다 — 줄 추가·자간·박스 높이는 시스템도 하지 않는다(F-TRN-04, 9/1). 순서 재정렬도 불가 — 허용하는 순간 자유 배치가 뒷문으로 돌아온다. ★원문은 수정·입력하지 않으며 텍스트 블록을 새로 만들지 않는다 — OCR이 읽지 못한 블록도 확인 필요로 표시할 뿐 입력란을 두지 않는다(F-INP-02·F-INP-01a).</t>
        </is>
      </c>
      <c r="D65" s="258" t="inlineStr">
        <is>
          <t>F-CFM-02·12, F-TRN-04, F-SEC-03</t>
        </is>
      </c>
      <c r="E65" s="258" t="inlineStr">
        <is>
          <t>v3.0 신설 · v3.2.1 수정 — 「다른 번역 고르기」 삭제(F-CFM-11 폐기)</t>
        </is>
      </c>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86.25" customHeight="1">
      <c r="A66" s="6" t="inlineStr">
        <is>
          <t>PL-27</t>
        </is>
      </c>
      <c r="B66" s="262" t="inlineStr">
        <is>
          <t>★1차 번역 공통 자산 원칙</t>
        </is>
      </c>
      <c r="C66" s="262" t="inlineStr">
        <is>
          <t>번역은 단일 단계이며 항상 원본 박스 폭 기준 1차 번역을 생성한다. 2차 번역은 1차 번역에서만 파생한다(원문 직접 매칭 금지). 1차 번역은 content.csv trans_1 열로 항상 존재하며, 같은 국가·언어 안에서 규격만 바뀌는 다른 버전 생성에서는 재번역 없이 재사용되어 산출물 간 문구 일관성을 보장한다. 국가·언어가 바뀌면 그 조건의 1차 번역을 새로 생성한다(F-VER-01).</t>
        </is>
      </c>
      <c r="D66" s="6" t="inlineStr">
        <is>
          <t>F-TRN-09·10, F-EXP-02, F-VER-02</t>
        </is>
      </c>
      <c r="E66" s="6" t="inlineStr">
        <is>
          <t>v3.0 신설 · v3.0 수정 — 재사용 조건 명확화</t>
        </is>
      </c>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7.25" customHeight="1">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41.75" customHeight="1">
      <c r="A68" s="181" t="inlineStr">
        <is>
          <t>※ 폐기: PL-03(키워드 추천 데이터 소스 — 근거 기능 F-SRC-07이 v1.5에서 삭제) · PL-15(코드 편집 책임 원칙 — 근거 기능 F-HTM-02·03이 v1.5에서 삭제)</t>
        </is>
      </c>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 customHeight="1"/>
    <row r="1002" ht="15" customHeight="1"/>
    <row r="1003" ht="15" customHeight="1"/>
  </sheetData>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Z35"/>
  <sheetViews>
    <sheetView showGridLines="0" zoomScaleNormal="100" workbookViewId="0">
      <pane ySplit="4" topLeftCell="A5" activePane="bottomLeft" state="frozen"/>
      <selection pane="bottomLeft" activeCell="B6" sqref="B6"/>
    </sheetView>
  </sheetViews>
  <sheetFormatPr baseColWidth="8" defaultColWidth="14.42578125" defaultRowHeight="15"/>
  <cols>
    <col width="10" customWidth="1" min="1" max="1"/>
    <col width="12" customWidth="1" min="2" max="2"/>
    <col width="110" customWidth="1" min="3" max="3"/>
    <col width="10" customWidth="1" min="4" max="6"/>
  </cols>
  <sheetData>
    <row r="1" ht="21" customHeight="1">
      <c r="A1" s="17" t="inlineStr">
        <is>
          <t>07. 비기능 요구 사항 (NFR) — v3.2.1</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5" customHeight="1">
      <c r="A2" s="19" t="inlineStr">
        <is>
          <t>★연하늘 = v3.2.1 수정. 이전 개정(v3.0·v2.5·v2.4)의 변경 표시 색은 v3.2.1에서 전부 해제했다 — 변경 내역은 변경 이력 열이 소유한다</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ht="15" customHeight="1">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ht="31.5" customHeight="1">
      <c r="A4" s="147" t="inlineStr">
        <is>
          <t>ID</t>
        </is>
      </c>
      <c r="B4" s="146" t="inlineStr">
        <is>
          <t>구분</t>
        </is>
      </c>
      <c r="C4" s="146" t="inlineStr">
        <is>
          <t>요구사항</t>
        </is>
      </c>
      <c r="D4" s="146" t="inlineStr">
        <is>
          <t>우선순위</t>
        </is>
      </c>
      <c r="E4" s="146" t="inlineStr">
        <is>
          <t>릴리스</t>
        </is>
      </c>
      <c r="F4" s="146" t="inlineStr">
        <is>
          <t>변경 이력</t>
        </is>
      </c>
      <c r="G4" s="6" t="n"/>
      <c r="H4" s="6" t="n"/>
      <c r="I4" s="6" t="n"/>
      <c r="J4" s="6" t="n"/>
      <c r="K4" s="6" t="n"/>
      <c r="L4" s="6" t="n"/>
      <c r="M4" s="6" t="n"/>
      <c r="N4" s="6" t="n"/>
      <c r="O4" s="6" t="n"/>
      <c r="P4" s="6" t="n"/>
      <c r="Q4" s="6" t="n"/>
      <c r="R4" s="6" t="n"/>
      <c r="S4" s="6" t="n"/>
      <c r="T4" s="6" t="n"/>
      <c r="U4" s="6" t="n"/>
      <c r="V4" s="6" t="n"/>
      <c r="W4" s="6" t="n"/>
      <c r="X4" s="6" t="n"/>
      <c r="Y4" s="6" t="n"/>
      <c r="Z4" s="6" t="n"/>
    </row>
    <row r="5" ht="86.25" customHeight="1">
      <c r="A5" s="155" t="inlineStr">
        <is>
          <t>NFR-01</t>
        </is>
      </c>
      <c r="B5" s="154" t="inlineStr">
        <is>
          <t>성능</t>
        </is>
      </c>
      <c r="C5" s="154" t="inlineStr">
        <is>
          <t>초장축 원본 1장(섹션 15~20개 규모) 기준 분석(N2: OCR·섹션 분해·판정) 처리 시간의 목표치를 정한다 — 구 "조각 10개 기준 3분"은 단위가 소멸해 무효. 목표 수치는 V7(초장축 전체 OCR 실측) 결과로 확정한다(미실행 — 임의 확정 금지).</t>
        </is>
      </c>
      <c r="D5" s="155" t="inlineStr">
        <is>
          <t>P0</t>
        </is>
      </c>
      <c r="E5" s="155" t="inlineStr">
        <is>
          <t>must</t>
        </is>
      </c>
      <c r="F5" s="155" t="inlineStr">
        <is>
          <t>v3.0 수정 — 단위 재정의, 수치는 V7 후 확정</t>
        </is>
      </c>
      <c r="G5" s="6" t="n"/>
      <c r="H5" s="6" t="n"/>
      <c r="I5" s="6" t="n"/>
      <c r="J5" s="6" t="n"/>
      <c r="K5" s="6" t="n"/>
      <c r="L5" s="6" t="n"/>
      <c r="M5" s="6" t="n"/>
      <c r="N5" s="6" t="n"/>
      <c r="O5" s="6" t="n"/>
      <c r="P5" s="6" t="n"/>
      <c r="Q5" s="6" t="n"/>
      <c r="R5" s="6" t="n"/>
      <c r="S5" s="6" t="n"/>
      <c r="T5" s="6" t="n"/>
      <c r="U5" s="6" t="n"/>
      <c r="V5" s="6" t="n"/>
      <c r="W5" s="6" t="n"/>
      <c r="X5" s="6" t="n"/>
      <c r="Y5" s="6" t="n"/>
      <c r="Z5" s="6" t="n"/>
    </row>
    <row r="6" ht="58.5" customHeight="1">
      <c r="A6" s="288" t="inlineStr">
        <is>
          <t>NFR-02</t>
        </is>
      </c>
      <c r="B6" s="289" t="inlineStr">
        <is>
          <t>성능</t>
        </is>
      </c>
      <c r="C6" s="288" t="inlineStr">
        <is>
          <t>AI 초안 생성 30초 이내</t>
        </is>
      </c>
      <c r="D6" s="288" t="inlineStr">
        <is>
          <t>P1</t>
        </is>
      </c>
      <c r="E6" s="289" t="inlineStr">
        <is>
          <t>삭제</t>
        </is>
      </c>
      <c r="F6" s="290" t="inlineStr">
        <is>
          <t>v3.0 삭제 — AI 초안 축 삭제</t>
        </is>
      </c>
      <c r="G6" s="6" t="n"/>
      <c r="H6" s="6" t="n"/>
      <c r="I6" s="6" t="n"/>
      <c r="J6" s="6" t="n"/>
      <c r="K6" s="6" t="n"/>
      <c r="L6" s="6" t="n"/>
      <c r="M6" s="6" t="n"/>
      <c r="N6" s="6" t="n"/>
      <c r="O6" s="6" t="n"/>
      <c r="P6" s="6" t="n"/>
      <c r="Q6" s="6" t="n"/>
      <c r="R6" s="6" t="n"/>
      <c r="S6" s="6" t="n"/>
      <c r="T6" s="6" t="n"/>
      <c r="U6" s="6" t="n"/>
      <c r="V6" s="6" t="n"/>
      <c r="W6" s="6" t="n"/>
      <c r="X6" s="6" t="n"/>
      <c r="Y6" s="6" t="n"/>
      <c r="Z6" s="6" t="n"/>
    </row>
    <row r="7" ht="17.25" customHeight="1">
      <c r="A7" s="155" t="inlineStr">
        <is>
          <t>NFR-03</t>
        </is>
      </c>
      <c r="B7" s="154" t="inlineStr">
        <is>
          <t>성능</t>
        </is>
      </c>
      <c r="C7" s="155" t="inlineStr">
        <is>
          <t>N6 최종 렌더링이 결과물 1장(원본 업로드 1장 단위 — F-FIN-01) 기준 30초 이내에 완료될 것. 동시 실행 수 제한 등 처리 방식은 구현 판단이다(부하 검토는 OI-28).</t>
        </is>
      </c>
      <c r="D7" s="155" t="inlineStr">
        <is>
          <t>P0</t>
        </is>
      </c>
      <c r="E7" s="155" t="inlineStr">
        <is>
          <t>must</t>
        </is>
      </c>
      <c r="F7" s="154" t="inlineStr">
        <is>
          <t>수정</t>
        </is>
      </c>
      <c r="G7" s="6" t="n"/>
      <c r="H7" s="6" t="n"/>
      <c r="I7" s="6" t="n"/>
      <c r="J7" s="6" t="n"/>
      <c r="K7" s="6" t="n"/>
      <c r="L7" s="6" t="n"/>
      <c r="M7" s="6" t="n"/>
      <c r="N7" s="6" t="n"/>
      <c r="O7" s="6" t="n"/>
      <c r="P7" s="6" t="n"/>
      <c r="Q7" s="6" t="n"/>
      <c r="R7" s="6" t="n"/>
      <c r="S7" s="6" t="n"/>
      <c r="T7" s="6" t="n"/>
      <c r="U7" s="6" t="n"/>
      <c r="V7" s="6" t="n"/>
      <c r="W7" s="6" t="n"/>
      <c r="X7" s="6" t="n"/>
      <c r="Y7" s="6" t="n"/>
      <c r="Z7" s="6" t="n"/>
    </row>
    <row r="8" ht="141.75" customHeight="1">
      <c r="A8" s="155" t="inlineStr">
        <is>
          <t>NFR-04</t>
        </is>
      </c>
      <c r="B8" s="154" t="inlineStr">
        <is>
          <t>성능</t>
        </is>
      </c>
      <c r="C8" s="154" t="inlineStr">
        <is>
          <t>다른 버전 생성은 상시 재사용(OCR·섹션 분해·인페인팅) + 축별 조건부 재사용(판정·섹션 확인 결과·1차 번역 — F-VER-01)으로 최초 대비 단축될 것. 목표 단축률은 V1·V6 실측 후 확정한다(미실행 — 임의 확정 금지)</t>
        </is>
      </c>
      <c r="D8" s="155" t="inlineStr">
        <is>
          <t>P1</t>
        </is>
      </c>
      <c r="E8" s="155" t="inlineStr">
        <is>
          <t>should</t>
        </is>
      </c>
      <c r="F8" s="154" t="inlineStr">
        <is>
          <t>수정 · v3.0 수정 — 재사용 자산을 1차 번역·섹션 체계로 · v3.0 수정</t>
        </is>
      </c>
      <c r="G8" s="6" t="n"/>
      <c r="H8" s="6" t="n"/>
      <c r="I8" s="6" t="n"/>
      <c r="J8" s="6" t="n"/>
      <c r="K8" s="6" t="n"/>
      <c r="L8" s="6" t="n"/>
      <c r="M8" s="6" t="n"/>
      <c r="N8" s="6" t="n"/>
      <c r="O8" s="6" t="n"/>
      <c r="P8" s="6" t="n"/>
      <c r="Q8" s="6" t="n"/>
      <c r="R8" s="6" t="n"/>
      <c r="S8" s="6" t="n"/>
      <c r="T8" s="6" t="n"/>
      <c r="U8" s="6" t="n"/>
      <c r="V8" s="6" t="n"/>
      <c r="W8" s="6" t="n"/>
      <c r="X8" s="6" t="n"/>
      <c r="Y8" s="6" t="n"/>
      <c r="Z8" s="6" t="n"/>
    </row>
    <row r="9" ht="86.25" customHeight="1">
      <c r="A9" s="288" t="inlineStr">
        <is>
          <t>NFR-05</t>
        </is>
      </c>
      <c r="B9" s="289" t="inlineStr">
        <is>
          <t>성능</t>
        </is>
      </c>
      <c r="C9" s="289" t="inlineStr">
        <is>
          <t>배치 화면의 드래그 조작 지연 100ms 이내</t>
        </is>
      </c>
      <c r="D9" s="288" t="inlineStr">
        <is>
          <t>P1</t>
        </is>
      </c>
      <c r="E9" s="289" t="inlineStr">
        <is>
          <t>삭제</t>
        </is>
      </c>
      <c r="F9" s="288" t="inlineStr">
        <is>
          <t>v3.0 삭제 — 배치 캔버스 삭제(드래그 없음)</t>
        </is>
      </c>
      <c r="G9" s="6" t="n"/>
      <c r="H9" s="6" t="n"/>
      <c r="I9" s="6" t="n"/>
      <c r="J9" s="6" t="n"/>
      <c r="K9" s="6" t="n"/>
      <c r="L9" s="6" t="n"/>
      <c r="M9" s="6" t="n"/>
      <c r="N9" s="6" t="n"/>
      <c r="O9" s="6" t="n"/>
      <c r="P9" s="6" t="n"/>
      <c r="Q9" s="6" t="n"/>
      <c r="R9" s="6" t="n"/>
      <c r="S9" s="6" t="n"/>
      <c r="T9" s="6" t="n"/>
      <c r="U9" s="6" t="n"/>
      <c r="V9" s="6" t="n"/>
      <c r="W9" s="6" t="n"/>
      <c r="X9" s="6" t="n"/>
      <c r="Y9" s="6" t="n"/>
      <c r="Z9" s="6" t="n"/>
    </row>
    <row r="10" ht="100.5" customHeight="1">
      <c r="A10" s="288" t="inlineStr">
        <is>
          <t>NFR-06</t>
        </is>
      </c>
      <c r="B10" s="289" t="inlineStr">
        <is>
          <t>성능</t>
        </is>
      </c>
      <c r="C10" s="289" t="inlineStr">
        <is>
          <t>배경 가공 방식 전환(아웃페인팅 제외)은 CSS 교체이므로 즉시 반영될 것</t>
        </is>
      </c>
      <c r="D10" s="288" t="inlineStr">
        <is>
          <t>P1</t>
        </is>
      </c>
      <c r="E10" s="289" t="inlineStr">
        <is>
          <t>삭제</t>
        </is>
      </c>
      <c r="F10" s="290" t="inlineStr">
        <is>
          <t>v3.0 삭제 — 배경 가공 방식 전환(F-BG-04) 삭제</t>
        </is>
      </c>
      <c r="G10" s="6" t="n"/>
      <c r="H10" s="6" t="n"/>
      <c r="I10" s="6" t="n"/>
      <c r="J10" s="6" t="n"/>
      <c r="K10" s="6" t="n"/>
      <c r="L10" s="6" t="n"/>
      <c r="M10" s="6" t="n"/>
      <c r="N10" s="6" t="n"/>
      <c r="O10" s="6" t="n"/>
      <c r="P10" s="6" t="n"/>
      <c r="Q10" s="6" t="n"/>
      <c r="R10" s="6" t="n"/>
      <c r="S10" s="6" t="n"/>
      <c r="T10" s="6" t="n"/>
      <c r="U10" s="6" t="n"/>
      <c r="V10" s="6" t="n"/>
      <c r="W10" s="6" t="n"/>
      <c r="X10" s="6" t="n"/>
      <c r="Y10" s="6" t="n"/>
      <c r="Z10" s="6" t="n"/>
    </row>
    <row r="11" ht="86.25" customHeight="1">
      <c r="A11" s="155" t="inlineStr">
        <is>
          <t>NFR-07</t>
        </is>
      </c>
      <c r="B11" s="154" t="inlineStr">
        <is>
          <t>성능</t>
        </is>
      </c>
      <c r="C11" s="154" t="inlineStr">
        <is>
          <t>단계 되돌림의 무효화·재계산 처리 3초 이내 완료. 무효 대상은 조건(국가·규제분류·규격) 종속 산출물(판정 배지·조건 종속 번역)이며, OCR·섹션 분해·인페인팅·1차 번역·사용자 수정 번역문은 보존한다(F-NAV-05 · 05_상태_정책 되돌림 판정표). [12월] 되돌림이 12월 범위이므로 이 요구사항도 12월에 적용된다.</t>
        </is>
      </c>
      <c r="D11" s="155" t="inlineStr">
        <is>
          <t>P1</t>
        </is>
      </c>
      <c r="E11" s="155" t="inlineStr">
        <is>
          <t>should</t>
        </is>
      </c>
      <c r="F11" s="183" t="inlineStr">
        <is>
          <t>v1.6 수정 · 되돌림 12월 이월에 따라 should · v3.0 수정 — "MVP의 실질 무효 대상은 배경 가공뿐" 삭제(MVP에는 되돌림 자체가 없고 배경 가공은 조건 종속 산출물이 아니다) · 판정 기준을 F-NAV-05로 정렬</t>
        </is>
      </c>
      <c r="G11" s="6" t="n"/>
      <c r="H11" s="6" t="n"/>
      <c r="I11" s="6" t="n"/>
      <c r="J11" s="6" t="n"/>
      <c r="K11" s="6" t="n"/>
      <c r="L11" s="6" t="n"/>
      <c r="M11" s="6" t="n"/>
      <c r="N11" s="6" t="n"/>
      <c r="O11" s="6" t="n"/>
      <c r="P11" s="6" t="n"/>
      <c r="Q11" s="6" t="n"/>
      <c r="R11" s="6" t="n"/>
      <c r="S11" s="6" t="n"/>
      <c r="T11" s="6" t="n"/>
      <c r="U11" s="6" t="n"/>
      <c r="V11" s="6" t="n"/>
      <c r="W11" s="6" t="n"/>
      <c r="X11" s="6" t="n"/>
      <c r="Y11" s="6" t="n"/>
      <c r="Z11" s="6" t="n"/>
    </row>
    <row r="12" ht="17.25" customHeight="1">
      <c r="A12" s="155" t="inlineStr">
        <is>
          <t>NFR-08</t>
        </is>
      </c>
      <c r="B12" s="154" t="inlineStr">
        <is>
          <t>안정성</t>
        </is>
      </c>
      <c r="C12" s="155" t="inlineStr">
        <is>
          <t>GPU 추론 실패 시 자동 재시도 후 오류 상태로 전환하고 사유를 기록할 것. ★인페인팅의 재시도는 이 조항이 아니라 F-INP-01b(마스크 팽창 폭을 단계적으로 키워 상한까지)를 따른다 — 두 규칙이 같은 처리에 겹치지 않는다. 재시도 횟수·상한은 구현 판단이다.</t>
        </is>
      </c>
      <c r="D12" s="155" t="inlineStr">
        <is>
          <t>P0</t>
        </is>
      </c>
      <c r="E12" s="155" t="inlineStr">
        <is>
          <t>must</t>
        </is>
      </c>
      <c r="F12" s="155" t="n"/>
      <c r="G12" s="6" t="n"/>
      <c r="H12" s="6" t="n"/>
      <c r="I12" s="6" t="n"/>
      <c r="J12" s="6" t="n"/>
      <c r="K12" s="6" t="n"/>
      <c r="L12" s="6" t="n"/>
      <c r="M12" s="6" t="n"/>
      <c r="N12" s="6" t="n"/>
      <c r="O12" s="6" t="n"/>
      <c r="P12" s="6" t="n"/>
      <c r="Q12" s="6" t="n"/>
      <c r="R12" s="6" t="n"/>
      <c r="S12" s="6" t="n"/>
      <c r="T12" s="6" t="n"/>
      <c r="U12" s="6" t="n"/>
      <c r="V12" s="6" t="n"/>
      <c r="W12" s="6" t="n"/>
      <c r="X12" s="6" t="n"/>
      <c r="Y12" s="6" t="n"/>
      <c r="Z12" s="6" t="n"/>
    </row>
    <row r="13" ht="114" customHeight="1">
      <c r="A13" s="148" t="inlineStr">
        <is>
          <t>NFR-09</t>
        </is>
      </c>
      <c r="B13" s="149" t="inlineStr">
        <is>
          <t>안정성</t>
        </is>
      </c>
      <c r="C13" s="149" t="inlineStr">
        <is>
          <t>실행 취소 스택은 세션 내 최소 20단계 보존 — [12월] F-CFM-03이 should로 이월되어 MVP에서는 적용되지 않는다</t>
        </is>
      </c>
      <c r="D13" s="148" t="inlineStr">
        <is>
          <t>P1</t>
        </is>
      </c>
      <c r="E13" s="148" t="inlineStr">
        <is>
          <t>should</t>
        </is>
      </c>
      <c r="F13" s="148" t="inlineStr">
        <is>
          <t>v1.6 수정 · 단계 이동 초기화 조항 삭제(되돌림 12월 이월) · v3.0 수정 — 본문이 "MVP에서는 적용되지 않는다"인데 P0·must였던 불일치 정정(F-CFM-03 should와 정렬)</t>
        </is>
      </c>
      <c r="G13" s="6" t="n"/>
      <c r="H13" s="6" t="n"/>
      <c r="I13" s="6" t="n"/>
      <c r="J13" s="6" t="n"/>
      <c r="K13" s="6" t="n"/>
      <c r="L13" s="6" t="n"/>
      <c r="M13" s="6" t="n"/>
      <c r="N13" s="6" t="n"/>
      <c r="O13" s="6" t="n"/>
      <c r="P13" s="6" t="n"/>
      <c r="Q13" s="6" t="n"/>
      <c r="R13" s="6" t="n"/>
      <c r="S13" s="6" t="n"/>
      <c r="T13" s="6" t="n"/>
      <c r="U13" s="6" t="n"/>
      <c r="V13" s="6" t="n"/>
      <c r="W13" s="6" t="n"/>
      <c r="X13" s="6" t="n"/>
      <c r="Y13" s="6" t="n"/>
      <c r="Z13" s="6" t="n"/>
    </row>
    <row r="14" ht="58.5" customHeight="1">
      <c r="A14" s="288" t="inlineStr">
        <is>
          <t>NFR-10</t>
        </is>
      </c>
      <c r="B14" s="289" t="inlineStr">
        <is>
          <t>안정성</t>
        </is>
      </c>
      <c r="C14" s="288" t="inlineStr">
        <is>
          <t>AI 초안 폐기 시 직전 배치 상태가 정확히 복원될 것</t>
        </is>
      </c>
      <c r="D14" s="288" t="inlineStr">
        <is>
          <t>P1</t>
        </is>
      </c>
      <c r="E14" s="289" t="inlineStr">
        <is>
          <t>삭제</t>
        </is>
      </c>
      <c r="F14" s="290" t="inlineStr">
        <is>
          <t>v3.0 삭제 — AI 초안 축 삭제</t>
        </is>
      </c>
      <c r="G14" s="6" t="n"/>
      <c r="H14" s="6" t="n"/>
      <c r="I14" s="6" t="n"/>
      <c r="J14" s="6" t="n"/>
      <c r="K14" s="6" t="n"/>
      <c r="L14" s="6" t="n"/>
      <c r="M14" s="6" t="n"/>
      <c r="N14" s="6" t="n"/>
      <c r="O14" s="6" t="n"/>
      <c r="P14" s="6" t="n"/>
      <c r="Q14" s="6" t="n"/>
      <c r="R14" s="6" t="n"/>
      <c r="S14" s="6" t="n"/>
      <c r="T14" s="6" t="n"/>
      <c r="U14" s="6" t="n"/>
      <c r="V14" s="6" t="n"/>
      <c r="W14" s="6" t="n"/>
      <c r="X14" s="6" t="n"/>
      <c r="Y14" s="6" t="n"/>
      <c r="Z14" s="6" t="n"/>
    </row>
    <row r="15" ht="86.25" customHeight="1">
      <c r="A15" s="155" t="inlineStr">
        <is>
          <t>NFR-11</t>
        </is>
      </c>
      <c r="B15" s="154" t="inlineStr">
        <is>
          <t>안정성</t>
        </is>
      </c>
      <c r="C15" s="154" t="inlineStr">
        <is>
          <t>되돌림의 무효화 처리가 부분 실패하면 이동을 취소하고 원래 단계를 유지할 것</t>
        </is>
      </c>
      <c r="D15" s="155" t="inlineStr">
        <is>
          <t>P1</t>
        </is>
      </c>
      <c r="E15" s="155" t="inlineStr">
        <is>
          <t>should</t>
        </is>
      </c>
      <c r="F15" s="183" t="inlineStr">
        <is>
          <t>v1.6 수정 · 되돌림 12월 이월에 따라 should</t>
        </is>
      </c>
      <c r="G15" s="6" t="n"/>
      <c r="H15" s="6" t="n"/>
      <c r="I15" s="6" t="n"/>
      <c r="J15" s="6" t="n"/>
      <c r="K15" s="6" t="n"/>
      <c r="L15" s="6" t="n"/>
      <c r="M15" s="6" t="n"/>
      <c r="N15" s="6" t="n"/>
      <c r="O15" s="6" t="n"/>
      <c r="P15" s="6" t="n"/>
      <c r="Q15" s="6" t="n"/>
      <c r="R15" s="6" t="n"/>
      <c r="S15" s="6" t="n"/>
      <c r="T15" s="6" t="n"/>
      <c r="U15" s="6" t="n"/>
      <c r="V15" s="6" t="n"/>
      <c r="W15" s="6" t="n"/>
      <c r="X15" s="6" t="n"/>
      <c r="Y15" s="6" t="n"/>
      <c r="Z15" s="6" t="n"/>
    </row>
    <row r="16" ht="72.75" customHeight="1">
      <c r="A16" s="155" t="inlineStr">
        <is>
          <t>NFR-12</t>
        </is>
      </c>
      <c r="B16" s="154" t="inlineStr">
        <is>
          <t>품질</t>
        </is>
      </c>
      <c r="C16" s="154" t="inlineStr">
        <is>
          <t>검수 화면(N5)에서 본 미리보기와 최종 렌더링 결과가 육안상 동일할 것 — ★적용 범위는 우리가 렌더하는 산출물(9월 제자리 렌더 이미지 · 12월 baked/ · html · psd)에 한한다. 12월 분리형(images/ + content.csv를 아마존 폼에 입력)은 최종 화면을 아마존이 그리므로 폰트·줄바꿈·모바일 재배치·재압축이 달라질 수 있고 우리가 통제·측정할 수 없다 — 요구사항이 아니라 셀러 고지 대상으로 둔다(F-EXP-07 · PL-19 시연 범위 원칙) ★N5에서 제외한 섹션(F-CFM-14)은 최종 렌더에서 스택되어 결과물 높이가 검수 화면과 달라진다 — 사용자가 지시한 변화이고 화면에 사전 고지되므로 이 요구사항의 대상이 아니다.</t>
        </is>
      </c>
      <c r="D16" s="155" t="inlineStr">
        <is>
          <t>P0</t>
        </is>
      </c>
      <c r="E16" s="155" t="inlineStr">
        <is>
          <t>must</t>
        </is>
      </c>
      <c r="F16" s="155" t="inlineStr">
        <is>
          <t>v3.0 수정 — 편집 화면→검수 화면 · v3.0 수정 — 적용 범위를 우리가 렌더하는 산출물로 한정, 분리형은 고지 대상</t>
        </is>
      </c>
      <c r="G16" s="6" t="n"/>
      <c r="H16" s="6" t="n"/>
      <c r="I16" s="6" t="n"/>
      <c r="J16" s="6" t="n"/>
      <c r="K16" s="6" t="n"/>
      <c r="L16" s="6" t="n"/>
      <c r="M16" s="6" t="n"/>
      <c r="N16" s="6" t="n"/>
      <c r="O16" s="6" t="n"/>
      <c r="P16" s="6" t="n"/>
      <c r="Q16" s="6" t="n"/>
      <c r="R16" s="6" t="n"/>
      <c r="S16" s="6" t="n"/>
      <c r="T16" s="6" t="n"/>
      <c r="U16" s="6" t="n"/>
      <c r="V16" s="6" t="n"/>
      <c r="W16" s="6" t="n"/>
      <c r="X16" s="6" t="n"/>
      <c r="Y16" s="6" t="n"/>
      <c r="Z16" s="6" t="n"/>
    </row>
    <row r="17" ht="17.25" customHeight="1">
      <c r="A17" s="155" t="inlineStr">
        <is>
          <t>NFR-13</t>
        </is>
      </c>
      <c r="B17" s="154" t="inlineStr">
        <is>
          <t>품질</t>
        </is>
      </c>
      <c r="C17" s="154" t="inlineStr">
        <is>
          <t>텍스트 좌표 오차가 원본 대비 허용치 이내일 것 (허용치 정의는 OI-27) 허용치는 OI-27에서 확정한다(미확정 — 임의 확정 금지).</t>
        </is>
      </c>
      <c r="D17" s="155" t="inlineStr">
        <is>
          <t>P0</t>
        </is>
      </c>
      <c r="E17" s="155" t="inlineStr">
        <is>
          <t>must</t>
        </is>
      </c>
      <c r="F17" s="155" t="n"/>
      <c r="G17" s="6" t="n"/>
      <c r="H17" s="6" t="n"/>
      <c r="I17" s="6" t="n"/>
      <c r="J17" s="6" t="n"/>
      <c r="K17" s="6" t="n"/>
      <c r="L17" s="6" t="n"/>
      <c r="M17" s="6" t="n"/>
      <c r="N17" s="6" t="n"/>
      <c r="O17" s="6" t="n"/>
      <c r="P17" s="6" t="n"/>
      <c r="Q17" s="6" t="n"/>
      <c r="R17" s="6" t="n"/>
      <c r="S17" s="6" t="n"/>
      <c r="T17" s="6" t="n"/>
      <c r="U17" s="6" t="n"/>
      <c r="V17" s="6" t="n"/>
      <c r="W17" s="6" t="n"/>
      <c r="X17" s="6" t="n"/>
      <c r="Y17" s="6" t="n"/>
      <c r="Z17" s="6" t="n"/>
    </row>
    <row r="18" ht="17.25" customHeight="1">
      <c r="A18" s="155" t="inlineStr">
        <is>
          <t>NFR-14</t>
        </is>
      </c>
      <c r="B18" s="154" t="inlineStr">
        <is>
          <t>품질</t>
        </is>
      </c>
      <c r="C18" s="154" t="inlineStr">
        <is>
          <t>규제 위험 표현 검출 재현율의 목표치를 정한다. 수치는 내부 평가셋 구축 후 확정한다(미구축 — 임의 확정 금지). 구 값 "90% 이상"은 출처가 없고 측정 수단(평가셋)도 존재하지 않아 무효. 평가셋 구축은 OI-54.</t>
        </is>
      </c>
      <c r="D18" s="155" t="inlineStr">
        <is>
          <t>P1</t>
        </is>
      </c>
      <c r="E18" s="155" t="inlineStr">
        <is>
          <t>should</t>
        </is>
      </c>
      <c r="F18" s="155" t="inlineStr">
        <is>
          <t xml:space="preserve"> · v3.0 수정 — 측정 수단(내부 평가셋) 부재로 수치 무효화, 구축은 OI-54 · P0→P1</t>
        </is>
      </c>
      <c r="G18" s="6" t="n"/>
      <c r="H18" s="6" t="n"/>
      <c r="I18" s="6" t="n"/>
      <c r="J18" s="6" t="n"/>
      <c r="K18" s="6" t="n"/>
      <c r="L18" s="6" t="n"/>
      <c r="M18" s="6" t="n"/>
      <c r="N18" s="6" t="n"/>
      <c r="O18" s="6" t="n"/>
      <c r="P18" s="6" t="n"/>
      <c r="Q18" s="6" t="n"/>
      <c r="R18" s="6" t="n"/>
      <c r="S18" s="6" t="n"/>
      <c r="T18" s="6" t="n"/>
      <c r="U18" s="6" t="n"/>
      <c r="V18" s="6" t="n"/>
      <c r="W18" s="6" t="n"/>
      <c r="X18" s="6" t="n"/>
      <c r="Y18" s="6" t="n"/>
      <c r="Z18" s="6" t="n"/>
    </row>
    <row r="19" ht="17.25" customHeight="1">
      <c r="A19" s="155" t="inlineStr">
        <is>
          <t>NFR-15</t>
        </is>
      </c>
      <c r="B19" s="154" t="inlineStr">
        <is>
          <t>품질</t>
        </is>
      </c>
      <c r="C19" s="154" t="inlineStr">
        <is>
          <t>인페인팅 후 원본 텍스트 잔존율은 섹션 단위로 기준값 미만일 것. ★잔존율의 정의(분모)와 기준값은 V1(LaMa 실측) 결과로 확정한다(미실행 — 임의 확정 금지) — 구 값 "1% 미만"은 분모가 정의되지 않아 판정할 수 없다. 자동 재시도 상한에 도달해 처리 실패 배지가 달린 섹션은 이 요구사항의 판정 대상에서 제외하며, 배지로 셀러에게 고지하는 것으로 갈음한다(F-INP-01b · PL-24).</t>
        </is>
      </c>
      <c r="D19" s="155" t="inlineStr">
        <is>
          <t>P0</t>
        </is>
      </c>
      <c r="E19" s="155" t="inlineStr">
        <is>
          <t>must</t>
        </is>
      </c>
      <c r="F19" s="155" t="inlineStr">
        <is>
          <t xml:space="preserve"> · v3.0 수정 — 적용 단위(섹션) 명시 · 분모·기준값을 V1 실측으로 이관 · 처리 실패 섹션 예외 명시(F-INP-01b와 정합)</t>
        </is>
      </c>
      <c r="G19" s="6" t="n"/>
      <c r="H19" s="6" t="n"/>
      <c r="I19" s="6" t="n"/>
      <c r="J19" s="6" t="n"/>
      <c r="K19" s="6" t="n"/>
      <c r="L19" s="6" t="n"/>
      <c r="M19" s="6" t="n"/>
      <c r="N19" s="6" t="n"/>
      <c r="O19" s="6" t="n"/>
      <c r="P19" s="6" t="n"/>
      <c r="Q19" s="6" t="n"/>
      <c r="R19" s="6" t="n"/>
      <c r="S19" s="6" t="n"/>
      <c r="T19" s="6" t="n"/>
      <c r="U19" s="6" t="n"/>
      <c r="V19" s="6" t="n"/>
      <c r="W19" s="6" t="n"/>
      <c r="X19" s="6" t="n"/>
      <c r="Y19" s="6" t="n"/>
      <c r="Z19" s="6" t="n"/>
    </row>
    <row r="20" ht="31.5" customHeight="1">
      <c r="A20" s="155" t="inlineStr">
        <is>
          <t>NFR-16</t>
        </is>
      </c>
      <c r="B20" s="154" t="inlineStr">
        <is>
          <t>품질</t>
        </is>
      </c>
      <c r="C20" s="154" t="inlineStr">
        <is>
          <t>모든 번역 블록에 로컬라이징 근거가 존재할 것. 국가 셀렉터가 규제 사전 보유국만 노출하므로 근거 없는 블록은 발생하지 않는다. 신뢰도 점수는 요구하지 않는다(F-CFM-05 참조)</t>
        </is>
      </c>
      <c r="D20" s="155" t="inlineStr">
        <is>
          <t>P0</t>
        </is>
      </c>
      <c r="E20" s="155" t="inlineStr">
        <is>
          <t>must</t>
        </is>
      </c>
      <c r="F20" s="154" t="inlineStr">
        <is>
          <t>수정</t>
        </is>
      </c>
      <c r="G20" s="6" t="n"/>
      <c r="H20" s="6" t="n"/>
      <c r="I20" s="6" t="n"/>
      <c r="J20" s="6" t="n"/>
      <c r="K20" s="6" t="n"/>
      <c r="L20" s="6" t="n"/>
      <c r="M20" s="6" t="n"/>
      <c r="N20" s="6" t="n"/>
      <c r="O20" s="6" t="n"/>
      <c r="P20" s="6" t="n"/>
      <c r="Q20" s="6" t="n"/>
      <c r="R20" s="6" t="n"/>
      <c r="S20" s="6" t="n"/>
      <c r="T20" s="6" t="n"/>
      <c r="U20" s="6" t="n"/>
      <c r="V20" s="6" t="n"/>
      <c r="W20" s="6" t="n"/>
      <c r="X20" s="6" t="n"/>
      <c r="Y20" s="6" t="n"/>
      <c r="Z20" s="6" t="n"/>
    </row>
    <row r="21" ht="72.75" customHeight="1">
      <c r="A21" s="155" t="inlineStr">
        <is>
          <t>NFR-17</t>
        </is>
      </c>
      <c r="B21" s="154" t="inlineStr">
        <is>
          <t>품질</t>
        </is>
      </c>
      <c r="C21" s="287" t="inlineStr">
        <is>
          <t>규격 검증 통과분의 규격 위반 0건</t>
        </is>
      </c>
      <c r="D21" s="155" t="inlineStr">
        <is>
          <t>P0</t>
        </is>
      </c>
      <c r="E21" s="155" t="inlineStr">
        <is>
          <t>must</t>
        </is>
      </c>
      <c r="F21" s="155" t="inlineStr">
        <is>
          <t>v3.0 수정 — 검증 용어 개칭</t>
        </is>
      </c>
      <c r="G21" s="6" t="n"/>
      <c r="H21" s="6" t="n"/>
      <c r="I21" s="6" t="n"/>
      <c r="J21" s="6" t="n"/>
      <c r="K21" s="6" t="n"/>
      <c r="L21" s="6" t="n"/>
      <c r="M21" s="6" t="n"/>
      <c r="N21" s="6" t="n"/>
      <c r="O21" s="6" t="n"/>
      <c r="P21" s="6" t="n"/>
      <c r="Q21" s="6" t="n"/>
      <c r="R21" s="6" t="n"/>
      <c r="S21" s="6" t="n"/>
      <c r="T21" s="6" t="n"/>
      <c r="U21" s="6" t="n"/>
      <c r="V21" s="6" t="n"/>
      <c r="W21" s="6" t="n"/>
      <c r="X21" s="6" t="n"/>
      <c r="Y21" s="6" t="n"/>
      <c r="Z21" s="6" t="n"/>
    </row>
    <row r="22" ht="58.5" customHeight="1">
      <c r="A22" s="155" t="inlineStr">
        <is>
          <t>NFR-18</t>
        </is>
      </c>
      <c r="B22" s="154" t="inlineStr">
        <is>
          <t>품질</t>
        </is>
      </c>
      <c r="C22" s="183" t="inlineStr">
        <is>
          <t>[12월 이월] 인증 뱃지는 원형 유지 — 색상·비율 변경 0건 (뱃지 기능 12월 이월에 동반)</t>
        </is>
      </c>
      <c r="D22" s="155" t="inlineStr">
        <is>
          <t>P1</t>
        </is>
      </c>
      <c r="E22" s="155" t="inlineStr">
        <is>
          <t>should</t>
        </is>
      </c>
      <c r="F22" s="154" t="inlineStr">
        <is>
          <t>수정 · v3.0 수정 — 12월 이월</t>
        </is>
      </c>
      <c r="G22" s="6" t="n"/>
      <c r="H22" s="6" t="n"/>
      <c r="I22" s="6" t="n"/>
      <c r="J22" s="6" t="n"/>
      <c r="K22" s="6" t="n"/>
      <c r="L22" s="6" t="n"/>
      <c r="M22" s="6" t="n"/>
      <c r="N22" s="6" t="n"/>
      <c r="O22" s="6" t="n"/>
      <c r="P22" s="6" t="n"/>
      <c r="Q22" s="6" t="n"/>
      <c r="R22" s="6" t="n"/>
      <c r="S22" s="6" t="n"/>
      <c r="T22" s="6" t="n"/>
      <c r="U22" s="6" t="n"/>
      <c r="V22" s="6" t="n"/>
      <c r="W22" s="6" t="n"/>
      <c r="X22" s="6" t="n"/>
      <c r="Y22" s="6" t="n"/>
      <c r="Z22" s="6" t="n"/>
    </row>
    <row r="23" ht="17.25" customHeight="1">
      <c r="A23" s="155" t="inlineStr">
        <is>
          <t>NFR-19</t>
        </is>
      </c>
      <c r="B23" s="154" t="inlineStr">
        <is>
          <t>보안</t>
        </is>
      </c>
      <c r="C23" s="154" t="inlineStr">
        <is>
          <t>브랜드 간 데이터 격리. 타 셀러 원본·분석 데이터·결과물 접근 불가</t>
        </is>
      </c>
      <c r="D23" s="155" t="inlineStr">
        <is>
          <t>P0</t>
        </is>
      </c>
      <c r="E23" s="155" t="inlineStr">
        <is>
          <t>must</t>
        </is>
      </c>
      <c r="F23" s="155" t="n"/>
      <c r="G23" s="6" t="n"/>
      <c r="H23" s="6" t="n"/>
      <c r="I23" s="6" t="n"/>
      <c r="J23" s="6" t="n"/>
      <c r="K23" s="6" t="n"/>
      <c r="L23" s="6" t="n"/>
      <c r="M23" s="6" t="n"/>
      <c r="N23" s="6" t="n"/>
      <c r="O23" s="6" t="n"/>
      <c r="P23" s="6" t="n"/>
      <c r="Q23" s="6" t="n"/>
      <c r="R23" s="6" t="n"/>
      <c r="S23" s="6" t="n"/>
      <c r="T23" s="6" t="n"/>
      <c r="U23" s="6" t="n"/>
      <c r="V23" s="6" t="n"/>
      <c r="W23" s="6" t="n"/>
      <c r="X23" s="6" t="n"/>
      <c r="Y23" s="6" t="n"/>
      <c r="Z23" s="6" t="n"/>
    </row>
    <row r="24" ht="17.25" customHeight="1">
      <c r="A24" s="155" t="inlineStr">
        <is>
          <t>NFR-20</t>
        </is>
      </c>
      <c r="B24" s="154" t="inlineStr">
        <is>
          <t>보안</t>
        </is>
      </c>
      <c r="C24" s="154" t="inlineStr">
        <is>
          <t>업로드 파일은 암호화 저장하고 서명 URL로만 접근</t>
        </is>
      </c>
      <c r="D24" s="155" t="inlineStr">
        <is>
          <t>P0</t>
        </is>
      </c>
      <c r="E24" s="155" t="inlineStr">
        <is>
          <t>must</t>
        </is>
      </c>
      <c r="F24" s="155" t="n"/>
      <c r="G24" s="6" t="n"/>
      <c r="H24" s="6" t="n"/>
      <c r="I24" s="6" t="n"/>
      <c r="J24" s="6" t="n"/>
      <c r="K24" s="6" t="n"/>
      <c r="L24" s="6" t="n"/>
      <c r="M24" s="6" t="n"/>
      <c r="N24" s="6" t="n"/>
      <c r="O24" s="6" t="n"/>
      <c r="P24" s="6" t="n"/>
      <c r="Q24" s="6" t="n"/>
      <c r="R24" s="6" t="n"/>
      <c r="S24" s="6" t="n"/>
      <c r="T24" s="6" t="n"/>
      <c r="U24" s="6" t="n"/>
      <c r="V24" s="6" t="n"/>
      <c r="W24" s="6" t="n"/>
      <c r="X24" s="6" t="n"/>
      <c r="Y24" s="6" t="n"/>
      <c r="Z24" s="6" t="n"/>
    </row>
    <row r="25" ht="17.25" customHeight="1">
      <c r="A25" s="155" t="inlineStr">
        <is>
          <t>NFR-21</t>
        </is>
      </c>
      <c r="B25" s="154" t="inlineStr">
        <is>
          <t>보안</t>
        </is>
      </c>
      <c r="C25" s="154" t="inlineStr">
        <is>
          <t>운영자의 고객 데이터 열람은 사유 기록 없이 불가</t>
        </is>
      </c>
      <c r="D25" s="155" t="inlineStr">
        <is>
          <t>P1</t>
        </is>
      </c>
      <c r="E25" s="155" t="inlineStr">
        <is>
          <t>should</t>
        </is>
      </c>
      <c r="F25" s="154" t="inlineStr">
        <is>
          <t>수정</t>
        </is>
      </c>
      <c r="G25" s="6" t="n"/>
      <c r="H25" s="6" t="n"/>
      <c r="I25" s="6" t="n"/>
      <c r="J25" s="6" t="n"/>
      <c r="K25" s="6" t="n"/>
      <c r="L25" s="6" t="n"/>
      <c r="M25" s="6" t="n"/>
      <c r="N25" s="6" t="n"/>
      <c r="O25" s="6" t="n"/>
      <c r="P25" s="6" t="n"/>
      <c r="Q25" s="6" t="n"/>
      <c r="R25" s="6" t="n"/>
      <c r="S25" s="6" t="n"/>
      <c r="T25" s="6" t="n"/>
      <c r="U25" s="6" t="n"/>
      <c r="V25" s="6" t="n"/>
      <c r="W25" s="6" t="n"/>
      <c r="X25" s="6" t="n"/>
      <c r="Y25" s="6" t="n"/>
      <c r="Z25" s="6" t="n"/>
    </row>
    <row r="26" ht="17.25" customHeight="1">
      <c r="A26" s="155" t="inlineStr">
        <is>
          <t>NFR-22</t>
        </is>
      </c>
      <c r="B26" s="154" t="inlineStr">
        <is>
          <t>확장성</t>
        </is>
      </c>
      <c r="C26" s="154" t="inlineStr">
        <is>
          <t>국가·규격은 코드 수정 없이 규격 데이터·규제 사전 추가만으로 확장 가능</t>
        </is>
      </c>
      <c r="D26" s="155" t="inlineStr">
        <is>
          <t>P0</t>
        </is>
      </c>
      <c r="E26" s="155" t="inlineStr">
        <is>
          <t>must</t>
        </is>
      </c>
      <c r="F26" s="154" t="inlineStr">
        <is>
          <t>수정</t>
        </is>
      </c>
      <c r="G26" s="6" t="n"/>
      <c r="H26" s="6" t="n"/>
      <c r="I26" s="6" t="n"/>
      <c r="J26" s="6" t="n"/>
      <c r="K26" s="6" t="n"/>
      <c r="L26" s="6" t="n"/>
      <c r="M26" s="6" t="n"/>
      <c r="N26" s="6" t="n"/>
      <c r="O26" s="6" t="n"/>
      <c r="P26" s="6" t="n"/>
      <c r="Q26" s="6" t="n"/>
      <c r="R26" s="6" t="n"/>
      <c r="S26" s="6" t="n"/>
      <c r="T26" s="6" t="n"/>
      <c r="U26" s="6" t="n"/>
      <c r="V26" s="6" t="n"/>
      <c r="W26" s="6" t="n"/>
      <c r="X26" s="6" t="n"/>
      <c r="Y26" s="6" t="n"/>
      <c r="Z26" s="6" t="n"/>
    </row>
    <row r="27" ht="17.25" customHeight="1">
      <c r="A27" s="155" t="inlineStr">
        <is>
          <t>NFR-23</t>
        </is>
      </c>
      <c r="B27" s="154" t="inlineStr">
        <is>
          <t>확장성</t>
        </is>
      </c>
      <c r="C27" s="154" t="inlineStr">
        <is>
          <t>언어·카테고리 확장은 용어집 갱신만으로 가능할 것 (모델 재학습 불필요)</t>
        </is>
      </c>
      <c r="D27" s="155" t="inlineStr">
        <is>
          <t>P0</t>
        </is>
      </c>
      <c r="E27" s="155" t="inlineStr">
        <is>
          <t>must</t>
        </is>
      </c>
      <c r="F27" s="154" t="inlineStr">
        <is>
          <t>수정</t>
        </is>
      </c>
      <c r="G27" s="6" t="n"/>
      <c r="H27" s="6" t="n"/>
      <c r="I27" s="6" t="n"/>
      <c r="J27" s="6" t="n"/>
      <c r="K27" s="6" t="n"/>
      <c r="L27" s="6" t="n"/>
      <c r="M27" s="6" t="n"/>
      <c r="N27" s="6" t="n"/>
      <c r="O27" s="6" t="n"/>
      <c r="P27" s="6" t="n"/>
      <c r="Q27" s="6" t="n"/>
      <c r="R27" s="6" t="n"/>
      <c r="S27" s="6" t="n"/>
      <c r="T27" s="6" t="n"/>
      <c r="U27" s="6" t="n"/>
      <c r="V27" s="6" t="n"/>
      <c r="W27" s="6" t="n"/>
      <c r="X27" s="6" t="n"/>
      <c r="Y27" s="6" t="n"/>
      <c r="Z27" s="6" t="n"/>
    </row>
    <row r="28" ht="31.5" customHeight="1">
      <c r="A28" s="155" t="inlineStr">
        <is>
          <t>NFR-24</t>
        </is>
      </c>
      <c r="B28" s="154" t="inlineStr">
        <is>
          <t>감사</t>
        </is>
      </c>
      <c r="C28" s="154" t="inlineStr">
        <is>
          <t>책임 한계 동의, 인증 사용권 확인, 번역문 직접 수정, 규격 위반 강행, 단계 되돌림, 마스터 데이터 변경, 운영자 조작 이력을 보존할 것. 조회 화면과 무관하게 기록은 MVP부터 동작한다</t>
        </is>
      </c>
      <c r="D28" s="155" t="inlineStr">
        <is>
          <t>P0</t>
        </is>
      </c>
      <c r="E28" s="155" t="inlineStr">
        <is>
          <t>must</t>
        </is>
      </c>
      <c r="F28" s="154" t="inlineStr">
        <is>
          <t>수정</t>
        </is>
      </c>
      <c r="G28" s="6" t="n"/>
      <c r="H28" s="6" t="n"/>
      <c r="I28" s="6" t="n"/>
      <c r="J28" s="6" t="n"/>
      <c r="K28" s="6" t="n"/>
      <c r="L28" s="6" t="n"/>
      <c r="M28" s="6" t="n"/>
      <c r="N28" s="6" t="n"/>
      <c r="O28" s="6" t="n"/>
      <c r="P28" s="6" t="n"/>
      <c r="Q28" s="6" t="n"/>
      <c r="R28" s="6" t="n"/>
      <c r="S28" s="6" t="n"/>
      <c r="T28" s="6" t="n"/>
      <c r="U28" s="6" t="n"/>
      <c r="V28" s="6" t="n"/>
      <c r="W28" s="6" t="n"/>
      <c r="X28" s="6" t="n"/>
      <c r="Y28" s="6" t="n"/>
      <c r="Z28" s="6" t="n"/>
    </row>
    <row r="29" ht="17.25" customHeight="1">
      <c r="A29" s="155" t="inlineStr">
        <is>
          <t>NFR-25</t>
        </is>
      </c>
      <c r="B29" s="154" t="inlineStr">
        <is>
          <t>운영</t>
        </is>
      </c>
      <c r="C29" s="154" t="inlineStr">
        <is>
          <t>대시보드 지표는 15분 이내 지연으로 갱신될 것</t>
        </is>
      </c>
      <c r="D29" s="155" t="inlineStr">
        <is>
          <t>P2</t>
        </is>
      </c>
      <c r="E29" s="155" t="inlineStr">
        <is>
          <t>should</t>
        </is>
      </c>
      <c r="F29" s="154" t="inlineStr">
        <is>
          <t>수정</t>
        </is>
      </c>
      <c r="G29" s="6" t="n"/>
      <c r="H29" s="6" t="n"/>
      <c r="I29" s="6" t="n"/>
      <c r="J29" s="6" t="n"/>
      <c r="K29" s="6" t="n"/>
      <c r="L29" s="6" t="n"/>
      <c r="M29" s="6" t="n"/>
      <c r="N29" s="6" t="n"/>
      <c r="O29" s="6" t="n"/>
      <c r="P29" s="6" t="n"/>
      <c r="Q29" s="6" t="n"/>
      <c r="R29" s="6" t="n"/>
      <c r="S29" s="6" t="n"/>
      <c r="T29" s="6" t="n"/>
      <c r="U29" s="6" t="n"/>
      <c r="V29" s="6" t="n"/>
      <c r="W29" s="6" t="n"/>
      <c r="X29" s="6" t="n"/>
      <c r="Y29" s="6" t="n"/>
      <c r="Z29" s="6" t="n"/>
    </row>
    <row r="30" ht="17.25" customHeight="1">
      <c r="A30" s="155" t="inlineStr">
        <is>
          <t>NFR-26</t>
        </is>
      </c>
      <c r="B30" s="154" t="inlineStr">
        <is>
          <t>운영</t>
        </is>
      </c>
      <c r="C30" s="154" t="inlineStr">
        <is>
          <t>규제 사전·용어집·규격 변경은 롤백 가능할 것</t>
        </is>
      </c>
      <c r="D30" s="155" t="inlineStr">
        <is>
          <t>P1</t>
        </is>
      </c>
      <c r="E30" s="155" t="inlineStr">
        <is>
          <t>should</t>
        </is>
      </c>
      <c r="F30" s="154" t="inlineStr">
        <is>
          <t>수정</t>
        </is>
      </c>
      <c r="G30" s="6" t="n"/>
      <c r="H30" s="6" t="n"/>
      <c r="I30" s="6" t="n"/>
      <c r="J30" s="6" t="n"/>
      <c r="K30" s="6" t="n"/>
      <c r="L30" s="6" t="n"/>
      <c r="M30" s="6" t="n"/>
      <c r="N30" s="6" t="n"/>
      <c r="O30" s="6" t="n"/>
      <c r="P30" s="6" t="n"/>
      <c r="Q30" s="6" t="n"/>
      <c r="R30" s="6" t="n"/>
      <c r="S30" s="6" t="n"/>
      <c r="T30" s="6" t="n"/>
      <c r="U30" s="6" t="n"/>
      <c r="V30" s="6" t="n"/>
      <c r="W30" s="6" t="n"/>
      <c r="X30" s="6" t="n"/>
      <c r="Y30" s="6" t="n"/>
      <c r="Z30" s="6" t="n"/>
    </row>
    <row r="31" ht="72.75" customHeight="1">
      <c r="A31" s="155" t="inlineStr">
        <is>
          <t>NFR-27</t>
        </is>
      </c>
      <c r="B31" s="154" t="inlineStr">
        <is>
          <t>사용성</t>
        </is>
      </c>
      <c r="C31" s="154" t="inlineStr">
        <is>
          <t>핵심 플로우(N1→N6)를 최초 사용자가 안내 없이 완주 가능할 것</t>
        </is>
      </c>
      <c r="D31" s="155" t="inlineStr">
        <is>
          <t>P0</t>
        </is>
      </c>
      <c r="E31" s="155" t="inlineStr">
        <is>
          <t>must</t>
        </is>
      </c>
      <c r="F31" s="154" t="inlineStr">
        <is>
          <t>수정 · v3.0 수정 — S1→S8을 N1→N6으로</t>
        </is>
      </c>
      <c r="G31" s="6" t="n"/>
      <c r="H31" s="6" t="n"/>
      <c r="I31" s="6" t="n"/>
      <c r="J31" s="6" t="n"/>
      <c r="K31" s="6" t="n"/>
      <c r="L31" s="6" t="n"/>
      <c r="M31" s="6" t="n"/>
      <c r="N31" s="6" t="n"/>
      <c r="O31" s="6" t="n"/>
      <c r="P31" s="6" t="n"/>
      <c r="Q31" s="6" t="n"/>
      <c r="R31" s="6" t="n"/>
      <c r="S31" s="6" t="n"/>
      <c r="T31" s="6" t="n"/>
      <c r="U31" s="6" t="n"/>
      <c r="V31" s="6" t="n"/>
      <c r="W31" s="6" t="n"/>
      <c r="X31" s="6" t="n"/>
      <c r="Y31" s="6" t="n"/>
      <c r="Z31" s="6" t="n"/>
    </row>
    <row r="32" ht="31.5" customHeight="1">
      <c r="A32" s="155" t="inlineStr">
        <is>
          <t>NFR-28</t>
        </is>
      </c>
      <c r="B32" s="154" t="inlineStr">
        <is>
          <t>운영</t>
        </is>
      </c>
      <c r="C32" s="154" t="inlineStr">
        <is>
          <t>마스터 데이터(규격·규제 사전·용어집·카테고리)는 관리 화면 없이 시드 스크립트로 주입 가능해야 하며, 주입 시 버전과 적재 시각을 기록할 것</t>
        </is>
      </c>
      <c r="D32" s="155" t="inlineStr">
        <is>
          <t>P0</t>
        </is>
      </c>
      <c r="E32" s="155" t="inlineStr">
        <is>
          <t>must</t>
        </is>
      </c>
      <c r="F32" s="154" t="inlineStr">
        <is>
          <t>신설</t>
        </is>
      </c>
      <c r="G32" s="6" t="n"/>
      <c r="H32" s="6" t="n"/>
      <c r="I32" s="6" t="n"/>
      <c r="J32" s="6" t="n"/>
      <c r="K32" s="6" t="n"/>
      <c r="L32" s="6" t="n"/>
      <c r="M32" s="6" t="n"/>
      <c r="N32" s="6" t="n"/>
      <c r="O32" s="6" t="n"/>
      <c r="P32" s="6" t="n"/>
      <c r="Q32" s="6" t="n"/>
      <c r="R32" s="6" t="n"/>
      <c r="S32" s="6" t="n"/>
      <c r="T32" s="6" t="n"/>
      <c r="U32" s="6" t="n"/>
      <c r="V32" s="6" t="n"/>
      <c r="W32" s="6" t="n"/>
      <c r="X32" s="6" t="n"/>
      <c r="Y32" s="6" t="n"/>
      <c r="Z32" s="6" t="n"/>
    </row>
    <row r="33" ht="31.5" customHeight="1">
      <c r="A33" s="155" t="inlineStr">
        <is>
          <t>NFR-29</t>
        </is>
      </c>
      <c r="B33" s="154" t="inlineStr">
        <is>
          <t>확장성</t>
        </is>
      </c>
      <c r="C33" s="154" t="inlineStr">
        <is>
          <t>작업 이벤트(단계 전이·완료·중단·오류)는 집계 화면의 유무와 무관하게 MVP부터 적재할 것. 소급 산출이 불가능하기 때문이다</t>
        </is>
      </c>
      <c r="D33" s="155" t="inlineStr">
        <is>
          <t>P0</t>
        </is>
      </c>
      <c r="E33" s="155" t="inlineStr">
        <is>
          <t>must</t>
        </is>
      </c>
      <c r="F33" s="154" t="inlineStr">
        <is>
          <t>신설</t>
        </is>
      </c>
      <c r="G33" s="6" t="n"/>
      <c r="H33" s="6" t="n"/>
      <c r="I33" s="6" t="n"/>
      <c r="J33" s="6" t="n"/>
      <c r="K33" s="6" t="n"/>
      <c r="L33" s="6" t="n"/>
      <c r="M33" s="6" t="n"/>
      <c r="N33" s="6" t="n"/>
      <c r="O33" s="6" t="n"/>
      <c r="P33" s="6" t="n"/>
      <c r="Q33" s="6" t="n"/>
      <c r="R33" s="6" t="n"/>
      <c r="S33" s="6" t="n"/>
      <c r="T33" s="6" t="n"/>
      <c r="U33" s="6" t="n"/>
      <c r="V33" s="6" t="n"/>
      <c r="W33" s="6" t="n"/>
      <c r="X33" s="6" t="n"/>
      <c r="Y33" s="6" t="n"/>
      <c r="Z33" s="6" t="n"/>
    </row>
    <row r="34" ht="72.75" customHeight="1">
      <c r="A34" s="258" t="inlineStr">
        <is>
          <t>NFR-30</t>
        </is>
      </c>
      <c r="B34" s="261" t="inlineStr">
        <is>
          <t>성능</t>
        </is>
      </c>
      <c r="C34" s="261" t="inlineStr">
        <is>
          <t>공간 제약 번역의 호출·렌더 비용을 완화책 2종으로 통제할 것 — ⓐ 블록을 배치(batch)로 묶어 번역 호출 수를 줄인다 ⓑ 글자수→픽셀 근사식으로 명백히 폭에 드는 블록을 렌더 측정 전에 거른다(렌더가 가장 비쌈). 목표 수치(총 소요 시간·폭 초과 잔존율)는 V6 실측 후 확정한다. ★V6 측정 항목은 "조판 조정(폰트 축소 −10%·줄바꿈)만으로 몇 %의 블록이 폭에 수렴하는가"다 — F-TRN-04에서 줄 추가·자간을 삭제해 조정 여력이 얇으므로, 수렴률이 지나치게 낮으면 2b식 가변 높이를 9월에도 검토할지 재논의한다(미실행 — 임의 확정 금지). 미완화 시 "번역 중" 화면이 길어진다(R-12).</t>
        </is>
      </c>
      <c r="D34" s="258" t="inlineStr">
        <is>
          <t>P0</t>
        </is>
      </c>
      <c r="E34" s="258" t="inlineStr">
        <is>
          <t>must</t>
        </is>
      </c>
      <c r="F34" s="258" t="inlineStr">
        <is>
          <t>v3.0 신설 — 변경안 §3-4 완화책·V6 · v3.2.1 수정 — 번역 후보 폐기로 완화책 4종 중 ⓐ(후보 일괄 생성)·ⓒ(후보 사전 필터)·ⓓ(재시도 상한)의 근거가 소멸. 남은 2종으로 축소하고 V6를 조판 조정 수렴률 측정으로 재정의</t>
        </is>
      </c>
      <c r="G34" s="6" t="n"/>
      <c r="H34" s="6" t="n"/>
      <c r="I34" s="6" t="n"/>
      <c r="J34" s="6" t="n"/>
      <c r="K34" s="6" t="n"/>
      <c r="L34" s="6" t="n"/>
      <c r="M34" s="6" t="n"/>
      <c r="N34" s="6" t="n"/>
      <c r="O34" s="6" t="n"/>
      <c r="P34" s="6" t="n"/>
      <c r="Q34" s="6" t="n"/>
      <c r="R34" s="6" t="n"/>
      <c r="S34" s="6" t="n"/>
      <c r="T34" s="6" t="n"/>
      <c r="U34" s="6" t="n"/>
      <c r="V34" s="6" t="n"/>
      <c r="W34" s="6" t="n"/>
      <c r="X34" s="6" t="n"/>
      <c r="Y34" s="6" t="n"/>
      <c r="Z34" s="6" t="n"/>
    </row>
    <row r="35" ht="72.75" customHeight="1">
      <c r="A35" s="6" t="inlineStr">
        <is>
          <t>NFR-31</t>
        </is>
      </c>
      <c r="B35" s="262" t="inlineStr">
        <is>
          <t>품질</t>
        </is>
      </c>
      <c r="C35" s="262" t="inlineStr">
        <is>
          <t>산출물 무결성 — 제외된 섹션의 사유 코드·판정 근거·자동 조정 내역이 content.csv와 manifest.json에 누락 0건으로 포함될 것. 결과물만 보고는 알 수 없는 정보이므로 반드시 남긴다. ★두 파일의 역할이 다르다 — content.csv는 셀러가 내려받는 증빙, manifest.json은 서버 내부 데이터(export.zip 미포함, F-EXP-01). 검증은 각각 수행한다.</t>
        </is>
      </c>
      <c r="D35" s="6" t="inlineStr">
        <is>
          <t>P0</t>
        </is>
      </c>
      <c r="E35" s="6" t="inlineStr">
        <is>
          <t>must</t>
        </is>
      </c>
      <c r="F35" s="6" t="inlineStr">
        <is>
          <t>v3.0 신설 — F-SEC-05·06, F-EXP-02·03 · v3.0 수정 — 배포/내부 역할 구분</t>
        </is>
      </c>
      <c r="G35" s="6" t="n"/>
      <c r="H35" s="6" t="n"/>
      <c r="I35" s="6" t="n"/>
      <c r="J35" s="6" t="n"/>
      <c r="K35" s="6" t="n"/>
      <c r="L35" s="6" t="n"/>
      <c r="M35" s="6" t="n"/>
      <c r="N35" s="6" t="n"/>
      <c r="O35" s="6" t="n"/>
      <c r="P35" s="6" t="n"/>
      <c r="Q35" s="6" t="n"/>
      <c r="R35" s="6" t="n"/>
      <c r="S35" s="6" t="n"/>
      <c r="T35" s="6" t="n"/>
      <c r="U35" s="6" t="n"/>
      <c r="V35" s="6" t="n"/>
      <c r="W35" s="6" t="n"/>
      <c r="X35" s="6" t="n"/>
      <c r="Y35" s="6" t="n"/>
      <c r="Z35" s="6" t="n"/>
    </row>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 customHeight="1"/>
    <row r="1002" ht="15" customHeight="1"/>
  </sheetData>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Z23"/>
  <sheetViews>
    <sheetView showGridLines="0" zoomScaleNormal="100" workbookViewId="0">
      <pane ySplit="4" topLeftCell="A5" activePane="bottomLeft" state="frozen"/>
      <selection pane="bottomLeft" activeCell="B6" sqref="B6"/>
    </sheetView>
  </sheetViews>
  <sheetFormatPr baseColWidth="8" defaultColWidth="14.42578125" defaultRowHeight="15"/>
  <cols>
    <col width="10" customWidth="1" min="1" max="1"/>
    <col width="14" customWidth="1" min="2" max="2"/>
    <col width="24" customWidth="1" min="3" max="3"/>
    <col width="62" customWidth="1" min="4" max="4"/>
    <col width="46" customWidth="1" min="5" max="5"/>
    <col width="44" customWidth="1" min="6" max="6"/>
  </cols>
  <sheetData>
    <row r="1" ht="21" customHeight="1">
      <c r="A1" s="17" t="inlineStr">
        <is>
          <t>08. 릴리스 로드맵 — v3.2.1</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5" customHeight="1">
      <c r="A2" s="145" t="inlineStr">
        <is>
          <t>MVP(10/1 중간 공유 — 관문 아님) → 12월(12/11 최종발표 — 실질 마일스톤) · ★연하늘 = v3.2.1 수정. 이전 개정의 변경 표시 색은 v3.2.1에서 전부 해제했다</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ht="15" customHeight="1">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ht="17.25" customHeight="1">
      <c r="A4" s="146" t="inlineStr">
        <is>
          <t>릴리스</t>
        </is>
      </c>
      <c r="B4" s="146" t="inlineStr">
        <is>
          <t>목표일</t>
        </is>
      </c>
      <c r="C4" s="146" t="inlineStr">
        <is>
          <t>테마</t>
        </is>
      </c>
      <c r="D4" s="146" t="inlineStr">
        <is>
          <t>포함 범위</t>
        </is>
      </c>
      <c r="E4" s="146" t="inlineStr">
        <is>
          <t>달성 상태 (판정 기준)</t>
        </is>
      </c>
      <c r="F4" s="146" t="inlineStr">
        <is>
          <t>관련 기능 ID</t>
        </is>
      </c>
      <c r="G4" s="6" t="n"/>
      <c r="H4" s="6" t="n"/>
      <c r="I4" s="6" t="n"/>
      <c r="J4" s="6" t="n"/>
      <c r="K4" s="6" t="n"/>
      <c r="L4" s="6" t="n"/>
      <c r="M4" s="6" t="n"/>
      <c r="N4" s="6" t="n"/>
      <c r="O4" s="6" t="n"/>
      <c r="P4" s="6" t="n"/>
      <c r="Q4" s="6" t="n"/>
      <c r="R4" s="6" t="n"/>
      <c r="S4" s="6" t="n"/>
      <c r="T4" s="6" t="n"/>
      <c r="U4" s="6" t="n"/>
      <c r="V4" s="6" t="n"/>
      <c r="W4" s="6" t="n"/>
      <c r="X4" s="6" t="n"/>
      <c r="Y4" s="6" t="n"/>
      <c r="Z4" s="6" t="n"/>
    </row>
    <row r="5" ht="31.5" customHeight="1">
      <c r="A5" s="148" t="inlineStr">
        <is>
          <t>MVP</t>
        </is>
      </c>
      <c r="B5" s="148" t="inlineStr">
        <is>
          <t>2026-10-01</t>
        </is>
      </c>
      <c r="C5" s="148" t="inlineStr">
        <is>
          <t>N1~N6 핵심 플로우</t>
        </is>
      </c>
      <c r="D5" s="148" t="inlineStr">
        <is>
          <t>N1 입력 → N2 분석 → N3 섹션 확인 → N4 번역 → N5 검수 → N6 저장 · 원본 규격 고정(제자리 번역) · 도착어 영어 단일</t>
        </is>
      </c>
      <c r="E5" s="149" t="inlineStr">
        <is>
          <t>골든 샘플 원본으로 N1→N6을 끊김 없이 완주해 시연. 단일 세션 기준이며, 후퇴 수단은 처리 중단·복귀(F-JOB-08)와 검수 중 섹션 제외(F-CFM-14)로 한정된다 — 단계 되돌림은 12월</t>
        </is>
      </c>
      <c r="F5" s="148" t="inlineStr">
        <is>
          <t>F-NAV, F-CH-02, F-SRC, F-LNG, F-SEC, F-INP, F-TRN, F-CFM, F-FIN, F-EXP, F-JOB</t>
        </is>
      </c>
      <c r="G5" s="6" t="n"/>
      <c r="H5" s="6" t="n"/>
      <c r="I5" s="6" t="n"/>
      <c r="J5" s="6" t="n"/>
      <c r="K5" s="6" t="n"/>
      <c r="L5" s="6" t="n"/>
      <c r="M5" s="6" t="n"/>
      <c r="N5" s="6" t="n"/>
      <c r="O5" s="6" t="n"/>
      <c r="P5" s="6" t="n"/>
      <c r="Q5" s="6" t="n"/>
      <c r="R5" s="6" t="n"/>
      <c r="S5" s="6" t="n"/>
      <c r="T5" s="6" t="n"/>
      <c r="U5" s="6" t="n"/>
      <c r="V5" s="6" t="n"/>
      <c r="W5" s="6" t="n"/>
      <c r="X5" s="6" t="n"/>
      <c r="Y5" s="6" t="n"/>
      <c r="Z5" s="6" t="n"/>
    </row>
    <row r="6" ht="31.5" customHeight="1">
      <c r="A6" s="291" t="inlineStr">
        <is>
          <t>MVP</t>
        </is>
      </c>
      <c r="B6" s="291" t="inlineStr">
        <is>
          <t>2026-10-01</t>
        </is>
      </c>
      <c r="C6" s="292" t="inlineStr">
        <is>
          <t>조각 기반 자유 배치</t>
        </is>
      </c>
      <c r="D6" s="292" t="inlineStr">
        <is>
          <t>조각 크롭 → 다중 모듈 배치 → 위치·크기 조절 → 조각 단위 인페인팅 캐시</t>
        </is>
      </c>
      <c r="E6" s="293" t="inlineStr">
        <is>
          <t>v3.0 삭제 — 편집 축 제거</t>
        </is>
      </c>
      <c r="F6" s="291" t="inlineStr">
        <is>
          <t>F-CRP-01·01a, F-PLC-02a~02h, F-INP-01c</t>
        </is>
      </c>
      <c r="G6" s="6" t="n"/>
      <c r="H6" s="6" t="n"/>
      <c r="I6" s="6" t="n"/>
      <c r="J6" s="6" t="n"/>
      <c r="K6" s="6" t="n"/>
      <c r="L6" s="6" t="n"/>
      <c r="M6" s="6" t="n"/>
      <c r="N6" s="6" t="n"/>
      <c r="O6" s="6" t="n"/>
      <c r="P6" s="6" t="n"/>
      <c r="Q6" s="6" t="n"/>
      <c r="R6" s="6" t="n"/>
      <c r="S6" s="6" t="n"/>
      <c r="T6" s="6" t="n"/>
      <c r="U6" s="6" t="n"/>
      <c r="V6" s="6" t="n"/>
      <c r="W6" s="6" t="n"/>
      <c r="X6" s="6" t="n"/>
      <c r="Y6" s="6" t="n"/>
      <c r="Z6" s="6" t="n"/>
    </row>
    <row r="7" ht="31.5" customHeight="1">
      <c r="A7" s="294" t="inlineStr">
        <is>
          <t>MVP</t>
        </is>
      </c>
      <c r="B7" s="294" t="inlineStr">
        <is>
          <t>2026-10-01</t>
        </is>
      </c>
      <c r="C7" s="294" t="inlineStr">
        <is>
          <t>RAG 번역 · 공간 제약 · 규제 검증</t>
        </is>
      </c>
      <c r="D7" s="295" t="inlineStr">
        <is>
          <t>용어집 기반 현지화 · 공간 제약 번역(원본 박스 폭 — 렌더 폭 실측·조판 조정) · 금지표현 사전 매칭 · 현지 부적합 판정 · 로컬라이징 근거</t>
        </is>
      </c>
      <c r="E7" s="295" t="inlineStr">
        <is>
          <t>일반 번역기와의 차이를 근거 화면으로 입증</t>
        </is>
      </c>
      <c r="F7" s="294" t="inlineStr">
        <is>
          <t>F-TRN-02·03·03a·04·09, F-LOC-01~03, F-CFM-04</t>
        </is>
      </c>
      <c r="G7" s="6" t="n"/>
      <c r="H7" s="6" t="n"/>
      <c r="I7" s="6" t="n"/>
      <c r="J7" s="6" t="n"/>
      <c r="K7" s="6" t="n"/>
      <c r="L7" s="6" t="n"/>
      <c r="M7" s="6" t="n"/>
      <c r="N7" s="6" t="n"/>
      <c r="O7" s="6" t="n"/>
      <c r="P7" s="6" t="n"/>
      <c r="Q7" s="6" t="n"/>
      <c r="R7" s="6" t="n"/>
      <c r="S7" s="6" t="n"/>
      <c r="T7" s="6" t="n"/>
      <c r="U7" s="6" t="n"/>
      <c r="V7" s="6" t="n"/>
      <c r="W7" s="6" t="n"/>
      <c r="X7" s="6" t="n"/>
      <c r="Y7" s="6" t="n"/>
      <c r="Z7" s="6" t="n"/>
    </row>
    <row r="8" ht="31.5" customHeight="1">
      <c r="A8" s="294" t="inlineStr">
        <is>
          <t>MVP</t>
        </is>
      </c>
      <c r="B8" s="294" t="inlineStr">
        <is>
          <t>2026-10-01</t>
        </is>
      </c>
      <c r="C8" s="294" t="inlineStr">
        <is>
          <t>2단 개입 (섹션 확인 · 검수)</t>
        </is>
      </c>
      <c r="D8" s="294" t="inlineStr">
        <is>
          <t>N3 섹션 확인(버킷·되살리기/제외, 무조작 통과) · N5 검수 좌우 2분할(좌 뷰어+슬라이더 / 우 블록 표) · 셀 수정 → 재렌더 + 사전 재실행 · 블록↔섹션 연동 선택 · 검수 중 섹션 제외(회색·되돌리기) · 확인 필요 블록</t>
        </is>
      </c>
      <c r="E8" s="294" t="inlineStr">
        <is>
          <t>AI 결과를 사용자가 통제하는 구조를 보임</t>
        </is>
      </c>
      <c r="F8" s="294" t="inlineStr">
        <is>
          <t>F-SEC-02~06, F-CFM-01·02·05·12·13·14</t>
        </is>
      </c>
      <c r="G8" s="6" t="n"/>
      <c r="H8" s="6" t="n"/>
      <c r="I8" s="6" t="n"/>
      <c r="J8" s="6" t="n"/>
      <c r="K8" s="6" t="n"/>
      <c r="L8" s="6" t="n"/>
      <c r="M8" s="6" t="n"/>
      <c r="N8" s="6" t="n"/>
      <c r="O8" s="6" t="n"/>
      <c r="P8" s="6" t="n"/>
      <c r="Q8" s="6" t="n"/>
      <c r="R8" s="6" t="n"/>
      <c r="S8" s="6" t="n"/>
      <c r="T8" s="6" t="n"/>
      <c r="U8" s="6" t="n"/>
      <c r="V8" s="6" t="n"/>
      <c r="W8" s="6" t="n"/>
      <c r="X8" s="6" t="n"/>
      <c r="Y8" s="6" t="n"/>
      <c r="Z8" s="6" t="n"/>
    </row>
    <row r="9" ht="45" customHeight="1">
      <c r="A9" s="6" t="inlineStr">
        <is>
          <t>MVP</t>
        </is>
      </c>
      <c r="B9" s="6" t="inlineStr">
        <is>
          <t>2026-10-01</t>
        </is>
      </c>
      <c r="C9" s="262" t="inlineStr">
        <is>
          <t>산출물 묶음</t>
        </is>
      </c>
      <c r="D9" s="6" t="inlineStr">
        <is>
          <t>export.zip — images/ · content.csv(trans_1/trans_2·origin_block_ids, 경로별 행 단위) · html(should) · 항목별 개별 다운로드(should) · 삭제 내역·판정 근거는 content.csv가 담당(NFR-31) / manifest.json은 서버 생성·보관만 하고 배포하지 않음(F-EXP-03)</t>
        </is>
      </c>
      <c r="E9" s="262" t="inlineStr">
        <is>
          <t>재생성·규격 변경의 입력이 데이터에 남는 구조를 보임 — 셀러에게는 쓸 수 있는 것만 준다</t>
        </is>
      </c>
      <c r="F9" s="6" t="inlineStr">
        <is>
          <t>F-EXP-01~05, F-SEC-05·06</t>
        </is>
      </c>
      <c r="G9" s="6" t="n"/>
      <c r="H9" s="6" t="n"/>
      <c r="I9" s="6" t="n"/>
      <c r="J9" s="6" t="n"/>
      <c r="K9" s="6" t="n"/>
      <c r="L9" s="6" t="n"/>
      <c r="M9" s="6" t="n"/>
      <c r="N9" s="6" t="n"/>
      <c r="O9" s="6" t="n"/>
      <c r="P9" s="6" t="n"/>
      <c r="Q9" s="6" t="n"/>
      <c r="R9" s="6" t="n"/>
      <c r="S9" s="6" t="n"/>
      <c r="T9" s="6" t="n"/>
      <c r="U9" s="6" t="n"/>
      <c r="V9" s="6" t="n"/>
      <c r="W9" s="6" t="n"/>
      <c r="X9" s="6" t="n"/>
      <c r="Y9" s="6" t="n"/>
      <c r="Z9" s="6" t="n"/>
    </row>
    <row r="10" ht="31.5" customHeight="1">
      <c r="A10" s="148" t="inlineStr">
        <is>
          <t>12월</t>
        </is>
      </c>
      <c r="B10" s="148" t="inlineStr">
        <is>
          <t>2026-12-11</t>
        </is>
      </c>
      <c r="C10" s="149" t="inlineStr">
        <is>
          <t>단계 되돌림 · 작업 저장 · 마스크 조정</t>
        </is>
      </c>
      <c r="D10" s="149" t="inlineStr">
        <is>
          <t>종속 대상 기반 되돌림 · 미완료 작업 저장·복귀 · 저장 후 수정 · 단계 이동 시 자동 저장 · ★마스크 조정 후 재실행(N5 배지 진입) · 실행 취소(F-CFM-03 — MVP는 버튼만 노출)</t>
        </is>
      </c>
      <c r="E10" s="149" t="inlineStr">
        <is>
          <t>작업을 잃지 않고 되돌아가 고칠 수 있음을 보임 · 인페인팅 실패를 사용자가 직접 보정할 수 있음을 보임</t>
        </is>
      </c>
      <c r="F10" s="148" t="inlineStr">
        <is>
          <t>F-NAV-02~06·08, F-LST-05·08, F-INP-01e, F-CFM-03</t>
        </is>
      </c>
      <c r="G10" s="6" t="n"/>
      <c r="H10" s="6" t="n"/>
      <c r="I10" s="6" t="n"/>
      <c r="J10" s="6" t="n"/>
      <c r="K10" s="6" t="n"/>
      <c r="L10" s="6" t="n"/>
      <c r="M10" s="6" t="n"/>
      <c r="N10" s="6" t="n"/>
      <c r="O10" s="6" t="n"/>
      <c r="P10" s="6" t="n"/>
      <c r="Q10" s="6" t="n"/>
      <c r="R10" s="6" t="n"/>
      <c r="S10" s="6" t="n"/>
      <c r="T10" s="6" t="n"/>
      <c r="U10" s="6" t="n"/>
      <c r="V10" s="6" t="n"/>
      <c r="W10" s="6" t="n"/>
      <c r="X10" s="6" t="n"/>
      <c r="Y10" s="6" t="n"/>
      <c r="Z10" s="6" t="n"/>
    </row>
    <row r="11" ht="31.5" customHeight="1">
      <c r="A11" s="148" t="inlineStr">
        <is>
          <t>MVP</t>
        </is>
      </c>
      <c r="B11" s="148" t="inlineStr">
        <is>
          <t>2026-10-01</t>
        </is>
      </c>
      <c r="C11" s="149" t="inlineStr">
        <is>
          <t>기록 기반 (화면 없음)</t>
        </is>
      </c>
      <c r="D11" s="149" t="inlineStr">
        <is>
          <t>감사 로그 기록 · 작업 이벤트 적재 · 사용자 수정 신호 수집 · 마스터 데이터 시드 주입</t>
        </is>
      </c>
      <c r="E11" s="149" t="inlineStr">
        <is>
          <t>소급 불가능한 데이터를 첫날부터 확보</t>
        </is>
      </c>
      <c r="F11" s="148" t="inlineStr">
        <is>
          <t>A-ACC-03, A-QA-01, NFR-24·28·29</t>
        </is>
      </c>
      <c r="G11" s="6" t="n"/>
      <c r="H11" s="6" t="n"/>
      <c r="I11" s="6" t="n"/>
      <c r="J11" s="6" t="n"/>
      <c r="K11" s="6" t="n"/>
      <c r="L11" s="6" t="n"/>
      <c r="M11" s="6" t="n"/>
      <c r="N11" s="6" t="n"/>
      <c r="O11" s="6" t="n"/>
      <c r="P11" s="6" t="n"/>
      <c r="Q11" s="6" t="n"/>
      <c r="R11" s="6" t="n"/>
      <c r="S11" s="6" t="n"/>
      <c r="T11" s="6" t="n"/>
      <c r="U11" s="6" t="n"/>
      <c r="V11" s="6" t="n"/>
      <c r="W11" s="6" t="n"/>
      <c r="X11" s="6" t="n"/>
      <c r="Y11" s="6" t="n"/>
      <c r="Z11" s="6" t="n"/>
    </row>
    <row r="12" ht="31.5" customHeight="1">
      <c r="A12" s="155" t="inlineStr">
        <is>
          <t>12월</t>
        </is>
      </c>
      <c r="B12" s="155" t="inlineStr">
        <is>
          <t>2026-12-11</t>
        </is>
      </c>
      <c r="C12" s="154" t="inlineStr">
        <is>
          <t>국가 · 언어 확장</t>
        </is>
      </c>
      <c r="D12" s="154" t="inlineStr">
        <is>
          <t>도착 국가 일본·UAE 추가 · 도착어 일본어 추가 · 다른 언어로 만들기</t>
        </is>
      </c>
      <c r="E12" s="154" t="inlineStr">
        <is>
          <t>같은 배치를 유지한 채 국가·언어만 바꿔 재생성</t>
        </is>
      </c>
      <c r="F12" s="155" t="inlineStr">
        <is>
          <t>F-LNG-01·02, F-VER-01, F-TRN-06, F-TRN-07</t>
        </is>
      </c>
      <c r="G12" s="6" t="n"/>
      <c r="H12" s="6" t="n"/>
      <c r="I12" s="6" t="n"/>
      <c r="J12" s="6" t="n"/>
      <c r="K12" s="6" t="n"/>
      <c r="L12" s="6" t="n"/>
      <c r="M12" s="6" t="n"/>
      <c r="N12" s="6" t="n"/>
      <c r="O12" s="6" t="n"/>
      <c r="P12" s="6" t="n"/>
      <c r="Q12" s="6" t="n"/>
      <c r="R12" s="6" t="n"/>
      <c r="S12" s="6" t="n"/>
      <c r="T12" s="6" t="n"/>
      <c r="U12" s="6" t="n"/>
      <c r="V12" s="6" t="n"/>
      <c r="W12" s="6" t="n"/>
      <c r="X12" s="6" t="n"/>
      <c r="Y12" s="6" t="n"/>
      <c r="Z12" s="6" t="n"/>
    </row>
    <row r="13" ht="45" customHeight="1">
      <c r="A13" s="155" t="inlineStr">
        <is>
          <t>12월</t>
        </is>
      </c>
      <c r="B13" s="155" t="inlineStr">
        <is>
          <t>2026-12-11</t>
        </is>
      </c>
      <c r="C13" s="154" t="inlineStr">
        <is>
          <t>규격 변경 (2a·2b) · 썸네일 통합</t>
        </is>
      </c>
      <c r="D13" s="154" t="inlineStr">
        <is>
          <t>사이트별·커스텀 규격 활성화 · 템플릿 매핑(Rule Engine) · 2차 번역 파생 · 채널 정책 실판정 승격 · baked 산출물(F-EXP-07) · 썸네일 1:1은 사이트별 규격의 하나로 취급 · 다른 규격으로 생성</t>
        </is>
      </c>
      <c r="E13" s="154" t="inlineStr">
        <is>
          <t>데이터 추가만으로 규격이 늘어나는 구조를 입증</t>
        </is>
      </c>
      <c r="F13" s="155" t="inlineStr">
        <is>
          <t>F-CH-02a·02b·02c·06·07·10·11, F-TRN-10, F-VER-02·03, F-LOC-03, F-EXP-07, F-THM-01~05</t>
        </is>
      </c>
      <c r="G13" s="6" t="n"/>
      <c r="H13" s="6" t="n"/>
      <c r="I13" s="6" t="n"/>
      <c r="J13" s="6" t="n"/>
      <c r="K13" s="6" t="n"/>
      <c r="L13" s="6" t="n"/>
      <c r="M13" s="6" t="n"/>
      <c r="N13" s="6" t="n"/>
      <c r="O13" s="6" t="n"/>
      <c r="P13" s="6" t="n"/>
      <c r="Q13" s="6" t="n"/>
      <c r="R13" s="6" t="n"/>
      <c r="S13" s="6" t="n"/>
      <c r="T13" s="6" t="n"/>
      <c r="U13" s="6" t="n"/>
      <c r="V13" s="6" t="n"/>
      <c r="W13" s="6" t="n"/>
      <c r="X13" s="6" t="n"/>
      <c r="Y13" s="6" t="n"/>
      <c r="Z13" s="6" t="n"/>
    </row>
    <row r="14" ht="31.5" customHeight="1">
      <c r="A14" s="288" t="inlineStr">
        <is>
          <t>12월</t>
        </is>
      </c>
      <c r="B14" s="288" t="inlineStr">
        <is>
          <t>2026-12-11</t>
        </is>
      </c>
      <c r="C14" s="289" t="inlineStr">
        <is>
          <t>에디터 자유도</t>
        </is>
      </c>
      <c r="D14" s="288" t="inlineStr">
        <is>
          <t>AI 초안 생성 · 배경 가공 3종 · 아웃페인팅 · 텍스트 위치·색상·폰트 변경</t>
        </is>
      </c>
      <c r="E14" s="290" t="inlineStr">
        <is>
          <t>v3.0 삭제 — 편집기 제거 확정(예람안)</t>
        </is>
      </c>
      <c r="F14" s="288" t="inlineStr">
        <is>
          <t>F-PLC-03~05, F-BG-02~06, F-CFM-07·08</t>
        </is>
      </c>
      <c r="G14" s="6" t="n"/>
      <c r="H14" s="6" t="n"/>
      <c r="I14" s="6" t="n"/>
      <c r="J14" s="6" t="n"/>
      <c r="K14" s="6" t="n"/>
      <c r="L14" s="6" t="n"/>
      <c r="M14" s="6" t="n"/>
      <c r="N14" s="6" t="n"/>
      <c r="O14" s="6" t="n"/>
      <c r="P14" s="6" t="n"/>
      <c r="Q14" s="6" t="n"/>
      <c r="R14" s="6" t="n"/>
      <c r="S14" s="6" t="n"/>
      <c r="T14" s="6" t="n"/>
      <c r="U14" s="6" t="n"/>
      <c r="V14" s="6" t="n"/>
      <c r="W14" s="6" t="n"/>
      <c r="X14" s="6" t="n"/>
      <c r="Y14" s="6" t="n"/>
      <c r="Z14" s="6" t="n"/>
    </row>
    <row r="15" ht="31.5" customHeight="1">
      <c r="A15" s="155" t="inlineStr">
        <is>
          <t>12월</t>
        </is>
      </c>
      <c r="B15" s="155" t="inlineStr">
        <is>
          <t>2026-12-11</t>
        </is>
      </c>
      <c r="C15" s="154" t="inlineStr">
        <is>
          <t>운영자 콘솔</t>
        </is>
      </c>
      <c r="D15" s="155" t="inlineStr">
        <is>
          <t>O1 대시보드 · O2 작업 운영 · O3 마스터 편집 · O4 계정·감사 조회</t>
        </is>
      </c>
      <c r="E15" s="155" t="inlineStr">
        <is>
          <t>MVP에서 적재한 데이터를 화면으로 노출</t>
        </is>
      </c>
      <c r="F15" s="155" t="inlineStr">
        <is>
          <t>A-DSH, A-OPS, A-CFG, A-ACC</t>
        </is>
      </c>
      <c r="G15" s="6" t="n"/>
      <c r="H15" s="6" t="n"/>
      <c r="I15" s="6" t="n"/>
      <c r="J15" s="6" t="n"/>
      <c r="K15" s="6" t="n"/>
      <c r="L15" s="6" t="n"/>
      <c r="M15" s="6" t="n"/>
      <c r="N15" s="6" t="n"/>
      <c r="O15" s="6" t="n"/>
      <c r="P15" s="6" t="n"/>
      <c r="Q15" s="6" t="n"/>
      <c r="R15" s="6" t="n"/>
      <c r="S15" s="6" t="n"/>
      <c r="T15" s="6" t="n"/>
      <c r="U15" s="6" t="n"/>
      <c r="V15" s="6" t="n"/>
      <c r="W15" s="6" t="n"/>
      <c r="X15" s="6" t="n"/>
      <c r="Y15" s="6" t="n"/>
      <c r="Z15" s="6" t="n"/>
    </row>
    <row r="16" ht="17.25" customHeight="1">
      <c r="A16" s="155" t="inlineStr">
        <is>
          <t>12월</t>
        </is>
      </c>
      <c r="B16" s="155" t="inlineStr">
        <is>
          <t>2026-12-11</t>
        </is>
      </c>
      <c r="C16" s="154" t="inlineStr">
        <is>
          <t>보관 · 만료</t>
        </is>
      </c>
      <c r="D16" s="154" t="inlineStr">
        <is>
          <t>검색·필터 · 카드 선택·다운로드·삭제 · 보관 기간 및 만료 정책</t>
        </is>
      </c>
      <c r="E16" s="154" t="inlineStr">
        <is>
          <t>보관 기간 값은 이 시점에 확정</t>
        </is>
      </c>
      <c r="F16" s="155" t="inlineStr">
        <is>
          <t>F-LST-01·03·04·06·09</t>
        </is>
      </c>
      <c r="G16" s="6" t="n"/>
      <c r="H16" s="6" t="n"/>
      <c r="I16" s="6" t="n"/>
      <c r="J16" s="6" t="n"/>
      <c r="K16" s="6" t="n"/>
      <c r="L16" s="6" t="n"/>
      <c r="M16" s="6" t="n"/>
      <c r="N16" s="6" t="n"/>
      <c r="O16" s="6" t="n"/>
      <c r="P16" s="6" t="n"/>
      <c r="Q16" s="6" t="n"/>
      <c r="R16" s="6" t="n"/>
      <c r="S16" s="6" t="n"/>
      <c r="T16" s="6" t="n"/>
      <c r="U16" s="6" t="n"/>
      <c r="V16" s="6" t="n"/>
      <c r="W16" s="6" t="n"/>
      <c r="X16" s="6" t="n"/>
      <c r="Y16" s="6" t="n"/>
      <c r="Z16" s="6" t="n"/>
    </row>
    <row r="17" ht="31.5" customHeight="1">
      <c r="A17" s="291" t="inlineStr">
        <is>
          <t>12월</t>
        </is>
      </c>
      <c r="B17" s="291" t="inlineStr">
        <is>
          <t>2026-12-11</t>
        </is>
      </c>
      <c r="C17" s="292" t="inlineStr">
        <is>
          <t>결과물 유형 확장</t>
        </is>
      </c>
      <c r="D17" s="292" t="inlineStr">
        <is>
          <t>썸네일(1:1) 추가 · 결과물 유형 탭 · 대표이미지 텍스트 금지 처리 · 모듈 용도 구분</t>
        </is>
      </c>
      <c r="E17" s="293" t="inlineStr">
        <is>
          <t>v3.0 삭제 — 규격 변경 행에 병합(썸네일=별도 작업·1:1 규격)</t>
        </is>
      </c>
      <c r="F17" s="291" t="inlineStr">
        <is>
          <t>F-NAV-07, F-PLC-01a, F-CH-06·08, F-INP-04</t>
        </is>
      </c>
      <c r="G17" s="6" t="n"/>
      <c r="H17" s="6" t="n"/>
      <c r="I17" s="6" t="n"/>
      <c r="J17" s="6" t="n"/>
      <c r="K17" s="6" t="n"/>
      <c r="L17" s="6" t="n"/>
      <c r="M17" s="6" t="n"/>
      <c r="N17" s="6" t="n"/>
      <c r="O17" s="6" t="n"/>
      <c r="P17" s="6" t="n"/>
      <c r="Q17" s="6" t="n"/>
      <c r="R17" s="6" t="n"/>
      <c r="S17" s="6" t="n"/>
      <c r="T17" s="6" t="n"/>
      <c r="U17" s="6" t="n"/>
      <c r="V17" s="6" t="n"/>
      <c r="W17" s="6" t="n"/>
      <c r="X17" s="6" t="n"/>
      <c r="Y17" s="6" t="n"/>
      <c r="Z17" s="6" t="n"/>
    </row>
    <row r="18" ht="31.5" customHeight="1">
      <c r="A18" s="6" t="inlineStr">
        <is>
          <t>12월</t>
        </is>
      </c>
      <c r="B18" s="6" t="inlineStr">
        <is>
          <t>2026-12-11</t>
        </is>
      </c>
      <c r="C18" s="262" t="inlineStr">
        <is>
          <t>산출물 확장 (PSD 등)</t>
        </is>
      </c>
      <c r="D18" s="262" t="inlineStr">
        <is>
          <t>하이브리드 PSD(4레이어, 8/31 실측 완료) · SVG는 V5 결과에 따라(OI-51) · CSV 재업로드 재렌더</t>
        </is>
      </c>
      <c r="E18" s="262" t="inlineStr">
        <is>
          <t>축 B(비주얼 수정)의 탈출구를 파일로 제공</t>
        </is>
      </c>
      <c r="F18" s="6" t="inlineStr">
        <is>
          <t>F-EXP-06, OI-51</t>
        </is>
      </c>
      <c r="G18" s="6" t="n"/>
      <c r="H18" s="6" t="n"/>
      <c r="I18" s="6" t="n"/>
      <c r="J18" s="6" t="n"/>
      <c r="K18" s="6" t="n"/>
      <c r="L18" s="6" t="n"/>
      <c r="M18" s="6" t="n"/>
      <c r="N18" s="6" t="n"/>
      <c r="O18" s="6" t="n"/>
      <c r="P18" s="6" t="n"/>
      <c r="Q18" s="6" t="n"/>
      <c r="R18" s="6" t="n"/>
      <c r="S18" s="6" t="n"/>
      <c r="T18" s="6" t="n"/>
      <c r="U18" s="6" t="n"/>
      <c r="V18" s="6" t="n"/>
      <c r="W18" s="6" t="n"/>
      <c r="X18" s="6" t="n"/>
      <c r="Y18" s="6" t="n"/>
      <c r="Z18" s="6" t="n"/>
    </row>
    <row r="19" ht="31.5" customHeight="1">
      <c r="A19" s="154" t="inlineStr">
        <is>
          <t>이후</t>
        </is>
      </c>
      <c r="B19" s="155" t="inlineStr">
        <is>
          <t>-</t>
        </is>
      </c>
      <c r="C19" s="154" t="inlineStr">
        <is>
          <t>품질 개선 루프</t>
        </is>
      </c>
      <c r="D19" s="154" t="inlineStr">
        <is>
          <t>사용자 수정 신호 라벨링 · 사전·용어집 보강 · 신뢰도 점수화(self-consistency)</t>
        </is>
      </c>
      <c r="E19" s="154" t="inlineStr">
        <is>
          <t>운영 신호가 쌓인 뒤 착수</t>
        </is>
      </c>
      <c r="F19" s="155" t="inlineStr">
        <is>
          <t>A-QA-01~03, OI-33</t>
        </is>
      </c>
      <c r="G19" s="6" t="n"/>
      <c r="H19" s="6" t="n"/>
      <c r="I19" s="6" t="n"/>
      <c r="J19" s="6" t="n"/>
      <c r="K19" s="6" t="n"/>
      <c r="L19" s="6" t="n"/>
      <c r="M19" s="6" t="n"/>
      <c r="N19" s="6" t="n"/>
      <c r="O19" s="6" t="n"/>
      <c r="P19" s="6" t="n"/>
      <c r="Q19" s="6" t="n"/>
      <c r="R19" s="6" t="n"/>
      <c r="S19" s="6" t="n"/>
      <c r="T19" s="6" t="n"/>
      <c r="U19" s="6" t="n"/>
      <c r="V19" s="6" t="n"/>
      <c r="W19" s="6" t="n"/>
      <c r="X19" s="6" t="n"/>
      <c r="Y19" s="6" t="n"/>
      <c r="Z19" s="6" t="n"/>
    </row>
    <row r="20" ht="31.5" customHeight="1">
      <c r="A20" s="154" t="inlineStr">
        <is>
          <t>이후</t>
        </is>
      </c>
      <c r="B20" s="155" t="inlineStr">
        <is>
          <t>-</t>
        </is>
      </c>
      <c r="C20" s="154" t="inlineStr">
        <is>
          <t>자산 확장</t>
        </is>
      </c>
      <c r="D20" s="154" t="inlineStr">
        <is>
          <t>생성형 배경 · AI 텍스트 배치 제안 · 기업 계정·조직 관리</t>
        </is>
      </c>
      <c r="E20" s="155" t="inlineStr">
        <is>
          <t>-</t>
        </is>
      </c>
      <c r="F20" s="155" t="inlineStr">
        <is>
          <t>F-BGL-01, F-ACC-06~08 (F-CFM-10은 v3.0 삭제)</t>
        </is>
      </c>
      <c r="G20" s="6" t="n"/>
      <c r="H20" s="6" t="n"/>
      <c r="I20" s="6" t="n"/>
      <c r="J20" s="6" t="n"/>
      <c r="K20" s="6" t="n"/>
      <c r="L20" s="6" t="n"/>
      <c r="M20" s="6" t="n"/>
      <c r="N20" s="6" t="n"/>
      <c r="O20" s="6" t="n"/>
      <c r="P20" s="6" t="n"/>
      <c r="Q20" s="6" t="n"/>
      <c r="R20" s="6" t="n"/>
      <c r="S20" s="6" t="n"/>
      <c r="T20" s="6" t="n"/>
      <c r="U20" s="6" t="n"/>
      <c r="V20" s="6" t="n"/>
      <c r="W20" s="6" t="n"/>
      <c r="X20" s="6" t="n"/>
      <c r="Y20" s="6" t="n"/>
      <c r="Z20" s="6" t="n"/>
    </row>
    <row r="21" ht="17.25" customHeight="1">
      <c r="A21" s="6" t="n"/>
      <c r="B21" s="6" t="n"/>
      <c r="C21" s="6" t="n"/>
      <c r="D21" s="6" t="n"/>
      <c r="E21" s="6" t="n"/>
      <c r="F21" s="6" t="n"/>
      <c r="G21" s="6" t="n"/>
      <c r="H21" s="6" t="n"/>
      <c r="I21" s="6" t="n"/>
      <c r="J21" s="6" t="n"/>
      <c r="K21" s="6" t="n"/>
      <c r="L21" s="6" t="n"/>
      <c r="M21" s="6" t="n"/>
      <c r="N21" s="6" t="n"/>
      <c r="O21" s="6" t="n"/>
      <c r="P21" s="6" t="n"/>
      <c r="Q21" s="6" t="n"/>
      <c r="R21" s="6" t="n"/>
      <c r="S21" s="6" t="n"/>
      <c r="T21" s="6" t="n"/>
      <c r="U21" s="6" t="n"/>
      <c r="V21" s="6" t="n"/>
      <c r="W21" s="6" t="n"/>
      <c r="X21" s="6" t="n"/>
      <c r="Y21" s="6" t="n"/>
      <c r="Z21" s="6" t="n"/>
    </row>
    <row r="22" ht="183" customHeight="1">
      <c r="A22" s="161" t="inlineStr">
        <is>
          <t>※ MVP 판정 기준은 'must 기능 수'가 아니라 '골든 샘플 원본으로 N1→N6 완주 가능 여부'다. 골든 샘플 지정은 OI-37.</t>
        </is>
      </c>
      <c r="B22" s="6" t="n"/>
      <c r="C22" s="6" t="n"/>
      <c r="D22" s="6" t="n"/>
      <c r="E22" s="6" t="n"/>
      <c r="F22" s="6" t="n"/>
      <c r="G22" s="6" t="n"/>
      <c r="H22" s="6" t="n"/>
      <c r="I22" s="6" t="n"/>
      <c r="J22" s="6" t="n"/>
      <c r="K22" s="6" t="n"/>
      <c r="L22" s="6" t="n"/>
      <c r="M22" s="6" t="n"/>
      <c r="N22" s="6" t="n"/>
      <c r="O22" s="6" t="n"/>
      <c r="P22" s="6" t="n"/>
      <c r="Q22" s="6" t="n"/>
      <c r="R22" s="6" t="n"/>
      <c r="S22" s="6" t="n"/>
      <c r="T22" s="6" t="n"/>
      <c r="U22" s="6" t="n"/>
      <c r="V22" s="6" t="n"/>
      <c r="W22" s="6" t="n"/>
      <c r="X22" s="6" t="n"/>
      <c r="Y22" s="6" t="n"/>
      <c r="Z22" s="6" t="n"/>
    </row>
    <row r="23" ht="15.75" customHeight="1">
      <c r="A23" t="inlineStr">
        <is>
          <t>※ 「관련 기능 ID」 열은 테마 귀속만 나타내며 계열 접두어(F-NAV, A-DSH 등)와 범위 표기(F-EXP-01~05)를 포함한다. ★릴리스(must/should) 판정은 02_기능명세의 릴리스 열이 단독으로 소유한다 — 이 열의 행 위치로 판정하지 않는다. 한 기능이 두 릴리스에 걸치는 경우가 있다(예: F-LOC-03 9월 티저→12월 실판정, A-ACC-03 기록 MVP·조회 12월, F-LNG-01·02 셀렉터 MVP·국가 목록 12월 확장).</t>
        </is>
      </c>
    </row>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 customHeight="1"/>
    <row r="1002" ht="15" customHeight="1"/>
  </sheetData>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Z76"/>
  <sheetViews>
    <sheetView showGridLines="0" zoomScaleNormal="100" workbookViewId="0">
      <pane ySplit="34" topLeftCell="A35" activePane="bottomLeft" state="frozen"/>
      <selection pane="bottomLeft" activeCell="B36" sqref="B36"/>
    </sheetView>
  </sheetViews>
  <sheetFormatPr baseColWidth="8" defaultColWidth="14.42578125" defaultRowHeight="15"/>
  <cols>
    <col width="10" customWidth="1" min="1" max="1"/>
    <col width="28" customWidth="1" min="2" max="2"/>
    <col width="100" customWidth="1" min="3" max="3"/>
    <col width="22" customWidth="1" min="4" max="4"/>
    <col width="30" customWidth="1" min="5" max="5"/>
    <col width="13.5703125" customWidth="1" min="6" max="6"/>
  </cols>
  <sheetData>
    <row r="1" ht="21" customHeight="1">
      <c r="A1" s="17" t="inlineStr">
        <is>
          <t>09. 오픈 이슈 — v3.2.1</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5" customHeight="1">
      <c r="A2" s="19" t="inlineStr">
        <is>
          <t>★연하늘 = v3.2.1 수정. 이전 개정의 변경 표시 색은 v3.2.1에서 전부 해제했다 — 종결 이슈는 취소선과 「종결된 이슈」 구획이 표시한다</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ht="15" customHeight="1">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ht="17.25" customHeight="1">
      <c r="A4" s="189" t="inlineStr">
        <is>
          <t>이슈 ID</t>
        </is>
      </c>
      <c r="B4" s="189" t="inlineStr">
        <is>
          <t>이슈</t>
        </is>
      </c>
      <c r="C4" s="189" t="inlineStr">
        <is>
          <t>내용</t>
        </is>
      </c>
      <c r="D4" s="189" t="inlineStr">
        <is>
          <t>담당</t>
        </is>
      </c>
      <c r="E4" s="189" t="inlineStr">
        <is>
          <t>긴급도</t>
        </is>
      </c>
      <c r="F4" s="189" t="inlineStr">
        <is>
          <t>변경 이력</t>
        </is>
      </c>
      <c r="G4" s="6" t="n"/>
      <c r="H4" s="6" t="n"/>
      <c r="I4" s="6" t="n"/>
      <c r="J4" s="6" t="n"/>
      <c r="K4" s="6" t="n"/>
      <c r="L4" s="6" t="n"/>
      <c r="M4" s="6" t="n"/>
      <c r="N4" s="6" t="n"/>
      <c r="O4" s="6" t="n"/>
      <c r="P4" s="6" t="n"/>
      <c r="Q4" s="6" t="n"/>
      <c r="R4" s="6" t="n"/>
      <c r="S4" s="6" t="n"/>
      <c r="T4" s="6" t="n"/>
      <c r="U4" s="6" t="n"/>
      <c r="V4" s="6" t="n"/>
      <c r="W4" s="6" t="n"/>
      <c r="X4" s="6" t="n"/>
      <c r="Y4" s="6" t="n"/>
      <c r="Z4" s="6" t="n"/>
    </row>
    <row r="5" ht="58.5" customHeight="1">
      <c r="A5" s="148" t="inlineStr">
        <is>
          <t>OI-43</t>
        </is>
      </c>
      <c r="B5" s="148" t="inlineStr">
        <is>
          <t>★KR 풀 확보 가능성 점검</t>
        </is>
      </c>
      <c r="C5" s="149" t="inlineStr">
        <is>
          <t>내부 카테고리 7종 중 Maternity·Sets Kits·Sunscreens는 미국 아마존 베스트셀러에 한국 브랜드가 적어 KR 풀이 비어 있을 수 있다. KR 풀이 없는 칸은 두 풀의 차집합 분석이 불가능해 로컬라이징 제안의 근거가 나오지 않는다. 크롤 직후 7×2 교차표를 점검해 빈 칸을 확인하고, 채울 수 없는 칸은 구조만 두고 US 풀 단독으로 운용할지 결정한다.</t>
        </is>
      </c>
      <c r="D5" s="149" t="inlineStr">
        <is>
          <t>강다희</t>
        </is>
      </c>
      <c r="E5" s="149" t="inlineStr">
        <is>
          <t>높음</t>
        </is>
      </c>
      <c r="F5" s="149" t="inlineStr">
        <is>
          <t>신설</t>
        </is>
      </c>
      <c r="G5" s="6" t="n"/>
      <c r="H5" s="6" t="n"/>
      <c r="I5" s="6" t="n"/>
      <c r="J5" s="6" t="n"/>
      <c r="K5" s="6" t="n"/>
      <c r="L5" s="6" t="n"/>
      <c r="M5" s="6" t="n"/>
      <c r="N5" s="6" t="n"/>
      <c r="O5" s="6" t="n"/>
      <c r="P5" s="6" t="n"/>
      <c r="Q5" s="6" t="n"/>
      <c r="R5" s="6" t="n"/>
      <c r="S5" s="6" t="n"/>
      <c r="T5" s="6" t="n"/>
      <c r="U5" s="6" t="n"/>
      <c r="V5" s="6" t="n"/>
      <c r="W5" s="6" t="n"/>
      <c r="X5" s="6" t="n"/>
      <c r="Y5" s="6" t="n"/>
      <c r="Z5" s="6" t="n"/>
    </row>
    <row r="6" ht="45" customHeight="1">
      <c r="A6" s="148" t="inlineStr">
        <is>
          <t>OI-44</t>
        </is>
      </c>
      <c r="B6" s="149" t="inlineStr">
        <is>
          <t>★카테고리 표본 편중</t>
        </is>
      </c>
      <c r="C6" s="148" t="inlineStr">
        <is>
          <t>Face가 세럼·크림·토너·클렌저를 모두 포함해 7종 중 압도적으로 크다. 표본이 Face에 쏠리면 카테고리별 용어집의 변별력이 떨어지므로, 브랜드당 제품 수 상한과 카테고리별 최소 표본을 정해 편중을 관리해야 한다.</t>
        </is>
      </c>
      <c r="D6" s="149" t="inlineStr">
        <is>
          <t>강다희</t>
        </is>
      </c>
      <c r="E6" s="149" t="inlineStr">
        <is>
          <t>중간</t>
        </is>
      </c>
      <c r="F6" s="149" t="inlineStr">
        <is>
          <t>신설</t>
        </is>
      </c>
      <c r="G6" s="6" t="n"/>
      <c r="H6" s="6" t="n"/>
      <c r="I6" s="6" t="n"/>
      <c r="J6" s="6" t="n"/>
      <c r="K6" s="6" t="n"/>
      <c r="L6" s="6" t="n"/>
      <c r="M6" s="6" t="n"/>
      <c r="N6" s="6" t="n"/>
      <c r="O6" s="6" t="n"/>
      <c r="P6" s="6" t="n"/>
      <c r="Q6" s="6" t="n"/>
      <c r="R6" s="6" t="n"/>
      <c r="S6" s="6" t="n"/>
      <c r="T6" s="6" t="n"/>
      <c r="U6" s="6" t="n"/>
      <c r="V6" s="6" t="n"/>
      <c r="W6" s="6" t="n"/>
      <c r="X6" s="6" t="n"/>
      <c r="Y6" s="6" t="n"/>
      <c r="Z6" s="6" t="n"/>
    </row>
    <row r="7" ht="58.5" customHeight="1">
      <c r="A7" s="155" t="inlineStr">
        <is>
          <t>OI-45</t>
        </is>
      </c>
      <c r="B7" s="154" t="inlineStr">
        <is>
          <t>★부분 결과물 다운로드 (12월 검토)</t>
        </is>
      </c>
      <c r="C7" s="155" t="inlineStr">
        <is>
          <t>[12월] 규격 변경 경로(F-CH-10)에서 일부 모듈 렌더가 실패했을 때 성공분만 내보낼지. 9월 경로(규격 그대로)는 단일 이미지라 해당 없음. v3.0에서 F-EXP-01 예외 처리(성공분만 묶고 실패 명시)와 정합 필요.</t>
        </is>
      </c>
      <c r="D7" s="155" t="inlineStr">
        <is>
          <t>PM + 백엔드</t>
        </is>
      </c>
      <c r="E7" s="154" t="inlineStr">
        <is>
          <t>낮음 — 12월</t>
        </is>
      </c>
      <c r="F7" s="154" t="inlineStr">
        <is>
          <t>신설 · v3.0 수정 — 규격 변경 경로로 한정</t>
        </is>
      </c>
      <c r="G7" s="6" t="n"/>
      <c r="H7" s="6" t="n"/>
      <c r="I7" s="6" t="n"/>
      <c r="J7" s="6" t="n"/>
      <c r="K7" s="6" t="n"/>
      <c r="L7" s="6" t="n"/>
      <c r="M7" s="6" t="n"/>
      <c r="N7" s="6" t="n"/>
      <c r="O7" s="6" t="n"/>
      <c r="P7" s="6" t="n"/>
      <c r="Q7" s="6" t="n"/>
      <c r="R7" s="6" t="n"/>
      <c r="S7" s="6" t="n"/>
      <c r="T7" s="6" t="n"/>
      <c r="U7" s="6" t="n"/>
      <c r="V7" s="6" t="n"/>
      <c r="W7" s="6" t="n"/>
      <c r="X7" s="6" t="n"/>
      <c r="Y7" s="6" t="n"/>
      <c r="Z7" s="6" t="n"/>
    </row>
    <row r="8" ht="72.75" customHeight="1">
      <c r="A8" s="155" t="inlineStr">
        <is>
          <t>OI-46</t>
        </is>
      </c>
      <c r="B8" s="154" t="inlineStr">
        <is>
          <t>★복합 제품(화장품+OTC) 처리 방식</t>
        </is>
      </c>
      <c r="C8" s="155" t="inlineStr">
        <is>
          <t>SPF 표시 색조·보습 제품, 톤업 선크림 등은 FDA가 화장품과 OTC 요건을 모두 준수해야 하는 복합 제품으로 규정한다(21 CFR 701.3(d)). 한 페이지 안에서 자외선차단 문구는 OTC 규칙, 색조·보습 문구는 화장품 규칙이 적용되어 문장 단위 판별이 필요하며, 제품 단위 규제 분류 선택(F-LNG-03)으로는 처리 불가. K뷰티 쿠션·BB크림에 SPF가 흔해 실사용 빈도가 낮지 않다. MVP는 복합을 OTC와 동일 처리하고 한계를 화면에 고지하는 것으로 잠정 확정(v2.5). 문장 단위 판별 도입 여부는 12월 검토.</t>
        </is>
      </c>
      <c r="D8" s="154" t="inlineStr">
        <is>
          <t>강다희 + AI</t>
        </is>
      </c>
      <c r="E8" s="154" t="inlineStr">
        <is>
          <t>중간 — 12월 검토</t>
        </is>
      </c>
      <c r="F8" s="155" t="inlineStr">
        <is>
          <t>v2.5 신설</t>
        </is>
      </c>
      <c r="G8" s="6" t="n"/>
      <c r="H8" s="6" t="n"/>
      <c r="I8" s="6" t="n"/>
      <c r="J8" s="6" t="n"/>
      <c r="K8" s="6" t="n"/>
      <c r="L8" s="6" t="n"/>
      <c r="M8" s="6" t="n"/>
      <c r="N8" s="6" t="n"/>
      <c r="O8" s="6" t="n"/>
      <c r="P8" s="6" t="n"/>
      <c r="Q8" s="6" t="n"/>
      <c r="R8" s="6" t="n"/>
      <c r="S8" s="6" t="n"/>
      <c r="T8" s="6" t="n"/>
      <c r="U8" s="6" t="n"/>
      <c r="V8" s="6" t="n"/>
      <c r="W8" s="6" t="n"/>
      <c r="X8" s="6" t="n"/>
      <c r="Y8" s="6" t="n"/>
      <c r="Z8" s="6" t="n"/>
    </row>
    <row r="9" ht="45" customHeight="1">
      <c r="A9" s="155" t="inlineStr">
        <is>
          <t>OI-47</t>
        </is>
      </c>
      <c r="B9" s="154" t="inlineStr">
        <is>
          <t>★규제 사전 분류 폴백 정책</t>
        </is>
      </c>
      <c r="C9" s="155" t="inlineStr">
        <is>
          <t>(target_country, regulatory_class) 조합에 사전 항목이 없을 때의 처리. 기본안(v2.5): 사전 스키마에 국가 공통(common) 계층을 두고 공통 항목으로 폴백하되 폴백 사실을 표시한다. 검증 건너뛰기는 사전 자체가 없는 국가에서만. 폴백 시 사용자 표시 문구 정의 필요. F-TRN-03a 예외 처리와 연동.</t>
        </is>
      </c>
      <c r="D9" s="154" t="inlineStr">
        <is>
          <t>강다희 + PM</t>
        </is>
      </c>
      <c r="E9" s="154" t="inlineStr">
        <is>
          <t>높음</t>
        </is>
      </c>
      <c r="F9" s="155" t="inlineStr">
        <is>
          <t>v2.5 신설</t>
        </is>
      </c>
      <c r="G9" s="6" t="n"/>
      <c r="H9" s="6" t="n"/>
      <c r="I9" s="6" t="n"/>
      <c r="J9" s="6" t="n"/>
      <c r="K9" s="6" t="n"/>
      <c r="L9" s="6" t="n"/>
      <c r="M9" s="6" t="n"/>
      <c r="N9" s="6" t="n"/>
      <c r="O9" s="6" t="n"/>
      <c r="P9" s="6" t="n"/>
      <c r="Q9" s="6" t="n"/>
      <c r="R9" s="6" t="n"/>
      <c r="S9" s="6" t="n"/>
      <c r="T9" s="6" t="n"/>
      <c r="U9" s="6" t="n"/>
      <c r="V9" s="6" t="n"/>
      <c r="W9" s="6" t="n"/>
      <c r="X9" s="6" t="n"/>
      <c r="Y9" s="6" t="n"/>
      <c r="Z9" s="6" t="n"/>
    </row>
    <row r="10" ht="45" customHeight="1">
      <c r="A10" s="155" t="inlineStr">
        <is>
          <t>OI-26</t>
        </is>
      </c>
      <c r="B10" s="154" t="inlineStr">
        <is>
          <t>인페인팅 PoC</t>
        </is>
      </c>
      <c r="C10" s="154" t="inlineStr">
        <is>
          <t>인페인팅 자체 처리 확정(v3.0 — 단색=배경색 채우기 / 사진=LaMa, Codia 미채택). 남은 검증은 V1: LaMa 실측 — 실제 상세페이지 사진 구간 품질·속도(반나절, 최우선·미실행). V1 실패 시 경로 1 자체가 흔들린다(변경안 §13).</t>
        </is>
      </c>
      <c r="D10" s="155" t="inlineStr">
        <is>
          <t>AI</t>
        </is>
      </c>
      <c r="E10" s="154" t="inlineStr">
        <is>
          <t>최우선 — PoC 1순위</t>
        </is>
      </c>
      <c r="F10" s="155" t="inlineStr">
        <is>
          <t>v2.4 수정 · v3.0 수정 — V1로 구체화</t>
        </is>
      </c>
      <c r="G10" s="6" t="n"/>
      <c r="H10" s="6" t="n"/>
      <c r="I10" s="6" t="n"/>
      <c r="J10" s="6" t="n"/>
      <c r="K10" s="6" t="n"/>
      <c r="L10" s="6" t="n"/>
      <c r="M10" s="6" t="n"/>
      <c r="N10" s="6" t="n"/>
      <c r="O10" s="6" t="n"/>
      <c r="P10" s="6" t="n"/>
      <c r="Q10" s="6" t="n"/>
      <c r="R10" s="6" t="n"/>
      <c r="S10" s="6" t="n"/>
      <c r="T10" s="6" t="n"/>
      <c r="U10" s="6" t="n"/>
      <c r="V10" s="6" t="n"/>
      <c r="W10" s="6" t="n"/>
      <c r="X10" s="6" t="n"/>
      <c r="Y10" s="6" t="n"/>
      <c r="Z10" s="6" t="n"/>
    </row>
    <row r="11" ht="45" customHeight="1">
      <c r="A11" s="155" t="inlineStr">
        <is>
          <t>OI-27</t>
        </is>
      </c>
      <c r="B11" s="154" t="inlineStr">
        <is>
          <t>텍스트 좌표 정확성 보장</t>
        </is>
      </c>
      <c r="C11" s="154" t="inlineStr">
        <is>
          <t>텍스트 좌표 정확성 보장. v3.0에서 조각→모듈 변환이 삭제되어 범위가 원본 좌표 제자리 조판(+섹션 스택 오프셋, F-SEC-07)으로 축소됐다. OCR bbox 정확도와 렌더 좌표 일치(NFR-13)가 남는 검증 대상.</t>
        </is>
      </c>
      <c r="D11" s="155" t="inlineStr">
        <is>
          <t>AI + 백엔드</t>
        </is>
      </c>
      <c r="E11" s="154" t="inlineStr">
        <is>
          <t>최우선</t>
        </is>
      </c>
      <c r="F11" s="154" t="inlineStr">
        <is>
          <t>수정 · v3.0 수정 — 범위 축소</t>
        </is>
      </c>
      <c r="G11" s="6" t="n"/>
      <c r="H11" s="6" t="n"/>
      <c r="I11" s="6" t="n"/>
      <c r="J11" s="6" t="n"/>
      <c r="K11" s="6" t="n"/>
      <c r="L11" s="6" t="n"/>
      <c r="M11" s="6" t="n"/>
      <c r="N11" s="6" t="n"/>
      <c r="O11" s="6" t="n"/>
      <c r="P11" s="6" t="n"/>
      <c r="Q11" s="6" t="n"/>
      <c r="R11" s="6" t="n"/>
      <c r="S11" s="6" t="n"/>
      <c r="T11" s="6" t="n"/>
      <c r="U11" s="6" t="n"/>
      <c r="V11" s="6" t="n"/>
      <c r="W11" s="6" t="n"/>
      <c r="X11" s="6" t="n"/>
      <c r="Y11" s="6" t="n"/>
      <c r="Z11" s="6" t="n"/>
    </row>
    <row r="12" ht="45" customHeight="1">
      <c r="A12" s="155" t="inlineStr">
        <is>
          <t>OI-39</t>
        </is>
      </c>
      <c r="B12" s="154" t="inlineStr">
        <is>
          <t>★전사 일정 재산정</t>
        </is>
      </c>
      <c r="C12" s="154" t="inlineStr">
        <is>
          <t>프론트 일정표는 PRD v1.4 기준이라 v1.6 must와 맞지 않는다(누락 다수, 삭제분 잔존). 백엔드 일정표는 9월 중순에서 끝나고 10~12월이 없다. 데이터 담당 일정표는 미작성이다. 10/1·12/11 두 기준일로 전 직군 일정을 재산정한다. 백엔드 일정표를 기준선으로 삼는다.</t>
        </is>
      </c>
      <c r="D12" s="155" t="inlineStr">
        <is>
          <t>PM</t>
        </is>
      </c>
      <c r="E12" s="154" t="inlineStr">
        <is>
          <t>최우선</t>
        </is>
      </c>
      <c r="F12" s="154" t="inlineStr">
        <is>
          <t>신설</t>
        </is>
      </c>
      <c r="G12" s="6" t="n"/>
      <c r="H12" s="6" t="n"/>
      <c r="I12" s="6" t="n"/>
      <c r="J12" s="6" t="n"/>
      <c r="K12" s="6" t="n"/>
      <c r="L12" s="6" t="n"/>
      <c r="M12" s="6" t="n"/>
      <c r="N12" s="6" t="n"/>
      <c r="O12" s="6" t="n"/>
      <c r="P12" s="6" t="n"/>
      <c r="Q12" s="6" t="n"/>
      <c r="R12" s="6" t="n"/>
      <c r="S12" s="6" t="n"/>
      <c r="T12" s="6" t="n"/>
      <c r="U12" s="6" t="n"/>
      <c r="V12" s="6" t="n"/>
      <c r="W12" s="6" t="n"/>
      <c r="X12" s="6" t="n"/>
      <c r="Y12" s="6" t="n"/>
      <c r="Z12" s="6" t="n"/>
    </row>
    <row r="13" ht="31.5" customHeight="1">
      <c r="A13" s="155" t="inlineStr">
        <is>
          <t>OI-36</t>
        </is>
      </c>
      <c r="B13" s="155" t="inlineStr">
        <is>
          <t>★UAE 규제 요건 확인</t>
        </is>
      </c>
      <c r="C13" s="155" t="inlineStr">
        <is>
          <t>UAE는 영어를 사용하므로 영어 용어집을 미국과 공유하지만, 화장품 표기에 할랄 인증·아랍어 병기 등 별도 요건이 있는지 미확인이다. 요건이 있으면 12월 확장 범위가 커진다.</t>
        </is>
      </c>
      <c r="D13" s="154" t="inlineStr">
        <is>
          <t>강다희</t>
        </is>
      </c>
      <c r="E13" s="154" t="inlineStr">
        <is>
          <t>높음</t>
        </is>
      </c>
      <c r="F13" s="154" t="inlineStr">
        <is>
          <t>신설</t>
        </is>
      </c>
      <c r="G13" s="6" t="n"/>
      <c r="H13" s="6" t="n"/>
      <c r="I13" s="6" t="n"/>
      <c r="J13" s="6" t="n"/>
      <c r="K13" s="6" t="n"/>
      <c r="L13" s="6" t="n"/>
      <c r="M13" s="6" t="n"/>
      <c r="N13" s="6" t="n"/>
      <c r="O13" s="6" t="n"/>
      <c r="P13" s="6" t="n"/>
      <c r="Q13" s="6" t="n"/>
      <c r="R13" s="6" t="n"/>
      <c r="S13" s="6" t="n"/>
      <c r="T13" s="6" t="n"/>
      <c r="U13" s="6" t="n"/>
      <c r="V13" s="6" t="n"/>
      <c r="W13" s="6" t="n"/>
      <c r="X13" s="6" t="n"/>
      <c r="Y13" s="6" t="n"/>
      <c r="Z13" s="6" t="n"/>
    </row>
    <row r="14" ht="31.5" customHeight="1">
      <c r="A14" s="155" t="inlineStr">
        <is>
          <t>OI-33</t>
        </is>
      </c>
      <c r="B14" s="154" t="inlineStr">
        <is>
          <t>★번역 신뢰도 점수화</t>
        </is>
      </c>
      <c r="C14" s="155" t="inlineStr">
        <is>
          <t>v1.6에서 점수 산출을 폐기하고 플래그로 대체했다. 12월 후보로 LLM self-consistency(동일 블록 2~3회 번역 후 일치도 측정)를 검토한다. 번역 비용이 2~3배가 되므로 시연 규모에서만 성립할 수 있다.</t>
        </is>
      </c>
      <c r="D14" s="155" t="inlineStr">
        <is>
          <t>AI</t>
        </is>
      </c>
      <c r="E14" s="154" t="inlineStr">
        <is>
          <t>중간 — 12월 검토</t>
        </is>
      </c>
      <c r="F14" s="154" t="inlineStr">
        <is>
          <t>신설</t>
        </is>
      </c>
      <c r="G14" s="6" t="n"/>
      <c r="H14" s="6" t="n"/>
      <c r="I14" s="6" t="n"/>
      <c r="J14" s="6" t="n"/>
      <c r="K14" s="6" t="n"/>
      <c r="L14" s="6" t="n"/>
      <c r="M14" s="6" t="n"/>
      <c r="N14" s="6" t="n"/>
      <c r="O14" s="6" t="n"/>
      <c r="P14" s="6" t="n"/>
      <c r="Q14" s="6" t="n"/>
      <c r="R14" s="6" t="n"/>
      <c r="S14" s="6" t="n"/>
      <c r="T14" s="6" t="n"/>
      <c r="U14" s="6" t="n"/>
      <c r="V14" s="6" t="n"/>
      <c r="W14" s="6" t="n"/>
      <c r="X14" s="6" t="n"/>
      <c r="Y14" s="6" t="n"/>
      <c r="Z14" s="6" t="n"/>
    </row>
    <row r="15" ht="31.5" customHeight="1">
      <c r="A15" s="155" t="inlineStr">
        <is>
          <t>OI-31</t>
        </is>
      </c>
      <c r="B15" s="154" t="inlineStr">
        <is>
          <t>용어집 초기 구축 범위</t>
        </is>
      </c>
      <c r="C15" s="155" t="inlineStr">
        <is>
          <t>RAG 품질이 용어집에 좌우된다. 카테고리 7종 확정 후 카테고리별 용어쌍 초기 물량, 크롤링 통계 분석 방법, 공용 tier 임계값을 정해야 한다. 승격 임계값은 코드가 아니라 설정값으로 분리한다.</t>
        </is>
      </c>
      <c r="D15" s="154" t="inlineStr">
        <is>
          <t>강다희 + 강예람</t>
        </is>
      </c>
      <c r="E15" s="154" t="inlineStr">
        <is>
          <t>높음 — 번역 품질 직결</t>
        </is>
      </c>
      <c r="F15" s="154" t="inlineStr">
        <is>
          <t>수정</t>
        </is>
      </c>
      <c r="G15" s="6" t="n"/>
      <c r="H15" s="6" t="n"/>
      <c r="I15" s="6" t="n"/>
      <c r="J15" s="6" t="n"/>
      <c r="K15" s="6" t="n"/>
      <c r="L15" s="6" t="n"/>
      <c r="M15" s="6" t="n"/>
      <c r="N15" s="6" t="n"/>
      <c r="O15" s="6" t="n"/>
      <c r="P15" s="6" t="n"/>
      <c r="Q15" s="6" t="n"/>
      <c r="R15" s="6" t="n"/>
      <c r="S15" s="6" t="n"/>
      <c r="T15" s="6" t="n"/>
      <c r="U15" s="6" t="n"/>
      <c r="V15" s="6" t="n"/>
      <c r="W15" s="6" t="n"/>
      <c r="X15" s="6" t="n"/>
      <c r="Y15" s="6" t="n"/>
      <c r="Z15" s="6" t="n"/>
    </row>
    <row r="16" ht="58.5" customHeight="1">
      <c r="A16" s="294" t="inlineStr">
        <is>
          <t>OI-28</t>
        </is>
      </c>
      <c r="B16" s="294" t="inlineStr">
        <is>
          <t>Playwright 렌더링 성능</t>
        </is>
      </c>
      <c r="C16" s="295" t="inlineStr">
        <is>
          <t>헤드리스 브라우저는 대량 동시 처리가 느리다. 동시 실행 수 상한과 큐 설계를 정해야 한다. OI-34에서 HTML 방식이 확정될 경우에만 유효하다. v3.0 추가: 공간 제약 번역의 렌더 폭 측정 호출이 새 부하원이다 — 근사식 사전 필터(NFR-30)로 렌더 횟수를 줄이고, 규모는 V6에서 실측한다. v3.2.1: 번역 후보 폐기로 블록당 측정이 1회가 되어 부하 규모가 내려갔다.</t>
        </is>
      </c>
      <c r="D16" s="295" t="inlineStr">
        <is>
          <t>백엔드</t>
        </is>
      </c>
      <c r="E16" s="295" t="inlineStr">
        <is>
          <t>높음</t>
        </is>
      </c>
      <c r="F16" s="295" t="inlineStr">
        <is>
          <t>수정 · v3.0 수정 — 루프 측정 부하 추가 · v3.2.1 수정 — 후보 폐기로 규모 하향</t>
        </is>
      </c>
      <c r="G16" s="6" t="n"/>
      <c r="H16" s="6" t="n"/>
      <c r="I16" s="6" t="n"/>
      <c r="J16" s="6" t="n"/>
      <c r="K16" s="6" t="n"/>
      <c r="L16" s="6" t="n"/>
      <c r="M16" s="6" t="n"/>
      <c r="N16" s="6" t="n"/>
      <c r="O16" s="6" t="n"/>
      <c r="P16" s="6" t="n"/>
      <c r="Q16" s="6" t="n"/>
      <c r="R16" s="6" t="n"/>
      <c r="S16" s="6" t="n"/>
      <c r="T16" s="6" t="n"/>
      <c r="U16" s="6" t="n"/>
      <c r="V16" s="6" t="n"/>
      <c r="W16" s="6" t="n"/>
      <c r="X16" s="6" t="n"/>
      <c r="Y16" s="6" t="n"/>
      <c r="Z16" s="6" t="n"/>
    </row>
    <row r="17" ht="58.5" customHeight="1">
      <c r="A17" s="155" t="inlineStr">
        <is>
          <t>OI-29</t>
        </is>
      </c>
      <c r="B17" s="155" t="inlineStr">
        <is>
          <t>HTML 다운로드 패키징</t>
        </is>
      </c>
      <c r="C17" s="155" t="inlineStr">
        <is>
          <t>HTML은 인페인팅 배경 이미지를 참조한다. ZIP 패키징 방식 결정 필요. v3.0에서 html이 9월 산출물(should — F-EXP-04)로 승격되어 시급도가 올라갔다. 재조판이 이미 HTML/Playwright라 추가 공수 ≈ 0.</t>
        </is>
      </c>
      <c r="D17" s="154" t="inlineStr">
        <is>
          <t>백엔드</t>
        </is>
      </c>
      <c r="E17" s="154" t="inlineStr">
        <is>
          <t>높음 — 9월 승격</t>
        </is>
      </c>
      <c r="F17" s="155" t="inlineStr">
        <is>
          <t>v2.4 수정 · v3.0 수정 — 9월 승격(F-EXP-04)</t>
        </is>
      </c>
      <c r="G17" s="6" t="n"/>
      <c r="H17" s="6" t="n"/>
      <c r="I17" s="6" t="n"/>
      <c r="J17" s="6" t="n"/>
      <c r="K17" s="6" t="n"/>
      <c r="L17" s="6" t="n"/>
      <c r="M17" s="6" t="n"/>
      <c r="N17" s="6" t="n"/>
      <c r="O17" s="6" t="n"/>
      <c r="P17" s="6" t="n"/>
      <c r="Q17" s="6" t="n"/>
      <c r="R17" s="6" t="n"/>
      <c r="S17" s="6" t="n"/>
      <c r="T17" s="6" t="n"/>
      <c r="U17" s="6" t="n"/>
      <c r="V17" s="6" t="n"/>
      <c r="W17" s="6" t="n"/>
      <c r="X17" s="6" t="n"/>
      <c r="Y17" s="6" t="n"/>
      <c r="Z17" s="6" t="n"/>
    </row>
    <row r="18" ht="45" customHeight="1">
      <c r="A18" s="155" t="inlineStr">
        <is>
          <t>OI-18</t>
        </is>
      </c>
      <c r="B18" s="154" t="inlineStr">
        <is>
          <t>배경색 추출 알고리즘 (인페인팅 단색 채우기)</t>
        </is>
      </c>
      <c r="C18" s="154" t="inlineStr">
        <is>
          <t>중간색·지배색 추출 방식(평균 / 최빈색 / 지각 색공간 군집)과 편차가 클 때의 폴백(LaMa 전환) 임계값 결정 필요. v3.0에서 용도가 조각 배경(구 F-BG-02, 삭제)에서 인페인팅 단색·그라디언트 채우기(F-INP-01)와 스타일 지배색 추출(F-STY-01)로 이동 — 9월 must 경로가 되어 시급도 상승.</t>
        </is>
      </c>
      <c r="D18" s="155" t="inlineStr">
        <is>
          <t>AI</t>
        </is>
      </c>
      <c r="E18" s="154" t="inlineStr">
        <is>
          <t>높음 — 9월 must 경로</t>
        </is>
      </c>
      <c r="F18" s="154" t="inlineStr">
        <is>
          <t>수정 · v3.0 수정 — 용도 이동·승격</t>
        </is>
      </c>
      <c r="G18" s="6" t="n"/>
      <c r="H18" s="6" t="n"/>
      <c r="I18" s="6" t="n"/>
      <c r="J18" s="6" t="n"/>
      <c r="K18" s="6" t="n"/>
      <c r="L18" s="6" t="n"/>
      <c r="M18" s="6" t="n"/>
      <c r="N18" s="6" t="n"/>
      <c r="O18" s="6" t="n"/>
      <c r="P18" s="6" t="n"/>
      <c r="Q18" s="6" t="n"/>
      <c r="R18" s="6" t="n"/>
      <c r="S18" s="6" t="n"/>
      <c r="T18" s="6" t="n"/>
      <c r="U18" s="6" t="n"/>
      <c r="V18" s="6" t="n"/>
      <c r="W18" s="6" t="n"/>
      <c r="X18" s="6" t="n"/>
      <c r="Y18" s="6" t="n"/>
      <c r="Z18" s="6" t="n"/>
    </row>
    <row r="19" ht="31.5" customHeight="1">
      <c r="A19" s="155" t="inlineStr">
        <is>
          <t>OI-24</t>
        </is>
      </c>
      <c r="B19" s="154" t="inlineStr">
        <is>
          <t>저장 후 수정 시 진입 단계</t>
        </is>
      </c>
      <c r="C19" s="155" t="inlineStr">
        <is>
          <t>F-LST-05가 '마지막 작업 단계로 이동'인데 완료 상태에서 어느 단계를 마지막으로 볼지 정의 필요(N5 검수 유력).</t>
        </is>
      </c>
      <c r="D19" s="155" t="inlineStr">
        <is>
          <t>PM</t>
        </is>
      </c>
      <c r="E19" s="154" t="inlineStr">
        <is>
          <t>높음</t>
        </is>
      </c>
      <c r="F19" s="155" t="n"/>
      <c r="G19" s="6" t="n"/>
      <c r="H19" s="6" t="n"/>
      <c r="I19" s="6" t="n"/>
      <c r="J19" s="6" t="n"/>
      <c r="K19" s="6" t="n"/>
      <c r="L19" s="6" t="n"/>
      <c r="M19" s="6" t="n"/>
      <c r="N19" s="6" t="n"/>
      <c r="O19" s="6" t="n"/>
      <c r="P19" s="6" t="n"/>
      <c r="Q19" s="6" t="n"/>
      <c r="R19" s="6" t="n"/>
      <c r="S19" s="6" t="n"/>
      <c r="T19" s="6" t="n"/>
      <c r="U19" s="6" t="n"/>
      <c r="V19" s="6" t="n"/>
      <c r="W19" s="6" t="n"/>
      <c r="X19" s="6" t="n"/>
      <c r="Y19" s="6" t="n"/>
      <c r="Z19" s="6" t="n"/>
    </row>
    <row r="20" ht="58.5" customHeight="1">
      <c r="A20" s="288" t="inlineStr">
        <is>
          <t>OI-16</t>
        </is>
      </c>
      <c r="B20" s="288" t="inlineStr">
        <is>
          <t>AI 초안 조각 선별 개수</t>
        </is>
      </c>
      <c r="C20" s="288" t="inlineStr">
        <is>
          <t>'권장 개수만큼 선별'을 채택했으나 테스트가 필요하다. 선별 개수는 설정값으로 둔다. F-PLC-05가 should이므로 12월 과제.</t>
        </is>
      </c>
      <c r="D20" s="288" t="inlineStr">
        <is>
          <t>PM + AI</t>
        </is>
      </c>
      <c r="E20" s="289" t="inlineStr">
        <is>
          <t>중간</t>
        </is>
      </c>
      <c r="F20" s="290" t="inlineStr">
        <is>
          <t>v3.0 종결 — AI 초안 축(F-PLC-03~05) 삭제로 무효</t>
        </is>
      </c>
      <c r="G20" s="6" t="n"/>
      <c r="H20" s="6" t="n"/>
      <c r="I20" s="6" t="n"/>
      <c r="J20" s="6" t="n"/>
      <c r="K20" s="6" t="n"/>
      <c r="L20" s="6" t="n"/>
      <c r="M20" s="6" t="n"/>
      <c r="N20" s="6" t="n"/>
      <c r="O20" s="6" t="n"/>
      <c r="P20" s="6" t="n"/>
      <c r="Q20" s="6" t="n"/>
      <c r="R20" s="6" t="n"/>
      <c r="S20" s="6" t="n"/>
      <c r="T20" s="6" t="n"/>
      <c r="U20" s="6" t="n"/>
      <c r="V20" s="6" t="n"/>
      <c r="W20" s="6" t="n"/>
      <c r="X20" s="6" t="n"/>
      <c r="Y20" s="6" t="n"/>
      <c r="Z20" s="6" t="n"/>
    </row>
    <row r="21" ht="58.5" customHeight="1">
      <c r="A21" s="155" t="inlineStr">
        <is>
          <t>OI-37</t>
        </is>
      </c>
      <c r="B21" s="154" t="inlineStr">
        <is>
          <t>★골든 샘플 지정</t>
        </is>
      </c>
      <c r="C21" s="155" t="inlineStr">
        <is>
          <t>MVP 판정 기준이 'must 기능 수'가 아니라 'N1→N6 완주'이므로, 완주 대상이 될 원본 이미지 1~2건을 미리 지정해야 한다. 단색 배경과 사진 위 텍스트를 모두 포함하는 표본이어야 단일 인페인팅 경로(LaMa)의 난이도 스펙트럼을 함께 보일 수 있다. 표본 중 1건은 선크림 계열(OTC 규제 분류)을 포함해 규제 분류 분기(F-LNG-03)를 함께 시연할 수 있어야 한다.</t>
        </is>
      </c>
      <c r="D21" s="155" t="inlineStr">
        <is>
          <t>PM + 강다희</t>
        </is>
      </c>
      <c r="E21" s="154" t="inlineStr">
        <is>
          <t>높음</t>
        </is>
      </c>
      <c r="F21" s="183" t="inlineStr">
        <is>
          <t>v2.5 수정</t>
        </is>
      </c>
      <c r="G21" s="6" t="n"/>
      <c r="H21" s="6" t="n"/>
      <c r="I21" s="6" t="n"/>
      <c r="J21" s="6" t="n"/>
      <c r="K21" s="6" t="n"/>
      <c r="L21" s="6" t="n"/>
      <c r="M21" s="6" t="n"/>
      <c r="N21" s="6" t="n"/>
      <c r="O21" s="6" t="n"/>
      <c r="P21" s="6" t="n"/>
      <c r="Q21" s="6" t="n"/>
      <c r="R21" s="6" t="n"/>
      <c r="S21" s="6" t="n"/>
      <c r="T21" s="6" t="n"/>
      <c r="U21" s="6" t="n"/>
      <c r="V21" s="6" t="n"/>
      <c r="W21" s="6" t="n"/>
      <c r="X21" s="6" t="n"/>
      <c r="Y21" s="6" t="n"/>
      <c r="Z21" s="6" t="n"/>
    </row>
    <row r="22" ht="17.25" customHeight="1">
      <c r="A22" s="155" t="inlineStr">
        <is>
          <t>OI-07</t>
        </is>
      </c>
      <c r="B22" s="154" t="inlineStr">
        <is>
          <t>데이터 보관·삭제 정책</t>
        </is>
      </c>
      <c r="C22" s="154" t="inlineStr">
        <is>
          <t>삭제한 카드의 복구 가능 여부. 보관 기간은 F-LST-09와 함께 12월로 이월했다.</t>
        </is>
      </c>
      <c r="D22" s="155" t="inlineStr">
        <is>
          <t>PM</t>
        </is>
      </c>
      <c r="E22" s="154" t="inlineStr">
        <is>
          <t>중간</t>
        </is>
      </c>
      <c r="F22" s="154" t="inlineStr">
        <is>
          <t>수정</t>
        </is>
      </c>
      <c r="G22" s="6" t="n"/>
      <c r="H22" s="6" t="n"/>
      <c r="I22" s="6" t="n"/>
      <c r="J22" s="6" t="n"/>
      <c r="K22" s="6" t="n"/>
      <c r="L22" s="6" t="n"/>
      <c r="M22" s="6" t="n"/>
      <c r="N22" s="6" t="n"/>
      <c r="O22" s="6" t="n"/>
      <c r="P22" s="6" t="n"/>
      <c r="Q22" s="6" t="n"/>
      <c r="R22" s="6" t="n"/>
      <c r="S22" s="6" t="n"/>
      <c r="T22" s="6" t="n"/>
      <c r="U22" s="6" t="n"/>
      <c r="V22" s="6" t="n"/>
      <c r="W22" s="6" t="n"/>
      <c r="X22" s="6" t="n"/>
      <c r="Y22" s="6" t="n"/>
      <c r="Z22" s="6" t="n"/>
    </row>
    <row r="23" ht="17.25" customHeight="1">
      <c r="A23" s="155" t="inlineStr">
        <is>
          <t>OI-08</t>
        </is>
      </c>
      <c r="B23" s="154" t="inlineStr">
        <is>
          <t>권한 레벨 상세</t>
        </is>
      </c>
      <c r="C23" s="154" t="inlineStr">
        <is>
          <t>셀러측 일반/관리자 2단계로 충분한지. F-ACC-03이 could이므로 12월 이후 과제.</t>
        </is>
      </c>
      <c r="D23" s="155" t="inlineStr">
        <is>
          <t>PM</t>
        </is>
      </c>
      <c r="E23" s="154" t="inlineStr">
        <is>
          <t>낮음</t>
        </is>
      </c>
      <c r="F23" s="154" t="inlineStr">
        <is>
          <t>수정</t>
        </is>
      </c>
      <c r="G23" s="6" t="n"/>
      <c r="H23" s="6" t="n"/>
      <c r="I23" s="6" t="n"/>
      <c r="J23" s="6" t="n"/>
      <c r="K23" s="6" t="n"/>
      <c r="L23" s="6" t="n"/>
      <c r="M23" s="6" t="n"/>
      <c r="N23" s="6" t="n"/>
      <c r="O23" s="6" t="n"/>
      <c r="P23" s="6" t="n"/>
      <c r="Q23" s="6" t="n"/>
      <c r="R23" s="6" t="n"/>
      <c r="S23" s="6" t="n"/>
      <c r="T23" s="6" t="n"/>
      <c r="U23" s="6" t="n"/>
      <c r="V23" s="6" t="n"/>
      <c r="W23" s="6" t="n"/>
      <c r="X23" s="6" t="n"/>
      <c r="Y23" s="6" t="n"/>
      <c r="Z23" s="6" t="n"/>
    </row>
    <row r="24" ht="45" customHeight="1">
      <c r="A24" s="155" t="inlineStr">
        <is>
          <t>OI-13</t>
        </is>
      </c>
      <c r="B24" s="154" t="inlineStr">
        <is>
          <t>국가별 규제 사전 구축 범위</t>
        </is>
      </c>
      <c r="C24" s="155" t="inlineStr">
        <is>
          <t>US는 1차 확보. JP·UAE 미착수. 12월 확장 시 3개국이 되므로 미국분의 3배 물량이 된다. 추가로 규제 분류 축(화장품/OTC)이 도입되어 국가당 물량이 늘어난다. OTC는 모노그래프별(M006 여드름·M020 선크림 등)로 금지 클레임과 허용 Uses를 각각 수집해야 한다.</t>
        </is>
      </c>
      <c r="D24" s="154" t="inlineStr">
        <is>
          <t>강다희</t>
        </is>
      </c>
      <c r="E24" s="154" t="inlineStr">
        <is>
          <t>중간</t>
        </is>
      </c>
      <c r="F24" s="183" t="inlineStr">
        <is>
          <t>v2.5 수정</t>
        </is>
      </c>
      <c r="G24" s="6" t="n"/>
      <c r="H24" s="6" t="n"/>
      <c r="I24" s="6" t="n"/>
      <c r="J24" s="6" t="n"/>
      <c r="K24" s="6" t="n"/>
      <c r="L24" s="6" t="n"/>
      <c r="M24" s="6" t="n"/>
      <c r="N24" s="6" t="n"/>
      <c r="O24" s="6" t="n"/>
      <c r="P24" s="6" t="n"/>
      <c r="Q24" s="6" t="n"/>
      <c r="R24" s="6" t="n"/>
      <c r="S24" s="6" t="n"/>
      <c r="T24" s="6" t="n"/>
      <c r="U24" s="6" t="n"/>
      <c r="V24" s="6" t="n"/>
      <c r="W24" s="6" t="n"/>
      <c r="X24" s="6" t="n"/>
      <c r="Y24" s="6" t="n"/>
      <c r="Z24" s="6" t="n"/>
    </row>
    <row r="25" ht="17.25" customHeight="1">
      <c r="A25" s="155" t="inlineStr">
        <is>
          <t>OI-15</t>
        </is>
      </c>
      <c r="B25" s="154" t="inlineStr">
        <is>
          <t>가격·과금 모델</t>
        </is>
      </c>
      <c r="C25" s="154" t="inlineStr">
        <is>
          <t>건당 / 구독 / 크레딧 중 선택. 배포하지 않는 프로젝트이므로 발표 자료 수준으로만 정리한다.</t>
        </is>
      </c>
      <c r="D25" s="155" t="inlineStr">
        <is>
          <t>PM</t>
        </is>
      </c>
      <c r="E25" s="154" t="inlineStr">
        <is>
          <t>낮음</t>
        </is>
      </c>
      <c r="F25" s="154" t="inlineStr">
        <is>
          <t>수정</t>
        </is>
      </c>
      <c r="G25" s="6" t="n"/>
      <c r="H25" s="6" t="n"/>
      <c r="I25" s="6" t="n"/>
      <c r="J25" s="6" t="n"/>
      <c r="K25" s="6" t="n"/>
      <c r="L25" s="6" t="n"/>
      <c r="M25" s="6" t="n"/>
      <c r="N25" s="6" t="n"/>
      <c r="O25" s="6" t="n"/>
      <c r="P25" s="6" t="n"/>
      <c r="Q25" s="6" t="n"/>
      <c r="R25" s="6" t="n"/>
      <c r="S25" s="6" t="n"/>
      <c r="T25" s="6" t="n"/>
      <c r="U25" s="6" t="n"/>
      <c r="V25" s="6" t="n"/>
      <c r="W25" s="6" t="n"/>
      <c r="X25" s="6" t="n"/>
      <c r="Y25" s="6" t="n"/>
      <c r="Z25" s="6" t="n"/>
    </row>
    <row r="26" ht="31.5" customHeight="1">
      <c r="A26" s="155" t="inlineStr">
        <is>
          <t>OI-25</t>
        </is>
      </c>
      <c r="B26" s="154" t="inlineStr">
        <is>
          <t>운영 기능 범위 확정</t>
        </is>
      </c>
      <c r="C26" s="154" t="inlineStr">
        <is>
          <t>운영 관리 영역(A-*)은 기획 초안이다. v1.6에서 전량 12월로 이월했으므로 12월 착수 전에 범위를 재검토한다. ★V1 측정 항목에 "잔존율의 분모 정의와 기준값 도출"을 포함할 것 — 정의가 없으면 품질을 "괜찮아 보인다"로만 판정하게 되고 NFR-15가 검증 불가로 남는다.</t>
        </is>
      </c>
      <c r="D26" s="155" t="inlineStr">
        <is>
          <t>PM</t>
        </is>
      </c>
      <c r="E26" s="154" t="inlineStr">
        <is>
          <t>낮음 — 12월 전 검토</t>
        </is>
      </c>
      <c r="F26" s="154" t="inlineStr">
        <is>
          <t>수정</t>
        </is>
      </c>
      <c r="G26" s="6" t="n"/>
      <c r="H26" s="6" t="n"/>
      <c r="I26" s="6" t="n"/>
      <c r="J26" s="6" t="n"/>
      <c r="K26" s="6" t="n"/>
      <c r="L26" s="6" t="n"/>
      <c r="M26" s="6" t="n"/>
      <c r="N26" s="6" t="n"/>
      <c r="O26" s="6" t="n"/>
      <c r="P26" s="6" t="n"/>
      <c r="Q26" s="6" t="n"/>
      <c r="R26" s="6" t="n"/>
      <c r="S26" s="6" t="n"/>
      <c r="T26" s="6" t="n"/>
      <c r="U26" s="6" t="n"/>
      <c r="V26" s="6" t="n"/>
      <c r="W26" s="6" t="n"/>
      <c r="X26" s="6" t="n"/>
      <c r="Y26" s="6" t="n"/>
      <c r="Z26" s="6" t="n"/>
    </row>
    <row r="27" ht="17.25" customHeight="1">
      <c r="A27" s="155" t="inlineStr">
        <is>
          <t>OI-30</t>
        </is>
      </c>
      <c r="B27" s="154" t="inlineStr">
        <is>
          <t>모델 단가 관리 위치</t>
        </is>
      </c>
      <c r="C27" s="154" t="inlineStr">
        <is>
          <t>원가 집계(A-DSH-03)에 필요한 단가 관리 위치 미정. A-DSH-03이 12월이므로 함께 이월.</t>
        </is>
      </c>
      <c r="D27" s="154" t="inlineStr">
        <is>
          <t>백엔드</t>
        </is>
      </c>
      <c r="E27" s="154" t="inlineStr">
        <is>
          <t>낮음</t>
        </is>
      </c>
      <c r="F27" s="154" t="inlineStr">
        <is>
          <t>수정</t>
        </is>
      </c>
      <c r="G27" s="6" t="n"/>
      <c r="H27" s="6" t="n"/>
      <c r="I27" s="6" t="n"/>
      <c r="J27" s="6" t="n"/>
      <c r="K27" s="6" t="n"/>
      <c r="L27" s="6" t="n"/>
      <c r="M27" s="6" t="n"/>
      <c r="N27" s="6" t="n"/>
      <c r="O27" s="6" t="n"/>
      <c r="P27" s="6" t="n"/>
      <c r="Q27" s="6" t="n"/>
      <c r="R27" s="6" t="n"/>
      <c r="S27" s="6" t="n"/>
      <c r="T27" s="6" t="n"/>
      <c r="U27" s="6" t="n"/>
      <c r="V27" s="6" t="n"/>
      <c r="W27" s="6" t="n"/>
      <c r="X27" s="6" t="n"/>
      <c r="Y27" s="6" t="n"/>
      <c r="Z27" s="6" t="n"/>
    </row>
    <row r="28" ht="45" customHeight="1">
      <c r="A28" s="6" t="inlineStr">
        <is>
          <t>OI-48</t>
        </is>
      </c>
      <c r="B28" s="262" t="inlineStr">
        <is>
          <t>★2차 번역 선별 로직 (12월)</t>
        </is>
      </c>
      <c r="C28" s="6" t="inlineStr">
        <is>
          <t>A+ 모듈 슬롯보다 블록이 많을 때 어떤 블록을 남길지 — 보완안이 "난이도 높음"으로 표시한 미해결 사안. 12월 사안이나 manifest.json 스키마에 영향을 주므로 스키마 확정 전에 방향만이라도 정해야 한다. 결론은 내리지 않는다(변경안 §15). ★9/1 — 선별의 단위만 블록(문단)으로 확정했다(F-TRN-10). 단위가 정해져 선택지가 줄고 로직이 단순해지지만 "어떤 블록을 남길지"는 여전히 미해결이다. 다만 스키마 영향분은 9/1에 선반영했다 — manifest의 2차 번역 항목에 origin_block_ids(배열) 자리를 확보해, 선별 로직이 12월에 어떻게 정해지든 스키마를 다시 열지 않는다(F-EXP-03·F-TRN-10·F-CFM-13).</t>
        </is>
      </c>
      <c r="D28" s="6" t="inlineStr">
        <is>
          <t>PM + AI</t>
        </is>
      </c>
      <c r="E28" s="262" t="inlineStr">
        <is>
          <t>중간 — 12월, 스키마 영향</t>
        </is>
      </c>
      <c r="F28" s="6" t="inlineStr">
        <is>
          <t>v3.0 신설 (변경안 §15)</t>
        </is>
      </c>
      <c r="G28" s="6" t="n"/>
      <c r="H28" s="6" t="n"/>
      <c r="I28" s="6" t="n"/>
      <c r="J28" s="6" t="n"/>
      <c r="K28" s="6" t="n"/>
      <c r="L28" s="6" t="n"/>
      <c r="M28" s="6" t="n"/>
      <c r="N28" s="6" t="n"/>
      <c r="O28" s="6" t="n"/>
      <c r="P28" s="6" t="n"/>
      <c r="Q28" s="6" t="n"/>
      <c r="R28" s="6" t="n"/>
      <c r="S28" s="6" t="n"/>
      <c r="T28" s="6" t="n"/>
      <c r="U28" s="6" t="n"/>
      <c r="V28" s="6" t="n"/>
      <c r="W28" s="6" t="n"/>
      <c r="X28" s="6" t="n"/>
      <c r="Y28" s="6" t="n"/>
      <c r="Z28" s="6" t="n"/>
    </row>
    <row r="29" ht="31.5" customHeight="1">
      <c r="A29" s="6" t="inlineStr">
        <is>
          <t>OI-49</t>
        </is>
      </c>
      <c r="B29" s="262" t="inlineStr">
        <is>
          <t>★스타일 추출 범위</t>
        </is>
      </c>
      <c r="C29" s="262" t="inlineStr">
        <is>
          <t>폰트 패밀리를 역할 기반 2~3종으로 고정하는 선택 — "원본 느낌 유지"를 어디까지 약속할지 미확정(변경안 §15). V4(스타일 추출 정확도 실측)가 판단 재료.</t>
        </is>
      </c>
      <c r="D29" s="6" t="inlineStr">
        <is>
          <t>PM + AI</t>
        </is>
      </c>
      <c r="E29" s="262" t="inlineStr">
        <is>
          <t>중간</t>
        </is>
      </c>
      <c r="F29" s="6" t="inlineStr">
        <is>
          <t>v3.0 신설 (변경안 §15)</t>
        </is>
      </c>
      <c r="G29" s="6" t="n"/>
      <c r="H29" s="6" t="n"/>
      <c r="I29" s="6" t="n"/>
      <c r="J29" s="6" t="n"/>
      <c r="K29" s="6" t="n"/>
      <c r="L29" s="6" t="n"/>
      <c r="M29" s="6" t="n"/>
      <c r="N29" s="6" t="n"/>
      <c r="O29" s="6" t="n"/>
      <c r="P29" s="6" t="n"/>
      <c r="Q29" s="6" t="n"/>
      <c r="R29" s="6" t="n"/>
      <c r="S29" s="6" t="n"/>
      <c r="T29" s="6" t="n"/>
      <c r="U29" s="6" t="n"/>
      <c r="V29" s="6" t="n"/>
      <c r="W29" s="6" t="n"/>
      <c r="X29" s="6" t="n"/>
      <c r="Y29" s="6" t="n"/>
      <c r="Z29" s="6" t="n"/>
    </row>
    <row r="30" ht="31.5" customHeight="1">
      <c r="A30" s="6" t="inlineStr">
        <is>
          <t>OI-50</t>
        </is>
      </c>
      <c r="B30" s="262" t="inlineStr">
        <is>
          <t>★용어집 자동 학습 확인 절차 (12월)</t>
        </is>
      </c>
      <c r="C30" s="262" t="inlineStr">
        <is>
          <t>2차 번역에서의 용어 수준 수정을 용어집(F-TRN-02 RAG)에 태워 재발을 막는 안 — 자동 반영은 위험하므로 확인 절차와 함께 12월 후보로 둔다(변경안 §3-3). 절차 미확정.</t>
        </is>
      </c>
      <c r="D30" s="6" t="inlineStr">
        <is>
          <t>PM + AI</t>
        </is>
      </c>
      <c r="E30" s="262" t="inlineStr">
        <is>
          <t>낮음 — 12월</t>
        </is>
      </c>
      <c r="F30" s="6" t="inlineStr">
        <is>
          <t>v3.0 신설 (변경안 §15)</t>
        </is>
      </c>
      <c r="G30" s="6" t="n"/>
      <c r="H30" s="6" t="n"/>
      <c r="I30" s="6" t="n"/>
      <c r="J30" s="6" t="n"/>
      <c r="K30" s="6" t="n"/>
      <c r="L30" s="6" t="n"/>
      <c r="M30" s="6" t="n"/>
      <c r="N30" s="6" t="n"/>
      <c r="O30" s="6" t="n"/>
      <c r="P30" s="6" t="n"/>
      <c r="Q30" s="6" t="n"/>
      <c r="R30" s="6" t="n"/>
      <c r="S30" s="6" t="n"/>
      <c r="T30" s="6" t="n"/>
      <c r="U30" s="6" t="n"/>
      <c r="V30" s="6" t="n"/>
      <c r="W30" s="6" t="n"/>
      <c r="X30" s="6" t="n"/>
      <c r="Y30" s="6" t="n"/>
      <c r="Z30" s="6" t="n"/>
    </row>
    <row r="31" ht="31.5" customHeight="1">
      <c r="A31" s="6" t="inlineStr">
        <is>
          <t>OI-51</t>
        </is>
      </c>
      <c r="B31" s="6" t="inlineStr">
        <is>
          <t>★SVG 산출물 검토</t>
        </is>
      </c>
      <c r="C31" s="6" t="inlineStr">
        <is>
          <t>SVG는 텍스트가 살아있는 12월 후보 포맷. 단, Figma가 &lt;text&gt;를 벡터로 쪼갠다는 보고가 있어 테스트 선행(V5, 30분·미실행). 결과에 따라 채택 여부 결정.</t>
        </is>
      </c>
      <c r="D31" s="262" t="inlineStr">
        <is>
          <t>백엔드</t>
        </is>
      </c>
      <c r="E31" s="262" t="inlineStr">
        <is>
          <t>낮음 — 12월</t>
        </is>
      </c>
      <c r="F31" s="6" t="inlineStr">
        <is>
          <t>v3.0 신설 (변경안 §4-3)</t>
        </is>
      </c>
      <c r="G31" s="6" t="n"/>
      <c r="H31" s="6" t="n"/>
      <c r="I31" s="6" t="n"/>
      <c r="J31" s="6" t="n"/>
      <c r="K31" s="6" t="n"/>
      <c r="L31" s="6" t="n"/>
      <c r="M31" s="6" t="n"/>
      <c r="N31" s="6" t="n"/>
      <c r="O31" s="6" t="n"/>
      <c r="P31" s="6" t="n"/>
      <c r="Q31" s="6" t="n"/>
      <c r="R31" s="6" t="n"/>
      <c r="S31" s="6" t="n"/>
      <c r="T31" s="6" t="n"/>
      <c r="U31" s="6" t="n"/>
      <c r="V31" s="6" t="n"/>
      <c r="W31" s="6" t="n"/>
      <c r="X31" s="6" t="n"/>
      <c r="Y31" s="6" t="n"/>
      <c r="Z31" s="6" t="n"/>
    </row>
    <row r="32" ht="45" customHeight="1">
      <c r="A32" s="6" t="inlineStr">
        <is>
          <t>OI-52</t>
        </is>
      </c>
      <c r="B32" s="262" t="inlineStr">
        <is>
          <t>★크리젠(VCAT.AI) 경쟁 확인</t>
        </is>
      </c>
      <c r="C32" s="262" t="inlineStr">
        <is>
          <t>크리젠에 "이미지 번역(Text Localizer)" 앱이 이미 존재(텍스트 지우기·배너 리사이즈 보유, ₩12,600/월). 제자리 번역 단독으로는 차별점이 얇다 → 커머스 관습 레이어로 차별점 상향 필요(R-11). V2(품질 실측)로 확인.</t>
        </is>
      </c>
      <c r="D32" s="6" t="inlineStr">
        <is>
          <t>PM</t>
        </is>
      </c>
      <c r="E32" s="262" t="inlineStr">
        <is>
          <t>높음</t>
        </is>
      </c>
      <c r="F32" s="6" t="inlineStr">
        <is>
          <t>v3.0 신설 (변경안 §9·§12)</t>
        </is>
      </c>
      <c r="G32" s="6" t="n"/>
      <c r="H32" s="6" t="n"/>
      <c r="I32" s="6" t="n"/>
      <c r="J32" s="6" t="n"/>
      <c r="K32" s="6" t="n"/>
      <c r="L32" s="6" t="n"/>
      <c r="M32" s="6" t="n"/>
      <c r="N32" s="6" t="n"/>
      <c r="O32" s="6" t="n"/>
      <c r="P32" s="6" t="n"/>
      <c r="Q32" s="6" t="n"/>
      <c r="R32" s="6" t="n"/>
      <c r="S32" s="6" t="n"/>
      <c r="T32" s="6" t="n"/>
      <c r="U32" s="6" t="n"/>
      <c r="V32" s="6" t="n"/>
      <c r="W32" s="6" t="n"/>
      <c r="X32" s="6" t="n"/>
      <c r="Y32" s="6" t="n"/>
      <c r="Z32" s="6" t="n"/>
    </row>
    <row r="33" ht="45" customHeight="1">
      <c r="A33" s="6" t="inlineStr">
        <is>
          <t>OI-53</t>
        </is>
      </c>
      <c r="B33" s="262" t="inlineStr">
        <is>
          <t>★원본 규격 결과물의 용량 기준</t>
        </is>
      </c>
      <c r="C33" s="262" t="inlineStr">
        <is>
          <t>9월은 규격이 "원본 그대로"라 대응하는 channel_spec이 없어 용량 상한의 출처가 없다. 2MB는 F-CH-05a의 아마존 [detail] 값이므로 원본 규격에 적용할 근거가 없고, F-CH-01은 모든 검증 항목에 출처 URL과 확인일자를 요구한다. 9/1 결정 — 원본 규격용 최소 spec에는 포맷(JPG·PNG)과 색공간(RGB)만 정의하고 용량은 규칙에 넣지 않아 "미검사"로 표시한다(F-CH-05a 예외 조항). 근거 없는 숫자를 만들지 않는다. 재개 조건: ① 12월 사이트별 규격 시드 시 채널별 값과 함께 확정 ② 실제 업로드를 하게 되면 그때 필수가 된다. 분할 장수가 이 상한값에서 결정되므로(F-FIN-01), 상한이 정의되기 전에는 나누지 않는다.</t>
        </is>
      </c>
      <c r="D33" s="6" t="inlineStr">
        <is>
          <t>PM + 백엔드</t>
        </is>
      </c>
      <c r="E33" s="262" t="inlineStr">
        <is>
          <t>낮음 — 9월은 업로드 없어 실익 없음 · 상한 미정 동안 분할은 동작하지 않음(통짜 1장)</t>
        </is>
      </c>
      <c r="F33" s="6" t="inlineStr">
        <is>
          <t>v3.0 신설 · v3.2 수정 — 분할 규칙 변경에 따라 마지막 문장 정정</t>
        </is>
      </c>
      <c r="G33" s="6" t="n"/>
      <c r="H33" s="6" t="n"/>
      <c r="I33" s="6" t="n"/>
      <c r="J33" s="6" t="n"/>
      <c r="K33" s="6" t="n"/>
      <c r="L33" s="6" t="n"/>
      <c r="M33" s="6" t="n"/>
      <c r="N33" s="6" t="n"/>
      <c r="O33" s="6" t="n"/>
      <c r="P33" s="6" t="n"/>
      <c r="Q33" s="6" t="n"/>
      <c r="R33" s="6" t="n"/>
      <c r="S33" s="6" t="n"/>
      <c r="T33" s="6" t="n"/>
      <c r="U33" s="6" t="n"/>
      <c r="V33" s="6" t="n"/>
      <c r="W33" s="6" t="n"/>
      <c r="X33" s="6" t="n"/>
      <c r="Y33" s="6" t="n"/>
      <c r="Z33" s="6" t="n"/>
    </row>
    <row r="34" ht="31.5" customHeight="1">
      <c r="A34" s="6" t="inlineStr">
        <is>
          <t>OI-54</t>
        </is>
      </c>
      <c r="B34" s="262" t="inlineStr">
        <is>
          <t>★규제 검출 평가셋 구축</t>
        </is>
      </c>
      <c r="C34" s="262" t="inlineStr">
        <is>
          <t>NFR-14가 "검출 재현율 90% 이상"을 must로 요구하는데 측정 수단인 내부 평가셋이 존재하지 않는다 — 실행계획 V1~V7에도 제작 작업이 없고 골든 샘플(OI-37)은 완주 시연용이라 통계를 낼 수 없다. 90%라는 값의 출처도 문서에 없다. ★함정: 규제 사전을 만든 사람이 사전에서 뽑아 평가셋을 만들면 채점이 100%로 나온다 — 사전에 없는 표현이 포함되어야 의미 있는 재현율이 나온다. ★착수 제안: V2(크리젠 품질 실측, OI-52)가 쓰는 비교 샘플에 정답 라벨을 붙여 우리 검출률도 함께 재면 평가셋의 씨앗이 되고 경쟁 비교 자료와 재사용된다.</t>
        </is>
      </c>
      <c r="D34" s="6" t="inlineStr">
        <is>
          <t>강다희 + AI</t>
        </is>
      </c>
      <c r="E34" s="262" t="inlineStr">
        <is>
          <t>높음 — NFR-14 전제</t>
        </is>
      </c>
      <c r="F34" s="6" t="inlineStr">
        <is>
          <t>v3.0 신설</t>
        </is>
      </c>
    </row>
    <row r="35" ht="31.5" customHeight="1">
      <c r="A35" s="6" t="inlineStr">
        <is>
          <t>OI-55</t>
        </is>
      </c>
      <c r="B35" s="262" t="inlineStr">
        <is>
          <t>★인증 뱃지의 12월 화면 위치</t>
        </is>
      </c>
      <c r="C35" s="262" t="inlineStr">
        <is>
          <t>F-SRC-08(뱃지 업로드)은 12월 이월이나 화면 열이 N1로 남아 있어 9월 화면에 있는 것처럼 읽힌다. 03_화면정의서의 "12월 활성화 시 화면 변화" 목록에도 뱃지 업로드가 없어, 12월에 N1의 어디에 붙는지·업로드한 뱃지가 어느 화면에서 템플릿 슬롯에 들어가는지가 정의되지 않았다. F-SRC-08 수용기준 ②의 "뱃지 슬롯 검토 대상으로 전달"은 기능이 아니라 할 일이다. F-CH-07(module_spec) 확정과 함께 정한다.</t>
        </is>
      </c>
      <c r="D35" s="6" t="inlineStr">
        <is>
          <t>PM</t>
        </is>
      </c>
      <c r="E35" s="262" t="inlineStr">
        <is>
          <t>낮음 — 12월</t>
        </is>
      </c>
      <c r="F35" s="6" t="inlineStr">
        <is>
          <t>v3.0 신설</t>
        </is>
      </c>
    </row>
    <row r="36" ht="17.25" customHeight="1">
      <c r="A36" s="6" t="inlineStr">
        <is>
          <t>OI-56</t>
        </is>
      </c>
      <c r="B36" s="262" t="inlineStr">
        <is>
          <t>★진행 조회 주기 미확정</t>
        </is>
      </c>
      <c r="C36" s="262" t="inlineStr">
        <is>
          <t>F-JOB-05에서 진행 조회의 방식(폴링/푸시)과 주기를 요건에서 구현으로 이관하면서(9/2), 주기를 정하는 자리가 API 명세로 넘어갔다. 8/31 API 명세에 주기 항목이 있는지 미확인이며, 없으면 "누가 정하는가"가 붕 뜬다. 명세에 「폴링 주기: 추후 확정」 항목을 먼저 만들고 9/7 N4·N5 명세 확정 시 값을 넣는다(김도연 제안 9/2). PRD는 "진행 조회의 방식과 주기는 API 명세가 정한다"로 소유자만 명시한다.</t>
        </is>
      </c>
      <c r="D36" s="6" t="inlineStr">
        <is>
          <t>김도연</t>
        </is>
      </c>
      <c r="E36" s="262" t="inlineStr">
        <is>
          <t>높음 — 9/7 명세 확정 전</t>
        </is>
      </c>
      <c r="F36" s="6" t="inlineStr">
        <is>
          <t>v3.1 신설</t>
        </is>
      </c>
    </row>
    <row r="37" ht="31.5" customHeight="1">
      <c r="A37" s="6" t="inlineStr">
        <is>
          <t>OI-58</t>
        </is>
      </c>
      <c r="B37" s="262" t="inlineStr">
        <is>
          <t>★verdict_basis의 근거 조문 수록 수준</t>
        </is>
      </c>
      <c r="C37" s="262" t="inlineStr">
        <is>
          <t>manifest가 셀러 배포 대상에서 빠지면서 content.csv가 삭제 내역의 단독 증빙이 됐다(F-SEC-05·NFR-31). F-SEC-05가 화면에 요구하는 5개 항목 중 「근거(조문)」를 CSV의 verdict_basis가 어느 수준으로 담는지(전문/요약/링크) 미정. 9/7 content.csv 스키마 확정 시 정한다.</t>
        </is>
      </c>
      <c r="D37" s="6" t="inlineStr">
        <is>
          <t>김도연 + PM</t>
        </is>
      </c>
      <c r="E37" s="262" t="inlineStr">
        <is>
          <t>높음 — 9/7 스키마 확정 전</t>
        </is>
      </c>
      <c r="F37" s="6" t="inlineStr">
        <is>
          <t>v3.1 신설</t>
        </is>
      </c>
    </row>
    <row r="38" ht="45" customHeight="1">
      <c r="A38" s="6" t="inlineStr">
        <is>
          <t>OI-59</t>
        </is>
      </c>
      <c r="B38" s="262" t="inlineStr">
        <is>
          <t>★대표이미지 텍스트 제거 품질 실측</t>
        </is>
      </c>
      <c r="C38" s="262" t="inlineStr">
        <is>
          <t>상세페이지에서 인페인팅은 중간 단계다 — 텍스트를 지운 자리에 번역문이 올라가므로 배경 복원이 거칠어도 글자가 덮는다. 대표이미지는 지우고 끝이므로 인페인팅 결과가 산출물의 표면 그대로 노출된다. 한국식 대표이미지는 제품 사진 + 그라데이션 배경 + 카피 형태가 흔해 F-INP-01a의 사진 경로로 가며 그쪽이 더 어렵다. F-INP-01b의 품질 배지가 있으나 같은 배지의 심각도가 다르다 — 상세페이지에서는 '글자 아래가 거칠다'이고 대표이미지에서는 '이 장은 못 쓴다'이다. 처리: 신규 검증 항목이 아니라 기존 V1(LaMa · 미실행)에 케이스 2개를 추가한다 — ⓐ 텍스트만 제거한 결과 ⓑ 로고까지 제거한 결과(제품 패키지 로고가 선명한 대표이미지로). 골든 샘플(OI-37)에 위 조건을 만족하는 대표이미지를 포함시킨다. 결과가 나쁘면 F-THM-05를 '번역하고 티저 경고만 표시'로 후퇴시키며, 그 후퇴는 상세·수용기준 수정만으로 닫힌다. 규격 변경 경로에서는 F-CH-11의 누끼가 제품만 뽑으므로 이 리스크가 작으나, 누끼 실패 시 원본 크롭 폴백이라 완전히 사라지지는 않는다. 관련: OI-26(V1 실패 시 경로 1이 흔들린다) · NFR-15(잔존율 분모·기준값) · OI-37(골든 샘플).</t>
        </is>
      </c>
      <c r="D38" s="6" t="inlineStr">
        <is>
          <t>PM</t>
        </is>
      </c>
      <c r="E38" s="262" t="inlineStr">
        <is>
          <t>낮음 — 12월</t>
        </is>
      </c>
      <c r="F38" s="6" t="inlineStr">
        <is>
          <t>v3.2 신설</t>
        </is>
      </c>
    </row>
    <row r="39" ht="17.25" customHeight="1">
      <c r="A39" s="175" t="inlineStr">
        <is>
          <t>종결된 이슈</t>
        </is>
      </c>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ht="31.5" customHeight="1">
      <c r="A40" s="6" t="inlineStr">
        <is>
          <t>OI-57</t>
        </is>
      </c>
      <c r="B40" s="262" t="inlineStr">
        <is>
          <t>★썸네일 종횡비 검증 항목 부재</t>
        </is>
      </c>
      <c r="C40" s="262" t="inlineStr">
        <is>
          <t>v3.2에서 F-CH-05a [thumbnail] 검증 항목에 종횡비를 추가(기준값은 규격 데이터가 정한다 — 12월 module_spec 시드 시 확정). 종결.</t>
        </is>
      </c>
      <c r="D40" s="6" t="n"/>
      <c r="E40" s="262" t="n"/>
      <c r="F40" s="6" t="n"/>
    </row>
    <row r="41" ht="17.25" customHeight="1">
      <c r="A41" s="296" t="inlineStr">
        <is>
          <t>OI-42</t>
        </is>
      </c>
      <c r="B41" s="170" t="inlineStr">
        <is>
          <t>★선크림 카테고리 규제 체계 상이</t>
        </is>
      </c>
      <c r="C41" s="296" t="inlineStr">
        <is>
          <t>v2.5에서 확정 — F-LNG-03(규제 분류 선택) 신설, F-TRN-03a 조회 축에 regulatory_class 추가, F-TRN-07(규제 사전 마스터) 신설, PL-17·PL-18 개정. 종결. 복합 제품 처리는 OI-46, 폴백 정책은 OI-47로 이월.</t>
        </is>
      </c>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c r="Z41" s="6" t="n"/>
    </row>
    <row r="42" ht="17.25" customHeight="1">
      <c r="A42" s="146" t="inlineStr">
        <is>
          <t>이슈 ID</t>
        </is>
      </c>
      <c r="B42" s="146" t="inlineStr">
        <is>
          <t>이슈</t>
        </is>
      </c>
      <c r="C42" s="146" t="inlineStr">
        <is>
          <t>종결 사유</t>
        </is>
      </c>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row>
    <row r="43" ht="17.25" customHeight="1">
      <c r="A43" s="155" t="inlineStr">
        <is>
          <t>OI-01</t>
        </is>
      </c>
      <c r="B43" s="154" t="inlineStr">
        <is>
          <t>규격 리서치</t>
        </is>
      </c>
      <c r="C43" s="155" t="inlineStr">
        <is>
          <t>MVP 범위를 Amazon 단독으로 좁히고 A+ 970×300을 Amazon 공식 자료로 확정해 종결. 다규격 확장 시 재개한다.</t>
        </is>
      </c>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row>
    <row r="44" ht="17.25" customHeight="1">
      <c r="A44" s="155" t="inlineStr">
        <is>
          <t>OI-02</t>
        </is>
      </c>
      <c r="B44" s="155" t="inlineStr">
        <is>
          <t>Amazon JP·AE 규격 별도 확인</t>
        </is>
      </c>
      <c r="C44" s="155" t="inlineStr">
        <is>
          <t>v1.5에서 Amazon Basic A+를 글로벌 공통 정책으로 정리해 규격은 공통, 국가는 규제 사전만 분기하는 구조로 확정. 종결.</t>
        </is>
      </c>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row>
    <row r="45" ht="17.25" customHeight="1">
      <c r="A45" s="155" t="inlineStr">
        <is>
          <t>OI-03</t>
        </is>
      </c>
      <c r="B45" s="154" t="inlineStr">
        <is>
          <t>쿠팡 제품 점유율</t>
        </is>
      </c>
      <c r="C45" s="154" t="inlineStr">
        <is>
          <t>쿠팡이 범위에서 제외되어 무효. 종결.</t>
        </is>
      </c>
      <c r="D45" s="6" t="n"/>
      <c r="E45" s="6" t="n"/>
      <c r="F45" s="6" t="n"/>
      <c r="G45" s="6" t="n"/>
      <c r="H45" s="6" t="n"/>
      <c r="I45" s="6" t="n"/>
      <c r="J45" s="6" t="n"/>
      <c r="K45" s="6" t="n"/>
      <c r="L45" s="6" t="n"/>
      <c r="M45" s="6" t="n"/>
      <c r="N45" s="6" t="n"/>
      <c r="O45" s="6" t="n"/>
      <c r="P45" s="6" t="n"/>
      <c r="Q45" s="6" t="n"/>
      <c r="R45" s="6" t="n"/>
      <c r="S45" s="6" t="n"/>
      <c r="T45" s="6" t="n"/>
      <c r="U45" s="6" t="n"/>
      <c r="V45" s="6" t="n"/>
      <c r="W45" s="6" t="n"/>
      <c r="X45" s="6" t="n"/>
      <c r="Y45" s="6" t="n"/>
      <c r="Z45" s="6" t="n"/>
    </row>
    <row r="46" ht="17.25" customHeight="1">
      <c r="A46" s="155" t="inlineStr">
        <is>
          <t>OI-23</t>
        </is>
      </c>
      <c r="B46" s="154" t="inlineStr">
        <is>
          <t>되돌림 초기화 예외 범위</t>
        </is>
      </c>
      <c r="C46" s="155" t="inlineStr">
        <is>
          <t>v1.5 F-NAV-05의 종속 대상 기반 판정으로 해결. 종결.</t>
        </is>
      </c>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row>
    <row r="47" ht="17.25" customHeight="1">
      <c r="A47" s="154" t="inlineStr">
        <is>
          <t>구 미결1</t>
        </is>
      </c>
      <c r="B47" s="154" t="inlineStr">
        <is>
          <t>번역 신뢰도 산출 방식</t>
        </is>
      </c>
      <c r="C47" s="155" t="inlineStr">
        <is>
          <t>v1.6에서 점수 폐기, 플래그로 대체(F-CFM-05). 점수화는 OI-33으로 이관. 종결.</t>
        </is>
      </c>
      <c r="D47" s="6" t="n"/>
      <c r="E47" s="6" t="n"/>
      <c r="F47" s="6" t="n"/>
      <c r="G47" s="6" t="n"/>
      <c r="H47" s="6" t="n"/>
      <c r="I47" s="6" t="n"/>
      <c r="J47" s="6" t="n"/>
      <c r="K47" s="6" t="n"/>
      <c r="L47" s="6" t="n"/>
      <c r="M47" s="6" t="n"/>
      <c r="N47" s="6" t="n"/>
      <c r="O47" s="6" t="n"/>
      <c r="P47" s="6" t="n"/>
      <c r="Q47" s="6" t="n"/>
      <c r="R47" s="6" t="n"/>
      <c r="S47" s="6" t="n"/>
      <c r="T47" s="6" t="n"/>
      <c r="U47" s="6" t="n"/>
      <c r="V47" s="6" t="n"/>
      <c r="W47" s="6" t="n"/>
      <c r="X47" s="6" t="n"/>
      <c r="Y47" s="6" t="n"/>
      <c r="Z47" s="6" t="n"/>
    </row>
    <row r="48" ht="17.25" customHeight="1">
      <c r="A48" s="154" t="inlineStr">
        <is>
          <t>구 미결2</t>
        </is>
      </c>
      <c r="B48" s="154" t="inlineStr">
        <is>
          <t>보관 기간 30/90일</t>
        </is>
      </c>
      <c r="C48" s="155" t="inlineStr">
        <is>
          <t>F-LST-09를 12월로 이월하며 기간 값도 함께 이월. 종결.</t>
        </is>
      </c>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row>
    <row r="49" ht="17.25" customHeight="1">
      <c r="A49" s="154" t="inlineStr">
        <is>
          <t>구 미결3</t>
        </is>
      </c>
      <c r="B49" s="155" t="inlineStr">
        <is>
          <t>A+ 픽셀 규격 출처</t>
        </is>
      </c>
      <c r="C49" s="155" t="inlineStr">
        <is>
          <t>Amazon 공식 자료로 확정. 종결.</t>
        </is>
      </c>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17.25" customHeight="1">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17.25" customHeight="1">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ht="17.25" customHeight="1">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17.25" customHeight="1">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17.25" customHeight="1">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17.25" customHeight="1">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17.25" customHeight="1">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17.25" customHeight="1">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17.25" customHeight="1">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7.25" customHeight="1">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7.25" customHeight="1">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7.25" customHeight="1">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7.25" customHeight="1">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7.25" customHeight="1">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31.5" customHeight="1">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31.5" customHeight="1">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7.25" customHeight="1">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7.25" customHeight="1">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45" customHeight="1">
      <c r="A68" s="148" t="inlineStr">
        <is>
          <t>OI-34</t>
        </is>
      </c>
      <c r="B68" s="148" t="inlineStr">
        <is>
          <t>v1.7 종결</t>
        </is>
      </c>
      <c r="C68" s="148" t="inlineStr">
        <is>
          <t>v1.7에서 HTML/Playwright로 확정. 편집 레이어와 출력 렌더러 모두 HTML 기준. 종결.</t>
        </is>
      </c>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7.25" customHeight="1">
      <c r="A69" s="148" t="inlineStr">
        <is>
          <t>OI-32</t>
        </is>
      </c>
      <c r="B69" s="148" t="inlineStr">
        <is>
          <t>v1.7 종결</t>
        </is>
      </c>
      <c r="C69" s="148" t="inlineStr">
        <is>
          <t>v1.7에서 Amazon Skin Care 하위 7종(Body · Eyes · Face · Lip Care · Maternity · Sets, Kits · Sunscreens &amp; Tanning Products)으로 확정. 종결.</t>
        </is>
      </c>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7.25" customHeight="1">
      <c r="A70" s="148" t="inlineStr">
        <is>
          <t>OI-40</t>
        </is>
      </c>
      <c r="B70" s="148" t="inlineStr">
        <is>
          <t>v1.7 종결</t>
        </is>
      </c>
      <c r="C70" s="148" t="inlineStr">
        <is>
          <t>v1.7에서 스키마·Mock·실기능 3단계 분리로 확정(8/23 목록 → 8/26 S1~S3 → 8/31 S4 → 9/7 S6 → 9/11 S8). 종결.</t>
        </is>
      </c>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45" customHeight="1">
      <c r="A71" s="148" t="inlineStr">
        <is>
          <t>OI-35</t>
        </is>
      </c>
      <c r="B71" s="148" t="inlineStr">
        <is>
          <t>v1.7 종결</t>
        </is>
      </c>
      <c r="C71" s="148" t="inlineStr">
        <is>
          <t>v1.7에서 job_event·edit_signal 테이블을 MVP ERD에 포함하고 A-QA-01을 수집 전용 must로 승격. 종결.</t>
        </is>
      </c>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5.75" customHeight="1">
      <c r="A72" s="148" t="inlineStr">
        <is>
          <t>OI-41</t>
        </is>
      </c>
      <c r="B72" s="148" t="inlineStr">
        <is>
          <t>v1.7 종결</t>
        </is>
      </c>
      <c r="C72" s="148" t="inlineStr">
        <is>
          <t>v1.7에서 시드 적재는 강다희, DB 구조는 김도연으로 확정. 종결.</t>
        </is>
      </c>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5.75" customHeight="1">
      <c r="A73" s="148" t="inlineStr">
        <is>
          <t>OI-19</t>
        </is>
      </c>
      <c r="B73" s="148" t="inlineStr">
        <is>
          <t>v1.7 종결</t>
        </is>
      </c>
      <c r="C73" s="148" t="inlineStr">
        <is>
          <t>v1.7에서 자동 재검증 없이 경고만으로 확정. 종결. ⚠ v3.0에서 결론 변경 — 검수 셀 수정 시 금지표현 사전 매칭(F-TRN-03a)을 자동 재실행한다(F-CFM-02). 룰 기반이라 비용 무시 가능, 차단 없이 경고. "경고만" 결론은 폐기.</t>
        </is>
      </c>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5.75" customHeight="1">
      <c r="A74" s="148" t="inlineStr">
        <is>
          <t>OI-20</t>
        </is>
      </c>
      <c r="B74" s="148" t="inlineStr">
        <is>
          <t>v1.7 종결</t>
        </is>
      </c>
      <c r="C74" s="148" t="inlineStr">
        <is>
          <t>v1.7에서 추출 실패 조각은 S5에서 사용자 직접 입력 가능으로 확정. 종결. ⚠ v3.0에서 결론 변경 — 근거 기능(F-TXT-04 우측 패널 편집)이 삭제되어 직접 입력 경로가 사라졌다. 원문 입력·블록 신규 생성은 제공하지 않으며(PL-26), 인식 실패 블록은 확인 필요 신호로 알리고(F-CFM-05) 대응 수단은 섹션 제외(F-CFM-14)다. "직접 입력 가능" 결론은 폐기.</t>
        </is>
      </c>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5.75" customHeight="1">
      <c r="A75" s="148" t="inlineStr">
        <is>
          <t>OI-05</t>
        </is>
      </c>
      <c r="B75" s="148" t="inlineStr">
        <is>
          <t>v1.7 종결</t>
        </is>
      </c>
      <c r="C75" s="148" t="inlineStr">
        <is>
          <t>v1.7에서 9종으로 확정(생성됨·배치중·전처리중·원문확인·번역중·번역문확인·완료·오류·취소). 종결.</t>
        </is>
      </c>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5.75" customHeight="1">
      <c r="A76" s="148" t="inlineStr">
        <is>
          <t>OI-38</t>
        </is>
      </c>
      <c r="B76" s="148" t="inlineStr">
        <is>
          <t>v1.7 종결</t>
        </is>
      </c>
      <c r="C76" s="148" t="inlineStr">
        <is>
          <t>v1.7에서 개발계획서 수정으로 해소 방향 확정 — 6.1 스키마에 fragment_id·module_coords·role 추가. block_merge_id는 v2.0에서 철회하고 텍스트블록.source_lines(jsonb)로 대체(줄 단위 별도 레코드를 두지 않는 3층 구조 확정에 따름). 종결.</t>
        </is>
      </c>
      <c r="D76" s="148" t="n"/>
      <c r="E76" s="148" t="n"/>
      <c r="F76" s="148" t="n"/>
      <c r="G76" s="6" t="n"/>
      <c r="H76" s="6" t="n"/>
      <c r="I76" s="6" t="n"/>
      <c r="J76" s="6" t="n"/>
      <c r="K76" s="6" t="n"/>
      <c r="L76" s="6" t="n"/>
      <c r="M76" s="6" t="n"/>
      <c r="N76" s="6" t="n"/>
      <c r="O76" s="6" t="n"/>
      <c r="P76" s="6" t="n"/>
      <c r="Q76" s="6" t="n"/>
      <c r="R76" s="6" t="n"/>
      <c r="S76" s="6" t="n"/>
      <c r="T76" s="6" t="n"/>
      <c r="U76" s="6" t="n"/>
      <c r="V76" s="6" t="n"/>
      <c r="W76" s="6" t="n"/>
      <c r="X76" s="6" t="n"/>
      <c r="Y76" s="6" t="n"/>
      <c r="Z76" s="6" t="n"/>
    </row>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 customHeight="1"/>
    <row r="1003" ht="15" customHeight="1"/>
    <row r="1004" ht="15" customHeight="1"/>
    <row r="1005" ht="15" customHeight="1"/>
    <row r="1006" ht="15" customHeight="1"/>
  </sheetData>
  <dataValidations count="1">
    <dataValidation sqref="F5:F25" showDropDown="1" showInputMessage="0" showErrorMessage="1" allowBlank="1" type="list">
      <formula1>"신설,수정"</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Z80"/>
  <sheetViews>
    <sheetView showGridLines="0" zoomScaleNormal="100" workbookViewId="0">
      <pane ySplit="4" topLeftCell="A5" activePane="bottomLeft" state="frozen"/>
      <selection pane="bottomLeft" activeCell="B6" sqref="B6"/>
    </sheetView>
  </sheetViews>
  <sheetFormatPr baseColWidth="8" defaultColWidth="14.42578125" defaultRowHeight="15"/>
  <cols>
    <col width="22" customWidth="1" min="1" max="1"/>
    <col width="118" customWidth="1" min="2" max="2"/>
    <col width="10" customWidth="1" min="3" max="3"/>
    <col width="8.7109375" customWidth="1" min="4" max="6"/>
  </cols>
  <sheetData>
    <row r="1" ht="21" customHeight="1">
      <c r="A1" s="17" t="inlineStr">
        <is>
          <t>11. 용어집 — v3.2.1</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5" customHeight="1">
      <c r="A2" s="19" t="inlineStr">
        <is>
          <t>★연하늘 = v3.2.1 수정·폐기. 이전 개정의 변경 표시 색은 v3.2.1에서 전부 해제했다 — 폐기된 개념은 취소선이 표시한다</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ht="15" customHeight="1">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ht="31.5" customHeight="1">
      <c r="A4" s="146" t="inlineStr">
        <is>
          <t>용어</t>
        </is>
      </c>
      <c r="B4" s="146" t="inlineStr">
        <is>
          <t>정의</t>
        </is>
      </c>
      <c r="C4" s="146" t="inlineStr">
        <is>
          <t>변경 이력</t>
        </is>
      </c>
      <c r="D4" s="6" t="n"/>
      <c r="E4" s="6" t="n"/>
      <c r="F4" s="6" t="n"/>
      <c r="G4" s="6" t="n"/>
      <c r="H4" s="6" t="n"/>
      <c r="I4" s="6" t="n"/>
      <c r="J4" s="6" t="n"/>
      <c r="K4" s="6" t="n"/>
      <c r="L4" s="6" t="n"/>
      <c r="M4" s="6" t="n"/>
      <c r="N4" s="6" t="n"/>
      <c r="O4" s="6" t="n"/>
      <c r="P4" s="6" t="n"/>
      <c r="Q4" s="6" t="n"/>
      <c r="R4" s="6" t="n"/>
      <c r="S4" s="6" t="n"/>
      <c r="T4" s="6" t="n"/>
      <c r="U4" s="6" t="n"/>
      <c r="V4" s="6" t="n"/>
      <c r="W4" s="6" t="n"/>
      <c r="X4" s="6" t="n"/>
      <c r="Y4" s="6" t="n"/>
      <c r="Z4" s="6" t="n"/>
    </row>
    <row r="5" ht="17.25" customHeight="1">
      <c r="A5" s="155" t="inlineStr">
        <is>
          <t>Pix/ate</t>
        </is>
      </c>
      <c r="B5" s="154" t="inlineStr">
        <is>
          <t>본 서비스의 이름. AI 상세페이지 로컬라이제이션 SaaS</t>
        </is>
      </c>
      <c r="C5" s="155" t="n"/>
      <c r="D5" s="6" t="n"/>
      <c r="E5" s="6" t="n"/>
      <c r="F5" s="6" t="n"/>
      <c r="G5" s="6" t="n"/>
      <c r="H5" s="6" t="n"/>
      <c r="I5" s="6" t="n"/>
      <c r="J5" s="6" t="n"/>
      <c r="K5" s="6" t="n"/>
      <c r="L5" s="6" t="n"/>
      <c r="M5" s="6" t="n"/>
      <c r="N5" s="6" t="n"/>
      <c r="O5" s="6" t="n"/>
      <c r="P5" s="6" t="n"/>
      <c r="Q5" s="6" t="n"/>
      <c r="R5" s="6" t="n"/>
      <c r="S5" s="6" t="n"/>
      <c r="T5" s="6" t="n"/>
      <c r="U5" s="6" t="n"/>
      <c r="V5" s="6" t="n"/>
      <c r="W5" s="6" t="n"/>
      <c r="X5" s="6" t="n"/>
      <c r="Y5" s="6" t="n"/>
      <c r="Z5" s="6" t="n"/>
    </row>
    <row r="6" ht="31.5" customHeight="1">
      <c r="A6" s="154" t="inlineStr">
        <is>
          <t>규격</t>
        </is>
      </c>
      <c r="B6" s="154" t="inlineStr">
        <is>
          <t>사이트별 이미지·모듈·텍스트 규격을 담은 내부 기준 데이터. 국가와 독립이며 셀러에게 직접 노출되지 않는다. DB 테이블명은 channel_spec</t>
        </is>
      </c>
      <c r="C6" s="155" t="n"/>
      <c r="D6" s="6" t="n"/>
      <c r="E6" s="6" t="n"/>
      <c r="F6" s="6" t="n"/>
      <c r="G6" s="6" t="n"/>
      <c r="H6" s="6" t="n"/>
      <c r="I6" s="6" t="n"/>
      <c r="J6" s="6" t="n"/>
      <c r="K6" s="6" t="n"/>
      <c r="L6" s="6" t="n"/>
      <c r="M6" s="6" t="n"/>
      <c r="N6" s="6" t="n"/>
      <c r="O6" s="6" t="n"/>
      <c r="P6" s="6" t="n"/>
      <c r="Q6" s="6" t="n"/>
      <c r="R6" s="6" t="n"/>
      <c r="S6" s="6" t="n"/>
      <c r="T6" s="6" t="n"/>
      <c r="U6" s="6" t="n"/>
      <c r="V6" s="6" t="n"/>
      <c r="W6" s="6" t="n"/>
      <c r="X6" s="6" t="n"/>
      <c r="Y6" s="6" t="n"/>
      <c r="Z6" s="6" t="n"/>
    </row>
    <row r="7" ht="31.5" customHeight="1">
      <c r="A7" s="154" t="inlineStr">
        <is>
          <t>타겟 국가</t>
        </is>
      </c>
      <c r="B7" s="154" t="inlineStr">
        <is>
          <t>판매 대상 국가. 규제 분류와 함께 규제 사전을 결정한다. N1에서 선택하며 섹션 분해·인페인팅에 영향을 주지 않는다(F-VER-03). 셀렉터에는 규제 사전이 구축된 국가만 노출된다. MVP 미국, 12월 일본·UAE</t>
        </is>
      </c>
      <c r="C7" s="183" t="inlineStr">
        <is>
          <t>v2.5 수정</t>
        </is>
      </c>
      <c r="D7" s="6" t="n"/>
      <c r="E7" s="6" t="n"/>
      <c r="F7" s="6" t="n"/>
      <c r="G7" s="6" t="n"/>
      <c r="H7" s="6" t="n"/>
      <c r="I7" s="6" t="n"/>
      <c r="J7" s="6" t="n"/>
      <c r="K7" s="6" t="n"/>
      <c r="L7" s="6" t="n"/>
      <c r="M7" s="6" t="n"/>
      <c r="N7" s="6" t="n"/>
      <c r="O7" s="6" t="n"/>
      <c r="P7" s="6" t="n"/>
      <c r="Q7" s="6" t="n"/>
      <c r="R7" s="6" t="n"/>
      <c r="S7" s="6" t="n"/>
      <c r="T7" s="6" t="n"/>
      <c r="U7" s="6" t="n"/>
      <c r="V7" s="6" t="n"/>
      <c r="W7" s="6" t="n"/>
      <c r="X7" s="6" t="n"/>
      <c r="Y7" s="6" t="n"/>
      <c r="Z7" s="6" t="n"/>
    </row>
    <row r="8" ht="31.5" customHeight="1">
      <c r="A8" s="154" t="inlineStr">
        <is>
          <t>도착어</t>
        </is>
      </c>
      <c r="B8" s="154" t="inlineStr">
        <is>
          <t>번역 대상 언어. 용어집을 결정한다. 출발어는 한국어로 고정되므로 선택 대상은 도착어뿐이다. MVP 영어, 12월 일본어. 국가와 독립이며 자유 조합을 허용한다</t>
        </is>
      </c>
      <c r="C8" s="154" t="inlineStr">
        <is>
          <t>수정</t>
        </is>
      </c>
      <c r="D8" s="6" t="n"/>
      <c r="E8" s="6" t="n"/>
      <c r="F8" s="6" t="n"/>
      <c r="G8" s="6" t="n"/>
      <c r="H8" s="6" t="n"/>
      <c r="I8" s="6" t="n"/>
      <c r="J8" s="6" t="n"/>
      <c r="K8" s="6" t="n"/>
      <c r="L8" s="6" t="n"/>
      <c r="M8" s="6" t="n"/>
      <c r="N8" s="6" t="n"/>
      <c r="O8" s="6" t="n"/>
      <c r="P8" s="6" t="n"/>
      <c r="Q8" s="6" t="n"/>
      <c r="R8" s="6" t="n"/>
      <c r="S8" s="6" t="n"/>
      <c r="T8" s="6" t="n"/>
      <c r="U8" s="6" t="n"/>
      <c r="V8" s="6" t="n"/>
      <c r="W8" s="6" t="n"/>
      <c r="X8" s="6" t="n"/>
      <c r="Y8" s="6" t="n"/>
      <c r="Z8" s="6" t="n"/>
    </row>
    <row r="9" ht="31.5" customHeight="1">
      <c r="A9" s="154" t="inlineStr">
        <is>
          <t>표시 카테고리</t>
        </is>
      </c>
      <c r="B9" s="154" t="inlineStr">
        <is>
          <t>★사용자가 N1에서 선택하는 상품 카테고리. Amazon 트리에 준하는 상세 수준이며 규격·국가와 독립인 전 채널 공통 마스터로 관리한다(F-SRC-04a)</t>
        </is>
      </c>
      <c r="C9" s="154" t="inlineStr">
        <is>
          <t>신설</t>
        </is>
      </c>
      <c r="D9" s="6" t="n"/>
      <c r="E9" s="6" t="n"/>
      <c r="F9" s="6" t="n"/>
      <c r="G9" s="6" t="n"/>
      <c r="H9" s="6" t="n"/>
      <c r="I9" s="6" t="n"/>
      <c r="J9" s="6" t="n"/>
      <c r="K9" s="6" t="n"/>
      <c r="L9" s="6" t="n"/>
      <c r="M9" s="6" t="n"/>
      <c r="N9" s="6" t="n"/>
      <c r="O9" s="6" t="n"/>
      <c r="P9" s="6" t="n"/>
      <c r="Q9" s="6" t="n"/>
      <c r="R9" s="6" t="n"/>
      <c r="S9" s="6" t="n"/>
      <c r="T9" s="6" t="n"/>
      <c r="U9" s="6" t="n"/>
      <c r="V9" s="6" t="n"/>
      <c r="W9" s="6" t="n"/>
      <c r="X9" s="6" t="n"/>
      <c r="Y9" s="6" t="n"/>
      <c r="Z9" s="6" t="n"/>
    </row>
    <row r="10" ht="31.5" customHeight="1">
      <c r="A10" s="149" t="inlineStr">
        <is>
          <t>내부 카테고리</t>
        </is>
      </c>
      <c r="B10" s="149" t="inlineStr">
        <is>
          <t>★용어집을 분기하는 축. Amazon Skin Care 하위 7종(Body · Eyes · Face · Lip Care · Maternity · Sets, Kits · Sunscreens &amp; Tanning Products)으로 축약하며 표시 카테고리에서 매핑으로 환산한다(F-SRC-04b). 규제 사전은 이 축을 사용하지 않는다.</t>
        </is>
      </c>
      <c r="C10" s="149" t="inlineStr">
        <is>
          <t>수정</t>
        </is>
      </c>
      <c r="D10" s="6" t="n"/>
      <c r="E10" s="6" t="n"/>
      <c r="F10" s="6" t="n"/>
      <c r="G10" s="6" t="n"/>
      <c r="H10" s="6" t="n"/>
      <c r="I10" s="6" t="n"/>
      <c r="J10" s="6" t="n"/>
      <c r="K10" s="6" t="n"/>
      <c r="L10" s="6" t="n"/>
      <c r="M10" s="6" t="n"/>
      <c r="N10" s="6" t="n"/>
      <c r="O10" s="6" t="n"/>
      <c r="P10" s="6" t="n"/>
      <c r="Q10" s="6" t="n"/>
      <c r="R10" s="6" t="n"/>
      <c r="S10" s="6" t="n"/>
      <c r="T10" s="6" t="n"/>
      <c r="U10" s="6" t="n"/>
      <c r="V10" s="6" t="n"/>
      <c r="W10" s="6" t="n"/>
      <c r="X10" s="6" t="n"/>
      <c r="Y10" s="6" t="n"/>
      <c r="Z10" s="6" t="n"/>
    </row>
    <row r="11" ht="31.5" customHeight="1">
      <c r="A11" s="154" t="inlineStr">
        <is>
          <t>공용 용어집</t>
        </is>
      </c>
      <c r="B11" s="154" t="inlineStr">
        <is>
          <t>★어느 내부 카테고리에도 강하게 귀속되지 않는 표현의 모음. 해당 카테고리 용어집이 미구축이거나 매핑되지 않은 경우의 폴백</t>
        </is>
      </c>
      <c r="C11" s="154" t="inlineStr">
        <is>
          <t>신설</t>
        </is>
      </c>
      <c r="D11" s="6" t="n"/>
      <c r="E11" s="6" t="n"/>
      <c r="F11" s="6" t="n"/>
      <c r="G11" s="6" t="n"/>
      <c r="H11" s="6" t="n"/>
      <c r="I11" s="6" t="n"/>
      <c r="J11" s="6" t="n"/>
      <c r="K11" s="6" t="n"/>
      <c r="L11" s="6" t="n"/>
      <c r="M11" s="6" t="n"/>
      <c r="N11" s="6" t="n"/>
      <c r="O11" s="6" t="n"/>
      <c r="P11" s="6" t="n"/>
      <c r="Q11" s="6" t="n"/>
      <c r="R11" s="6" t="n"/>
      <c r="S11" s="6" t="n"/>
      <c r="T11" s="6" t="n"/>
      <c r="U11" s="6" t="n"/>
      <c r="V11" s="6" t="n"/>
      <c r="W11" s="6" t="n"/>
      <c r="X11" s="6" t="n"/>
      <c r="Y11" s="6" t="n"/>
      <c r="Z11" s="6" t="n"/>
    </row>
    <row r="12" ht="31.5" customHeight="1">
      <c r="A12" s="154" t="inlineStr">
        <is>
          <t>로컬라이징 사전</t>
        </is>
      </c>
      <c r="B12" s="154" t="inlineStr">
        <is>
          <t>타겟 국가와 규제 분류에 따라 선택되는 규제 사전과 표현 기준의 묶음. 같은 언어라도 국가가 다르면, 같은 국가라도 규제 분류가 다르면 다른 사전이 적용된다. 카테고리로 분기하지 않는다.</t>
        </is>
      </c>
      <c r="C12" s="183" t="inlineStr">
        <is>
          <t>v2.5 수정</t>
        </is>
      </c>
      <c r="D12" s="6" t="n"/>
      <c r="E12" s="6" t="n"/>
      <c r="F12" s="6" t="n"/>
      <c r="G12" s="6" t="n"/>
      <c r="H12" s="6" t="n"/>
      <c r="I12" s="6" t="n"/>
      <c r="J12" s="6" t="n"/>
      <c r="K12" s="6" t="n"/>
      <c r="L12" s="6" t="n"/>
      <c r="M12" s="6" t="n"/>
      <c r="N12" s="6" t="n"/>
      <c r="O12" s="6" t="n"/>
      <c r="P12" s="6" t="n"/>
      <c r="Q12" s="6" t="n"/>
      <c r="R12" s="6" t="n"/>
      <c r="S12" s="6" t="n"/>
      <c r="T12" s="6" t="n"/>
      <c r="U12" s="6" t="n"/>
      <c r="V12" s="6" t="n"/>
      <c r="W12" s="6" t="n"/>
      <c r="X12" s="6" t="n"/>
      <c r="Y12" s="6" t="n"/>
      <c r="Z12" s="6" t="n"/>
    </row>
    <row r="13" ht="17.25" customHeight="1">
      <c r="A13" s="154" t="inlineStr">
        <is>
          <t>프로세스 바</t>
        </is>
      </c>
      <c r="B13" s="154" t="inlineStr">
        <is>
          <t>전 화면 상단의 작업 단계 표시기. 현재 위치 확인과 이전 단계 이동에 사용</t>
        </is>
      </c>
      <c r="C13" s="155" t="n"/>
      <c r="D13" s="6" t="n"/>
      <c r="E13" s="6" t="n"/>
      <c r="F13" s="6" t="n"/>
      <c r="G13" s="6" t="n"/>
      <c r="H13" s="6" t="n"/>
      <c r="I13" s="6" t="n"/>
      <c r="J13" s="6" t="n"/>
      <c r="K13" s="6" t="n"/>
      <c r="L13" s="6" t="n"/>
      <c r="M13" s="6" t="n"/>
      <c r="N13" s="6" t="n"/>
      <c r="O13" s="6" t="n"/>
      <c r="P13" s="6" t="n"/>
      <c r="Q13" s="6" t="n"/>
      <c r="R13" s="6" t="n"/>
      <c r="S13" s="6" t="n"/>
      <c r="T13" s="6" t="n"/>
      <c r="U13" s="6" t="n"/>
      <c r="V13" s="6" t="n"/>
      <c r="W13" s="6" t="n"/>
      <c r="X13" s="6" t="n"/>
      <c r="Y13" s="6" t="n"/>
      <c r="Z13" s="6" t="n"/>
    </row>
    <row r="14" ht="31.5" customHeight="1">
      <c r="A14" s="154" t="inlineStr">
        <is>
          <t>되돌림</t>
        </is>
      </c>
      <c r="B14" s="154" t="inlineStr">
        <is>
          <t>이전 작업 단계로 이동하는 동작. 진행 상태만 되돌아가며 이후 산출물을 일괄 삭제하지 않는다. 섹션 단위 산출물은 보존되고 조건(국가·규제분류·규격) 종속 산출물만 무효화되며, 실행취소 스택은 초기화된다</t>
        </is>
      </c>
      <c r="C14" s="154" t="inlineStr">
        <is>
          <t>수정</t>
        </is>
      </c>
      <c r="D14" s="6" t="n"/>
      <c r="E14" s="6" t="n"/>
      <c r="F14" s="6" t="n"/>
      <c r="G14" s="6" t="n"/>
      <c r="H14" s="6" t="n"/>
      <c r="I14" s="6" t="n"/>
      <c r="J14" s="6" t="n"/>
      <c r="K14" s="6" t="n"/>
      <c r="L14" s="6" t="n"/>
      <c r="M14" s="6" t="n"/>
      <c r="N14" s="6" t="n"/>
      <c r="O14" s="6" t="n"/>
      <c r="P14" s="6" t="n"/>
      <c r="Q14" s="6" t="n"/>
      <c r="R14" s="6" t="n"/>
      <c r="S14" s="6" t="n"/>
      <c r="T14" s="6" t="n"/>
      <c r="U14" s="6" t="n"/>
      <c r="V14" s="6" t="n"/>
      <c r="W14" s="6" t="n"/>
      <c r="X14" s="6" t="n"/>
      <c r="Y14" s="6" t="n"/>
      <c r="Z14" s="6" t="n"/>
    </row>
    <row r="15" ht="17.25" customHeight="1">
      <c r="A15" s="154" t="inlineStr">
        <is>
          <t>저장 후 수정</t>
        </is>
      </c>
      <c r="B15" s="154" t="inlineStr">
        <is>
          <t>완료된 결과물을 보관함에서 다시 열어 마지막 작업 단계로 복귀해 수정하는 흐름</t>
        </is>
      </c>
      <c r="C15" s="155" t="n"/>
      <c r="D15" s="6" t="n"/>
      <c r="E15" s="6" t="n"/>
      <c r="F15" s="6" t="n"/>
      <c r="G15" s="6" t="n"/>
      <c r="H15" s="6" t="n"/>
      <c r="I15" s="6" t="n"/>
      <c r="J15" s="6" t="n"/>
      <c r="K15" s="6" t="n"/>
      <c r="L15" s="6" t="n"/>
      <c r="M15" s="6" t="n"/>
      <c r="N15" s="6" t="n"/>
      <c r="O15" s="6" t="n"/>
      <c r="P15" s="6" t="n"/>
      <c r="Q15" s="6" t="n"/>
      <c r="R15" s="6" t="n"/>
      <c r="S15" s="6" t="n"/>
      <c r="T15" s="6" t="n"/>
      <c r="U15" s="6" t="n"/>
      <c r="V15" s="6" t="n"/>
      <c r="W15" s="6" t="n"/>
      <c r="X15" s="6" t="n"/>
      <c r="Y15" s="6" t="n"/>
      <c r="Z15" s="6" t="n"/>
    </row>
    <row r="16" ht="17.25" customHeight="1">
      <c r="A16" s="289" t="inlineStr">
        <is>
          <t>크롭</t>
        </is>
      </c>
      <c r="B16" s="289" t="inlineStr">
        <is>
          <t>원본 상세페이지에서 새 결과물에 넣을 영역을 잘라내는 작업</t>
        </is>
      </c>
      <c r="C16" s="288" t="inlineStr">
        <is>
          <t>v3.0 삭제</t>
        </is>
      </c>
      <c r="D16" s="6" t="n"/>
      <c r="E16" s="6" t="n"/>
      <c r="F16" s="6" t="n"/>
      <c r="G16" s="6" t="n"/>
      <c r="H16" s="6" t="n"/>
      <c r="I16" s="6" t="n"/>
      <c r="J16" s="6" t="n"/>
      <c r="K16" s="6" t="n"/>
      <c r="L16" s="6" t="n"/>
      <c r="M16" s="6" t="n"/>
      <c r="N16" s="6" t="n"/>
      <c r="O16" s="6" t="n"/>
      <c r="P16" s="6" t="n"/>
      <c r="Q16" s="6" t="n"/>
      <c r="R16" s="6" t="n"/>
      <c r="S16" s="6" t="n"/>
      <c r="T16" s="6" t="n"/>
      <c r="U16" s="6" t="n"/>
      <c r="V16" s="6" t="n"/>
      <c r="W16" s="6" t="n"/>
      <c r="X16" s="6" t="n"/>
      <c r="Y16" s="6" t="n"/>
      <c r="Z16" s="6" t="n"/>
    </row>
    <row r="17" ht="17.25" customHeight="1">
      <c r="A17" s="289" t="inlineStr">
        <is>
          <t>조각</t>
        </is>
      </c>
      <c r="B17" s="289" t="inlineStr">
        <is>
          <t>크롭으로 만들어진 개별 이미지 단위. 원본의 요소 단위이며 모듈 크기와 무관하다. 여러 모듈에 재사용할 수 있다</t>
        </is>
      </c>
      <c r="C17" s="288" t="inlineStr">
        <is>
          <t>v3.0 삭제</t>
        </is>
      </c>
      <c r="D17" s="6" t="n"/>
      <c r="E17" s="6" t="n"/>
      <c r="F17" s="6" t="n"/>
      <c r="G17" s="6" t="n"/>
      <c r="H17" s="6" t="n"/>
      <c r="I17" s="6" t="n"/>
      <c r="J17" s="6" t="n"/>
      <c r="K17" s="6" t="n"/>
      <c r="L17" s="6" t="n"/>
      <c r="M17" s="6" t="n"/>
      <c r="N17" s="6" t="n"/>
      <c r="O17" s="6" t="n"/>
      <c r="P17" s="6" t="n"/>
      <c r="Q17" s="6" t="n"/>
      <c r="R17" s="6" t="n"/>
      <c r="S17" s="6" t="n"/>
      <c r="T17" s="6" t="n"/>
      <c r="U17" s="6" t="n"/>
      <c r="V17" s="6" t="n"/>
      <c r="W17" s="6" t="n"/>
      <c r="X17" s="6" t="n"/>
      <c r="Y17" s="6" t="n"/>
      <c r="Z17" s="6" t="n"/>
    </row>
    <row r="18" ht="17.25" customHeight="1">
      <c r="A18" s="297" t="inlineStr">
        <is>
          <t>모듈</t>
        </is>
      </c>
      <c r="B18" s="297" t="inlineStr">
        <is>
          <t>★12월 규격 변경 경로에서 채널이 정한 레이아웃 블록(아마존 A+ 7종 등). 각 모듈은 이미지 슬롯과 텍스트 필드를 품는다(F-CH-07 module_spec). 구 S3 배치 캔버스의 모듈(배치 슬롯)은 v3.0에서 폐기됐으며 같은 단어의 다른 개념이다.</t>
        </is>
      </c>
      <c r="C18" s="298" t="inlineStr">
        <is>
          <t>v3.0 수정 — 12월 범위 정의로 재정의(구 배치 슬롯 개념만 폐기)</t>
        </is>
      </c>
      <c r="D18" s="6" t="n"/>
      <c r="E18" s="6" t="n"/>
      <c r="F18" s="6" t="n"/>
      <c r="G18" s="6" t="n"/>
      <c r="H18" s="6" t="n"/>
      <c r="I18" s="6" t="n"/>
      <c r="J18" s="6" t="n"/>
      <c r="K18" s="6" t="n"/>
      <c r="L18" s="6" t="n"/>
      <c r="M18" s="6" t="n"/>
      <c r="N18" s="6" t="n"/>
      <c r="O18" s="6" t="n"/>
      <c r="P18" s="6" t="n"/>
      <c r="Q18" s="6" t="n"/>
      <c r="R18" s="6" t="n"/>
      <c r="S18" s="6" t="n"/>
      <c r="T18" s="6" t="n"/>
      <c r="U18" s="6" t="n"/>
      <c r="V18" s="6" t="n"/>
      <c r="W18" s="6" t="n"/>
      <c r="X18" s="6" t="n"/>
      <c r="Y18" s="6" t="n"/>
      <c r="Z18" s="6" t="n"/>
    </row>
    <row r="19" ht="31.5" customHeight="1">
      <c r="A19" s="289" t="inlineStr">
        <is>
          <t>결과물 유형 탭</t>
        </is>
      </c>
      <c r="B19" s="289" t="inlineStr">
        <is>
          <t>★썸네일과 상세페이지를 구분하는 화면 축(S3·S5·S7). 텍스트 블록은 소속 모듈을 통해 탭에 귀속되며, 번역 순서의 최상위 기준이자 단계 진행의 완료 판정 단위다</t>
        </is>
      </c>
      <c r="C19" s="289" t="inlineStr">
        <is>
          <t>신설 · v3.0 삭제</t>
        </is>
      </c>
      <c r="D19" s="6" t="n"/>
      <c r="E19" s="6" t="n"/>
      <c r="F19" s="6" t="n"/>
      <c r="G19" s="6" t="n"/>
      <c r="H19" s="6" t="n"/>
      <c r="I19" s="6" t="n"/>
      <c r="J19" s="6" t="n"/>
      <c r="K19" s="6" t="n"/>
      <c r="L19" s="6" t="n"/>
      <c r="M19" s="6" t="n"/>
      <c r="N19" s="6" t="n"/>
      <c r="O19" s="6" t="n"/>
      <c r="P19" s="6" t="n"/>
      <c r="Q19" s="6" t="n"/>
      <c r="R19" s="6" t="n"/>
      <c r="S19" s="6" t="n"/>
      <c r="T19" s="6" t="n"/>
      <c r="U19" s="6" t="n"/>
      <c r="V19" s="6" t="n"/>
      <c r="W19" s="6" t="n"/>
      <c r="X19" s="6" t="n"/>
      <c r="Y19" s="6" t="n"/>
      <c r="Z19" s="6" t="n"/>
    </row>
    <row r="20" ht="45" customHeight="1">
      <c r="A20" s="292" t="inlineStr">
        <is>
          <t>배치</t>
        </is>
      </c>
      <c r="B20" s="292" t="inlineStr">
        <is>
          <t>크롭 조각을 모듈에 놓는 작업이자 그 기록. 한 모듈에 여러 조각을 놓을 수 있고 위치와 크기를 조절한다. 같은 조각을 여러 모듈에 놓으면 배치 기록이 그만큼 생기며, 텍스트 블록의 출처가 된다</t>
        </is>
      </c>
      <c r="C20" s="291" t="inlineStr">
        <is>
          <t>v2.0 수정 · v3.0 삭제</t>
        </is>
      </c>
      <c r="D20" s="6" t="n"/>
      <c r="E20" s="6" t="n"/>
      <c r="F20" s="6" t="n"/>
      <c r="G20" s="6" t="n"/>
      <c r="H20" s="6" t="n"/>
      <c r="I20" s="6" t="n"/>
      <c r="J20" s="6" t="n"/>
      <c r="K20" s="6" t="n"/>
      <c r="L20" s="6" t="n"/>
      <c r="M20" s="6" t="n"/>
      <c r="N20" s="6" t="n"/>
      <c r="O20" s="6" t="n"/>
      <c r="P20" s="6" t="n"/>
      <c r="Q20" s="6" t="n"/>
      <c r="R20" s="6" t="n"/>
      <c r="S20" s="6" t="n"/>
      <c r="T20" s="6" t="n"/>
      <c r="U20" s="6" t="n"/>
      <c r="V20" s="6" t="n"/>
      <c r="W20" s="6" t="n"/>
      <c r="X20" s="6" t="n"/>
      <c r="Y20" s="6" t="n"/>
      <c r="Z20" s="6" t="n"/>
    </row>
    <row r="21" ht="17.25" customHeight="1">
      <c r="A21" s="297" t="inlineStr">
        <is>
          <t>대표이미지</t>
        </is>
      </c>
      <c r="B21" s="297" t="inlineStr">
        <is>
          <t>썸네일 중 검색 결과에 노출되는 첫 이미지. 규격상 텍스트·로고·워터마크가 금지되어 번역 대상이 아니다</t>
        </is>
      </c>
      <c r="C21" s="298" t="inlineStr">
        <is>
          <t>v3.0 삭제 · v3.2 부활</t>
        </is>
      </c>
      <c r="D21" s="6" t="n"/>
      <c r="E21" s="6" t="n"/>
      <c r="F21" s="6" t="n"/>
      <c r="G21" s="6" t="n"/>
      <c r="H21" s="6" t="n"/>
      <c r="I21" s="6" t="n"/>
      <c r="J21" s="6" t="n"/>
      <c r="K21" s="6" t="n"/>
      <c r="L21" s="6" t="n"/>
      <c r="M21" s="6" t="n"/>
      <c r="N21" s="6" t="n"/>
      <c r="O21" s="6" t="n"/>
      <c r="P21" s="6" t="n"/>
      <c r="Q21" s="6" t="n"/>
      <c r="R21" s="6" t="n"/>
      <c r="S21" s="6" t="n"/>
      <c r="T21" s="6" t="n"/>
      <c r="U21" s="6" t="n"/>
      <c r="V21" s="6" t="n"/>
      <c r="W21" s="6" t="n"/>
      <c r="X21" s="6" t="n"/>
      <c r="Y21" s="6" t="n"/>
      <c r="Z21" s="6" t="n"/>
    </row>
    <row r="22" ht="31.5" customHeight="1">
      <c r="A22" s="288" t="inlineStr">
        <is>
          <t>AI 초안</t>
        </is>
      </c>
      <c r="B22" s="288" t="inlineStr">
        <is>
          <t>AI가 생성한 전체 레이아웃 제안. 사용자 기존 배치를 참조하지 않으며 수락·수정·폐기 가능. 12월 범위</t>
        </is>
      </c>
      <c r="C22" s="289" t="inlineStr">
        <is>
          <t>수정 · v3.0 삭제</t>
        </is>
      </c>
      <c r="D22" s="6" t="n"/>
      <c r="E22" s="6" t="n"/>
      <c r="F22" s="6" t="n"/>
      <c r="G22" s="6" t="n"/>
      <c r="H22" s="6" t="n"/>
      <c r="I22" s="6" t="n"/>
      <c r="J22" s="6" t="n"/>
      <c r="K22" s="6" t="n"/>
      <c r="L22" s="6" t="n"/>
      <c r="M22" s="6" t="n"/>
      <c r="N22" s="6" t="n"/>
      <c r="O22" s="6" t="n"/>
      <c r="P22" s="6" t="n"/>
      <c r="Q22" s="6" t="n"/>
      <c r="R22" s="6" t="n"/>
      <c r="S22" s="6" t="n"/>
      <c r="T22" s="6" t="n"/>
      <c r="U22" s="6" t="n"/>
      <c r="V22" s="6" t="n"/>
      <c r="W22" s="6" t="n"/>
      <c r="X22" s="6" t="n"/>
      <c r="Y22" s="6" t="n"/>
      <c r="Z22" s="6" t="n"/>
    </row>
    <row r="23" ht="17.25" customHeight="1">
      <c r="A23" s="149" t="inlineStr">
        <is>
          <t>보관함</t>
        </is>
      </c>
      <c r="B23" s="149" t="inlineStr">
        <is>
          <t>완료·미완료 결과물을 카드로 관리하는 목록(M1)</t>
        </is>
      </c>
      <c r="C23" s="148" t="inlineStr">
        <is>
          <t>v2.1 수정</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c r="Y23" s="6" t="n"/>
      <c r="Z23" s="6" t="n"/>
    </row>
    <row r="24" ht="17.25" customHeight="1">
      <c r="A24" s="154" t="inlineStr">
        <is>
          <t>인페인팅</t>
        </is>
      </c>
      <c r="B24" s="154" t="inlineStr">
        <is>
          <t>이미지에서 원본 텍스트를 제거하고 배경을 복원하는 처리. 섹션 단위로 수행·캐시되며 조건 변경에 영향받지 않는다</t>
        </is>
      </c>
      <c r="C24" s="155" t="n"/>
      <c r="D24" s="6" t="n"/>
      <c r="E24" s="6" t="n"/>
      <c r="F24" s="6" t="n"/>
      <c r="G24" s="6" t="n"/>
      <c r="H24" s="6" t="n"/>
      <c r="I24" s="6" t="n"/>
      <c r="J24" s="6" t="n"/>
      <c r="K24" s="6" t="n"/>
      <c r="L24" s="6" t="n"/>
      <c r="M24" s="6" t="n"/>
      <c r="N24" s="6" t="n"/>
      <c r="O24" s="6" t="n"/>
      <c r="P24" s="6" t="n"/>
      <c r="Q24" s="6" t="n"/>
      <c r="R24" s="6" t="n"/>
      <c r="S24" s="6" t="n"/>
      <c r="T24" s="6" t="n"/>
      <c r="U24" s="6" t="n"/>
      <c r="V24" s="6" t="n"/>
      <c r="W24" s="6" t="n"/>
      <c r="X24" s="6" t="n"/>
      <c r="Y24" s="6" t="n"/>
      <c r="Z24" s="6" t="n"/>
    </row>
    <row r="25" ht="17.25" customHeight="1">
      <c r="A25" s="289" t="inlineStr">
        <is>
          <t>아웃페인팅</t>
        </is>
      </c>
      <c r="B25" s="289" t="inlineStr">
        <is>
          <t>크롭 조각의 배경을 조각 바깥으로 이어 그리는 처리. 배치에 종속되어 배치 변경 시 재생성된다. 12월 범위</t>
        </is>
      </c>
      <c r="C25" s="288" t="inlineStr">
        <is>
          <t>v3.0 삭제</t>
        </is>
      </c>
      <c r="D25" s="6" t="n"/>
      <c r="E25" s="6" t="n"/>
      <c r="F25" s="6" t="n"/>
      <c r="G25" s="6" t="n"/>
      <c r="H25" s="6" t="n"/>
      <c r="I25" s="6" t="n"/>
      <c r="J25" s="6" t="n"/>
      <c r="K25" s="6" t="n"/>
      <c r="L25" s="6" t="n"/>
      <c r="M25" s="6" t="n"/>
      <c r="N25" s="6" t="n"/>
      <c r="O25" s="6" t="n"/>
      <c r="P25" s="6" t="n"/>
      <c r="Q25" s="6" t="n"/>
      <c r="R25" s="6" t="n"/>
      <c r="S25" s="6" t="n"/>
      <c r="T25" s="6" t="n"/>
      <c r="U25" s="6" t="n"/>
      <c r="V25" s="6" t="n"/>
      <c r="W25" s="6" t="n"/>
      <c r="X25" s="6" t="n"/>
      <c r="Y25" s="6" t="n"/>
      <c r="Z25" s="6" t="n"/>
    </row>
    <row r="26" ht="17.25" customHeight="1">
      <c r="A26" s="154" t="inlineStr">
        <is>
          <t>배경 가공</t>
        </is>
      </c>
      <c r="B26" s="154" t="inlineStr">
        <is>
          <t>섹션이 덮지 않은 여백을 채워 하나의 이미지로 보이게 하는 처리. MVP 기본값은 흰 배경</t>
        </is>
      </c>
      <c r="C26" s="155" t="n"/>
      <c r="D26" s="6" t="n"/>
      <c r="E26" s="6" t="n"/>
      <c r="F26" s="6" t="n"/>
      <c r="G26" s="6" t="n"/>
      <c r="H26" s="6" t="n"/>
      <c r="I26" s="6" t="n"/>
      <c r="J26" s="6" t="n"/>
      <c r="K26" s="6" t="n"/>
      <c r="L26" s="6" t="n"/>
      <c r="M26" s="6" t="n"/>
      <c r="N26" s="6" t="n"/>
      <c r="O26" s="6" t="n"/>
      <c r="P26" s="6" t="n"/>
      <c r="Q26" s="6" t="n"/>
      <c r="R26" s="6" t="n"/>
      <c r="S26" s="6" t="n"/>
      <c r="T26" s="6" t="n"/>
      <c r="U26" s="6" t="n"/>
      <c r="V26" s="6" t="n"/>
      <c r="W26" s="6" t="n"/>
      <c r="X26" s="6" t="n"/>
      <c r="Y26" s="6" t="n"/>
      <c r="Z26" s="6" t="n"/>
    </row>
    <row r="27" ht="31.5" customHeight="1">
      <c r="A27" s="148" t="inlineStr">
        <is>
          <t>HTML 텍스트 레이어</t>
        </is>
      </c>
      <c r="B27" s="149" t="inlineStr">
        <is>
          <t>인페인팅된 배경 이미지 위에 절대 좌표로 얹히는 텍스트 요소들. 배경과 독립적으로 얹히며, 좌표계는 9월 제자리 번역이 원본 좌표(+수평 절단·스택 오프셋), 12월 규격 변경이 템플릿 슬롯 기준이다(F-INP-03). 최종 렌더링은 HTML/Playwright로 확정되었다.</t>
        </is>
      </c>
      <c r="C27" s="149" t="inlineStr">
        <is>
          <t>수정</t>
        </is>
      </c>
      <c r="D27" s="6" t="n"/>
      <c r="E27" s="6" t="n"/>
      <c r="F27" s="6" t="n"/>
      <c r="G27" s="6" t="n"/>
      <c r="H27" s="6" t="n"/>
      <c r="I27" s="6" t="n"/>
      <c r="J27" s="6" t="n"/>
      <c r="K27" s="6" t="n"/>
      <c r="L27" s="6" t="n"/>
      <c r="M27" s="6" t="n"/>
      <c r="N27" s="6" t="n"/>
      <c r="O27" s="6" t="n"/>
      <c r="P27" s="6" t="n"/>
      <c r="Q27" s="6" t="n"/>
      <c r="R27" s="6" t="n"/>
      <c r="S27" s="6" t="n"/>
      <c r="T27" s="6" t="n"/>
      <c r="U27" s="6" t="n"/>
      <c r="V27" s="6" t="n"/>
      <c r="W27" s="6" t="n"/>
      <c r="X27" s="6" t="n"/>
      <c r="Y27" s="6" t="n"/>
      <c r="Z27" s="6" t="n"/>
    </row>
    <row r="28" ht="31.5" customHeight="1">
      <c r="A28" s="289" t="inlineStr">
        <is>
          <t>초기 배치</t>
        </is>
      </c>
      <c r="B28" s="289" t="inlineStr">
        <is>
          <t>추출된 텍스트를 조각의 배치 위치와 배율에 따라 모듈 좌표로 변환해 원본과 같은 모습으로 표시하는 것. 산술 변환이며 AI 판단이 아니다</t>
        </is>
      </c>
      <c r="C28" s="288" t="inlineStr">
        <is>
          <t>v3.0 삭제</t>
        </is>
      </c>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row>
    <row r="29" ht="17.25" customHeight="1">
      <c r="A29" s="154" t="inlineStr">
        <is>
          <t>블록 상태</t>
        </is>
      </c>
      <c r="B29" s="154" t="inlineStr">
        <is>
          <t>텍스트 블록의 번역 상태. 기계번역 / 사용자수정. 사용자수정 블록은 재번역 대상에서 제외된다</t>
        </is>
      </c>
      <c r="C29" s="155"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row>
    <row r="30" ht="17.25" customHeight="1">
      <c r="A30" s="154" t="inlineStr">
        <is>
          <t>증분 번역</t>
        </is>
      </c>
      <c r="B30" s="154" t="inlineStr">
        <is>
          <t>[12월] 섹션 되살리기로 번역 대상 블록이 늘어날 때 늘어난 블록만 번역하는 방식(F-TRN-02d). 텍스트 추가 축은 v3.0에서 삭제됐다. 전체 재번역을 하지 않으며 일관성은 용어집·기번역 컨텍스트로 확보한다</t>
        </is>
      </c>
      <c r="C30" s="155"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row>
    <row r="31" ht="17.25" customHeight="1">
      <c r="A31" s="288" t="inlineStr">
        <is>
          <t>1차 피드백</t>
        </is>
      </c>
      <c r="B31" s="289" t="inlineStr">
        <is>
          <t>번역 전 원문 텍스트를 수정해 번역 대상을 정하는 단계(S5). 타겟 국가·언어 선택도 이 단계에서 이루어진다</t>
        </is>
      </c>
      <c r="C31" s="288" t="inlineStr">
        <is>
          <t>v3.0 삭제</t>
        </is>
      </c>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row>
    <row r="32" ht="45" customHeight="1">
      <c r="A32" s="155" t="inlineStr">
        <is>
          <t>2차 피드백</t>
        </is>
      </c>
      <c r="B32" s="154" t="inlineStr">
        <is>
          <t>검수(N5). 번역 후 검수 표에서 번역문을 수정하는 단계. 셀 수정 시 재렌더 + 금지표현 사전 재실행.</t>
        </is>
      </c>
      <c r="C32" s="155" t="inlineStr">
        <is>
          <t>v3.0 수정 — 검수로 재정의</t>
        </is>
      </c>
      <c r="D32" s="6" t="n"/>
      <c r="E32" s="6" t="n"/>
      <c r="F32" s="6" t="n"/>
      <c r="G32" s="6" t="n"/>
      <c r="H32" s="6" t="n"/>
      <c r="I32" s="6" t="n"/>
      <c r="J32" s="6" t="n"/>
      <c r="K32" s="6" t="n"/>
      <c r="L32" s="6" t="n"/>
      <c r="M32" s="6" t="n"/>
      <c r="N32" s="6" t="n"/>
      <c r="O32" s="6" t="n"/>
      <c r="P32" s="6" t="n"/>
      <c r="Q32" s="6" t="n"/>
      <c r="R32" s="6" t="n"/>
      <c r="S32" s="6" t="n"/>
      <c r="T32" s="6" t="n"/>
      <c r="U32" s="6" t="n"/>
      <c r="V32" s="6" t="n"/>
      <c r="W32" s="6" t="n"/>
      <c r="X32" s="6" t="n"/>
      <c r="Y32" s="6" t="n"/>
      <c r="Z32" s="6" t="n"/>
    </row>
    <row r="33" ht="17.25" customHeight="1">
      <c r="A33" s="155" t="inlineStr">
        <is>
          <t>RAG</t>
        </is>
      </c>
      <c r="B33" s="154" t="inlineStr">
        <is>
          <t>도메인 용어집을 검색해 프롬프트에 주입하는 방식. 파인튜닝 없이 범용 LLM을 현지화한다</t>
        </is>
      </c>
      <c r="C33" s="155" t="n"/>
      <c r="D33" s="6" t="n"/>
      <c r="E33" s="6" t="n"/>
      <c r="F33" s="6" t="n"/>
      <c r="G33" s="6" t="n"/>
      <c r="H33" s="6" t="n"/>
      <c r="I33" s="6" t="n"/>
      <c r="J33" s="6" t="n"/>
      <c r="K33" s="6" t="n"/>
      <c r="L33" s="6" t="n"/>
      <c r="M33" s="6" t="n"/>
      <c r="N33" s="6" t="n"/>
      <c r="O33" s="6" t="n"/>
      <c r="P33" s="6" t="n"/>
      <c r="Q33" s="6" t="n"/>
      <c r="R33" s="6" t="n"/>
      <c r="S33" s="6" t="n"/>
      <c r="T33" s="6" t="n"/>
      <c r="U33" s="6" t="n"/>
      <c r="V33" s="6" t="n"/>
      <c r="W33" s="6" t="n"/>
      <c r="X33" s="6" t="n"/>
      <c r="Y33" s="6" t="n"/>
      <c r="Z33" s="6" t="n"/>
    </row>
    <row r="34" ht="31.5" customHeight="1">
      <c r="A34" s="149" t="inlineStr">
        <is>
          <t>용어집</t>
        </is>
      </c>
      <c r="B34" s="149" t="inlineStr">
        <is>
          <t>번역 기준이 되는 용어쌍 모음. 출발어는 한국어로 고정되며 도착어와 내부 카테고리 두 축으로 분리 관리된다. 각 항목은 enforcement(강제/참고)로 구분되며, 강제 항목만 적용 여부를 검사하고 참고 항목은 RAG 예시로만 주입된다.</t>
        </is>
      </c>
      <c r="C34" s="149" t="inlineStr">
        <is>
          <t>수정</t>
        </is>
      </c>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row>
    <row r="35" ht="45" customHeight="1">
      <c r="A35" s="287" t="inlineStr">
        <is>
          <t>규제 검증 (구 1차 검증)</t>
        </is>
      </c>
      <c r="B35" s="154" t="inlineStr">
        <is>
          <t>번역 결과가 타겟 국가·규제 분류의 규제를 위반하지 않는지 검사(F-TRN-03·03a). 1차 번역 후·검수 셀 수정 시·2차 번역 파생 후 등 여러 지점에서 반복 수행되므로 서수 명칭을 폐기(PM 9/1). "무엇을 말할 수 있나"의 축(PL-18).</t>
        </is>
      </c>
      <c r="C35" s="155" t="inlineStr">
        <is>
          <t>v3.0 수정 — 개칭</t>
        </is>
      </c>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row>
    <row r="36" ht="45" customHeight="1">
      <c r="A36" s="287" t="inlineStr">
        <is>
          <t>규격 검증 (구 2차 검증)</t>
        </is>
      </c>
      <c r="B36" s="154" t="inlineStr">
        <is>
          <t>최종 렌더링 결과가 채널 규격(해상도·포맷·용량 등)을 지켰는지 검사(F-CH-05). 12월 규격 변경 경로에서는 템플릿 렌더 후 완전 검증. "어떻게 담아야 하나"의 축(PL-18).</t>
        </is>
      </c>
      <c r="C36" s="155" t="inlineStr">
        <is>
          <t>v3.0 수정 — 개칭</t>
        </is>
      </c>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ht="17.25" customHeight="1">
      <c r="A37" s="154" t="inlineStr">
        <is>
          <t>로컬라이징 근거</t>
        </is>
      </c>
      <c r="B37" s="154" t="inlineStr">
        <is>
          <t>각 문구를 그렇게 번역·치환한 이유를 자연어로 제시한 설명. 읽기 전용이며 모든 번역 블록에 존재해야 한다(NFR-16)</t>
        </is>
      </c>
      <c r="C37" s="154" t="inlineStr">
        <is>
          <t>수정</t>
        </is>
      </c>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row>
    <row r="38" ht="31.5" customHeight="1">
      <c r="A38" s="154" t="inlineStr">
        <is>
          <t>확인 필요 블록</t>
        </is>
      </c>
      <c r="B38" s="154" t="inlineStr">
        <is>
          <t>★사람이 확인해야 할 번역 블록. 인식 신뢰도 저조·금지표현 검출·영역 초과 축소·사용자 수정 후 재검증 중 하나에 해당하면 표시된다. 점수를 산출하지 않는다(구 '신뢰도 점수' 대체)</t>
        </is>
      </c>
      <c r="C38" s="154" t="inlineStr">
        <is>
          <t>신설</t>
        </is>
      </c>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ht="45" customHeight="1">
      <c r="A39" s="154" t="inlineStr">
        <is>
          <t>인증 뱃지</t>
        </is>
      </c>
      <c r="B39" s="154" t="inlineStr">
        <is>
          <t>셀러가 인증 기관에서 받아 보유한 로고 이미지. v3.0에서 12월 이월(배치 지점 소멸). 원본에 그려진 국내 인증마크의 판정은 🏷 배지(F-SEC-04).</t>
        </is>
      </c>
      <c r="C39" s="155" t="inlineStr">
        <is>
          <t>v3.0 수정 — 12월 이월</t>
        </is>
      </c>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ht="17.25" customHeight="1">
      <c r="A40" s="154" t="inlineStr">
        <is>
          <t>감사 로그</t>
        </is>
      </c>
      <c r="B40" s="154" t="inlineStr">
        <is>
          <t>운영자와 사용자의 주요 조작 이력. 임의 삭제 불가. 조회 화면은 12월이나 기록은 MVP부터 동작한다</t>
        </is>
      </c>
      <c r="C40" s="154" t="inlineStr">
        <is>
          <t>수정</t>
        </is>
      </c>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ht="31.5" customHeight="1">
      <c r="A41" s="154" t="inlineStr">
        <is>
          <t>시드 주입</t>
        </is>
      </c>
      <c r="B41" s="154" t="inlineStr">
        <is>
          <t>★마스터 데이터를 관리 화면 없이 스크립트로 DB에 적재하는 것. MVP의 마스터 데이터 공급 방식이며 시드 파일이 원본(SSOT)이다</t>
        </is>
      </c>
      <c r="C41" s="154" t="inlineStr">
        <is>
          <t>신설</t>
        </is>
      </c>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c r="Z41" s="6" t="n"/>
    </row>
    <row r="42" ht="17.25" customHeight="1">
      <c r="A42" s="154" t="inlineStr">
        <is>
          <t>골든 샘플</t>
        </is>
      </c>
      <c r="B42" s="155" t="inlineStr">
        <is>
          <t>★MVP 완료 판정과 시연에 사용할 기준 원본 이미지. 단색 배경과 사진 위 텍스트를 모두 포함해야 한다(OI-37)</t>
        </is>
      </c>
      <c r="C42" s="154" t="inlineStr">
        <is>
          <t>신설</t>
        </is>
      </c>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row>
    <row r="43" ht="17.25" customHeight="1">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row>
    <row r="44" ht="17.25" customHeight="1">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row>
    <row r="45" ht="31.5" customHeight="1">
      <c r="A45" s="149" t="inlineStr">
        <is>
          <t>강제 용어</t>
        </is>
      </c>
      <c r="B45" s="149" t="inlineStr">
        <is>
          <t>★용어집 항목 중 번역 결과에 반드시 반영되어야 하는 항목. 성분명(INCI 표준명)·브랜드명·인증 공식 명칭이 해당하며 미적용 시 확인 필요로 표시된다</t>
        </is>
      </c>
      <c r="C45" s="149" t="inlineStr">
        <is>
          <t>신설</t>
        </is>
      </c>
      <c r="D45" s="6" t="n"/>
      <c r="E45" s="6" t="n"/>
      <c r="F45" s="6" t="n"/>
      <c r="G45" s="6" t="n"/>
      <c r="H45" s="6" t="n"/>
      <c r="I45" s="6" t="n"/>
      <c r="J45" s="6" t="n"/>
      <c r="K45" s="6" t="n"/>
      <c r="L45" s="6" t="n"/>
      <c r="M45" s="6" t="n"/>
      <c r="N45" s="6" t="n"/>
      <c r="O45" s="6" t="n"/>
      <c r="P45" s="6" t="n"/>
      <c r="Q45" s="6" t="n"/>
      <c r="R45" s="6" t="n"/>
      <c r="S45" s="6" t="n"/>
      <c r="T45" s="6" t="n"/>
      <c r="U45" s="6" t="n"/>
      <c r="V45" s="6" t="n"/>
      <c r="W45" s="6" t="n"/>
      <c r="X45" s="6" t="n"/>
      <c r="Y45" s="6" t="n"/>
      <c r="Z45" s="6" t="n"/>
    </row>
    <row r="46" ht="17.25" customHeight="1">
      <c r="A46" s="149" t="inlineStr">
        <is>
          <t>참고 용어</t>
        </is>
      </c>
      <c r="B46" s="149" t="inlineStr">
        <is>
          <t>★용어집 항목 중 RAG 예시로만 주입되는 항목. 마케팅 표현이 해당하며 적용 여부를 검사하지 않는다</t>
        </is>
      </c>
      <c r="C46" s="149" t="inlineStr">
        <is>
          <t>신설</t>
        </is>
      </c>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row>
    <row r="47" ht="31.5" customHeight="1">
      <c r="A47" s="149" t="inlineStr">
        <is>
          <t>텍스트 블록</t>
        </is>
      </c>
      <c r="B47" s="149" t="inlineStr">
        <is>
          <t>한 섹션 안의 글자 덩어리 1개. 원문·번역문·역할·번역상태·좌표를 개별로 가지며 섹션에 종속된다(PL-21·22). 섹션마다 생성된다</t>
        </is>
      </c>
      <c r="C47" s="149" t="inlineStr">
        <is>
          <t>신설</t>
        </is>
      </c>
      <c r="D47" s="6" t="n"/>
      <c r="E47" s="6" t="n"/>
      <c r="F47" s="6" t="n"/>
      <c r="G47" s="6" t="n"/>
      <c r="H47" s="6" t="n"/>
      <c r="I47" s="6" t="n"/>
      <c r="J47" s="6" t="n"/>
      <c r="K47" s="6" t="n"/>
      <c r="L47" s="6" t="n"/>
      <c r="M47" s="6" t="n"/>
      <c r="N47" s="6" t="n"/>
      <c r="O47" s="6" t="n"/>
      <c r="P47" s="6" t="n"/>
      <c r="Q47" s="6" t="n"/>
      <c r="R47" s="6" t="n"/>
      <c r="S47" s="6" t="n"/>
      <c r="T47" s="6" t="n"/>
      <c r="U47" s="6" t="n"/>
      <c r="V47" s="6" t="n"/>
      <c r="W47" s="6" t="n"/>
      <c r="X47" s="6" t="n"/>
      <c r="Y47" s="6" t="n"/>
      <c r="Z47" s="6" t="n"/>
    </row>
    <row r="48" ht="45" customHeight="1">
      <c r="A48" s="292" t="inlineStr">
        <is>
          <t>배치에서 빼기</t>
        </is>
      </c>
      <c r="B48" s="292" t="inlineStr">
        <is>
          <t>조각을 모듈에서만 제거하는 동작(S3). 그 배치와 배치에서 나온 텍스트 블록이 삭제되고 조각은 크롭 목록에 남아 다시 배치할 수 있다</t>
        </is>
      </c>
      <c r="C48" s="291" t="inlineStr">
        <is>
          <t>v2.1 수정 · v3.0 삭제</t>
        </is>
      </c>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row>
    <row r="49" ht="45" customHeight="1">
      <c r="A49" s="292" t="inlineStr">
        <is>
          <t>조각 삭제</t>
        </is>
      </c>
      <c r="B49" s="292" t="inlineStr">
        <is>
          <t>조각 자체를 제거하는 동작. 크롭 단계(S2)에서만 가능하며 배치 화면에서는 할 수 없다. 삭제하면 그 조각의 모든 배치와 텍스트 블록이 함께 사라진다</t>
        </is>
      </c>
      <c r="C49" s="291" t="inlineStr">
        <is>
          <t>v2.1 수정 · v3.0 삭제</t>
        </is>
      </c>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31.5" customHeight="1">
      <c r="A50" s="292" t="inlineStr">
        <is>
          <t>크롭 목록</t>
        </is>
      </c>
      <c r="B50" s="292" t="inlineStr">
        <is>
          <t>배치 화면 좌측에 표시되는 조각 전체 목록. 배치 여부와 무관하게 모든 조각이 보이며 조각별 배치 횟수를 함께 표시한다. 조각을 여러 모듈에 재사용할 수 있으므로 배치했다고 사라지지 않는다</t>
        </is>
      </c>
      <c r="C50" s="292" t="inlineStr">
        <is>
          <t>신설 · v3.0 삭제</t>
        </is>
      </c>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45" customHeight="1">
      <c r="A51" s="149" t="inlineStr">
        <is>
          <t>검증 규칙</t>
        </is>
      </c>
      <c r="B51" s="149" t="inlineStr">
        <is>
          <t>규격별로 무엇을 검사할지 정의한 데이터(channel_specs.validation_rules). 항목 key·적용 범위(scope)·비교 연산·기준값·단위·심각도·출처·확인일자로 구성되며, 안내와 검증이 공유하는 단일 소스다. scope는 결과물 용도(detail / thumbnail_main / thumbnail_sub / all)를 가리키며 생략할 수 없다</t>
        </is>
      </c>
      <c r="C51" s="148" t="inlineStr">
        <is>
          <t>v2.2 수정</t>
        </is>
      </c>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ht="31.5" customHeight="1">
      <c r="A52" s="149" t="inlineStr">
        <is>
          <t>적용 범위 (scope)</t>
        </is>
      </c>
      <c r="B52" s="149" t="inlineStr">
        <is>
          <t>검증 규칙이 어떤 결과물에 적용되는지를 가리키는 값. module_slots.usage_type과 같은 체계를 쓴다. 상품 이미지 규정을 A+ 모듈에 적용하는 것 같은 오적용을 막는다</t>
        </is>
      </c>
      <c r="C52" s="149" t="inlineStr">
        <is>
          <t>신설</t>
        </is>
      </c>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100.5" customHeight="1">
      <c r="A53" s="149" t="inlineStr">
        <is>
          <t>마스크</t>
        </is>
      </c>
      <c r="B53" s="149" t="inlineStr">
        <is>
          <t>인페인팅에서 지울 영역을 지정하는, 섹션과 동일 해상도의 이진 마스크 이미지(1채널, 픽셀별 지움/보존). 텍스트 검출 bbox는 마스크 생성의 입력일 뿐이며 마스크 형태는 사각형으로 제한되지 않는다. 자동 재시도는 마스크 팽창 폭을 키워가며 수행된다(F-INP-01b). 12월에 사용자가 마지막 사용 마스크를 브러시로 조정할 수 있다(F-INP-01e)</t>
        </is>
      </c>
      <c r="C53" s="283" t="inlineStr">
        <is>
          <t>v2.4 수정 — 구 「배경 유형」 대체(단일 경로 확정으로 폐기)</t>
        </is>
      </c>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31.5" customHeight="1">
      <c r="A54" s="149" t="inlineStr">
        <is>
          <t>경고 배지</t>
        </is>
      </c>
      <c r="B54" s="149" t="inlineStr">
        <is>
          <t>섹션 처리 결과에 붙는 표시. 처리 실패(재시도 상한 도달, 원본 텍스트 잔존)와 품질 주의(기준은 통과했으나 잔존율이 임계 근처) 두 종류다</t>
        </is>
      </c>
      <c r="C54" s="149" t="inlineStr">
        <is>
          <t>신설</t>
        </is>
      </c>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31.5" customHeight="1">
      <c r="A55" s="149" t="inlineStr">
        <is>
          <t>인라인 경고 배지</t>
        </is>
      </c>
      <c r="B55" s="149" t="inlineStr">
        <is>
          <t>실패하거나 품질이 의심되는 섹션·블록 위에 직접 표시하는 경고. 별도 목록을 두지 않는 이유는 위치 자체가 정보이기 때문이다. 실패 목록 형태는 운영자 화면(A-OPS-03)에서만 쓴다</t>
        </is>
      </c>
      <c r="C55" s="149" t="inlineStr">
        <is>
          <t>신설</t>
        </is>
      </c>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58.5" customHeight="1">
      <c r="A56" s="149" t="inlineStr">
        <is>
          <t>폐기 기능 ID</t>
        </is>
      </c>
      <c r="B56" s="149" t="inlineStr">
        <is>
          <t>삭제·폐기되어 현행 명세에 존재하지 않는 기능 ID. 비고·변경 이력에 남은 참조는 이력 기록이며 깨진 링크가 아니다. v1.5 삭제: F-SRC-05(출발어 경고 — F-SRC-01로 이관) · F-SRC-07(키워드 추천, PL-03 함께 폐기) · F-BRD-04(브랜드 톤 — F-TRN-02b·F-BRD-03으로 대체) · F-HTM-02·03(코드 편집, PL-15 함께 폐기). v1.4: F-PLC-02(02a~02i로 분해). v2.4 폐기: F-INP-01d(배경 유형 수동 지정 — 단일 인페인팅 경로 확정으로 불필요). 폐기된 ID는 재사용하지 않는다</t>
        </is>
      </c>
      <c r="C56" s="283" t="inlineStr">
        <is>
          <t>v2.4 신설</t>
        </is>
      </c>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45" customHeight="1">
      <c r="A57" s="149" t="inlineStr">
        <is>
          <t>★규제 분류</t>
        </is>
      </c>
      <c r="B57" s="149" t="inlineStr">
        <is>
          <t>타겟 국가의 규제 체계상 제품이 속하는 법적 분류(regulatory_class). 미국은 화장품(Cosmetic)·OTC 의약품(OTC Drug)·화장품+OTC 복합·잘 모름(분류 미상) 중 선택한다. 타겟 국가와 함께 규제 사전을 결정하는 축이며, 카테고리(F-SRC-04)와 독립이다. N1에서 셀러가 선택하며 플랫폼은 판정하지 않는다(F-LNG-03)</t>
        </is>
      </c>
      <c r="C57" s="283" t="inlineStr">
        <is>
          <t>v2.5 신설</t>
        </is>
      </c>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45" customHeight="1">
      <c r="A58" s="283" t="inlineStr">
        <is>
          <t>★OTC 의약품</t>
        </is>
      </c>
      <c r="B58" s="149" t="inlineStr">
        <is>
          <t>미국에서 처방 없이 판매되는 의약품. 자외선차단제·여드름 치료제 등이 해당한다. 화장품이 '의약품 클레임만 피하면 되는' 네거티브 규제인 반면, OTC는 '모노그래프에 열거된 용도만 기술할 수 있는' 포지티브 규제다. Drug Facts 패널 보유 여부로 식별한다</t>
        </is>
      </c>
      <c r="C58" s="283" t="inlineStr">
        <is>
          <t>v2.5 신설</t>
        </is>
      </c>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31.5" customHeight="1">
      <c r="A59" s="262" t="inlineStr">
        <is>
          <t>제자리 번역</t>
        </is>
      </c>
      <c r="B59" s="262" t="inlineStr">
        <is>
          <t>원본 레이아웃을 유지한 채 이미지 속 한국어를 그 자리에서 규제를 아는 영어로 바꾸는 방식. 크롭도 배치도 없다. 9월 MVP의 본체(경로 1 — 규격 그대로).</t>
        </is>
      </c>
      <c r="C59" s="6" t="inlineStr">
        <is>
          <t>v3.0 신설</t>
        </is>
      </c>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7.25" customHeight="1">
      <c r="A60" s="262" t="inlineStr">
        <is>
          <t>섹션</t>
        </is>
      </c>
      <c r="B60" s="262" t="inlineStr">
        <is>
          <t>상세페이지를 의미 단위로 자동 분해한 구간. 판정·제외/되살리기·인페인팅·캐시의 기본 단위(구 "조각"을 대체).</t>
        </is>
      </c>
      <c r="C60" s="6" t="inlineStr">
        <is>
          <t>v3.0 신설</t>
        </is>
      </c>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7.25" customHeight="1">
      <c r="A61" s="262" t="inlineStr">
        <is>
          <t>버킷</t>
        </is>
      </c>
      <c r="B61" s="262" t="inlineStr">
        <is>
          <t>섹션 확인(N3)의 두 구획 — 제외된 섹션 / 결과물에 포함될 섹션. 액션은 [되살리기]/[제외하기] 2개이며 결과물이 썸네일이면 대표이미지 지정(F-THM-04)이 더해진다.</t>
        </is>
      </c>
      <c r="C61" s="6" t="inlineStr">
        <is>
          <t>v3.0 신설 · v3.2 수정 — 대표이미지 지정 조건 추가</t>
        </is>
      </c>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7.25" customHeight="1">
      <c r="A62" s="262" t="inlineStr">
        <is>
          <t>무조작 통과</t>
        </is>
      </c>
      <c r="B62" s="262" t="inlineStr">
        <is>
          <t>섹션 확인에서 아무것도 건드리지 않고 [이대로 진행]하면 권고대로 진행되는 것. 전자동과 동일한 결과(클릭 0회).</t>
        </is>
      </c>
      <c r="C62" s="6" t="inlineStr">
        <is>
          <t>v3.0 신설</t>
        </is>
      </c>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31.5" customHeight="1">
      <c r="A63" s="262" t="inlineStr">
        <is>
          <t>판정 티저</t>
        </is>
      </c>
      <c r="B63" s="262" t="inlineStr">
        <is>
          <t>아직 실행하지 못하는 판정(채널 정책 등)을 "12월 지원 예정" 배지로 미리 보여주는 것. 제품이 어디까지 가는지를 UI가 스스로 말하게 한다. N1 규격 선택지에는 적용하지 않는다(배지 없이 비활성 노출 — PM 확정 9/1).</t>
        </is>
      </c>
      <c r="C63" s="6" t="inlineStr">
        <is>
          <t>v3.0 신설</t>
        </is>
      </c>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31.5" customHeight="1">
      <c r="A64" s="262" t="inlineStr">
        <is>
          <t>1차 번역</t>
        </is>
      </c>
      <c r="B64" s="262" t="inlineStr">
        <is>
          <t>원본 박스 폭에 맞춘 번역. 조건(국가·언어)과 무관하게 규격 축에서는 공통 자산(PL-27). content.csv trans_1. (구 명칭 영어1 — 다국어 확장 대비해 언어 중립으로 개칭, PM 9/1)</t>
        </is>
      </c>
      <c r="C64" s="6" t="inlineStr">
        <is>
          <t>v3.0 신설</t>
        </is>
      </c>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31.5" customHeight="1">
      <c r="A65" s="262" t="inlineStr">
        <is>
          <t>2차 번역</t>
        </is>
      </c>
      <c r="B65" s="262" t="inlineStr">
        <is>
          <t>규격 변경 시 1차 번역에서 선별→압축으로 파생되는 번역(12월). 원문에서 직접 만들지 않는다. 2차 번역에 쓰이지 않은 1차 번역 블록을 "선별 탈락"이라 부르지 않는다 — 탈락이 아니라 이번 규격에 선택되지 않은 것이며, 판정(N3 섹션 제외)과 달리 서비스의 주장이 없다. content.csv trans_2. (구 명칭 영어2)</t>
        </is>
      </c>
      <c r="C65" s="6" t="inlineStr">
        <is>
          <t>v3.0 신설</t>
        </is>
      </c>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31.5" customHeight="1">
      <c r="A66" s="261" t="inlineStr">
        <is>
          <t>공간 제약 번역</t>
        </is>
      </c>
      <c r="B66" s="261" t="inlineStr">
        <is>
          <t>원본 박스 폭(픽셀)을 제약으로 번역문을 만들고 실제 렌더 폭을 측정해, 폭을 넘으면 조판 조정(폰트 축소·줄바꿈)으로 수렴시키는 번역(F-TRN-04·F-TRN-09). 조정 상한 안에서 수렴하지 않으면 폭을 넘긴 채 렌더하고 검수(N5)에서 셀러가 줄인다.</t>
        </is>
      </c>
      <c r="C66" s="258" t="inlineStr">
        <is>
          <t>v3.0 신설 · v3.2.1 수정 — 후보 생성·선택 삭제</t>
        </is>
      </c>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31.5" customHeight="1">
      <c r="A67" s="262" t="inlineStr">
        <is>
          <t>현지 부적합 사전</t>
        </is>
      </c>
      <c r="B67" s="262" t="inlineStr">
        <is>
          <t>도착 시장에서 무의미하거나 수정이 필요한 요소(원화·계좌·카카오톡·국내 전화 등)를 패턴 매칭으로 판정하는 사전. 규제 사전(F-TRN-07)과 동일 스키마.</t>
        </is>
      </c>
      <c r="C67" s="6" t="inlineStr">
        <is>
          <t>v3.0 신설</t>
        </is>
      </c>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7.25" customHeight="1">
      <c r="A68" s="262" t="inlineStr">
        <is>
          <t>수평 절단 + 스택</t>
        </is>
      </c>
      <c r="B68" s="262" t="inlineStr">
        <is>
          <t>제외된 섹션 자리를 아래가 위로 당겨져 메우는 처리. 구멍 없이 전체 높이만 줄어든다.</t>
        </is>
      </c>
      <c r="C68" s="6" t="inlineStr">
        <is>
          <t>v3.0 신설</t>
        </is>
      </c>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7.25" customHeight="1">
      <c r="A69" s="6" t="inlineStr">
        <is>
          <t>content.csv</t>
        </is>
      </c>
      <c r="B69" s="262" t="inlineStr">
        <is>
          <t>블록별 원문/1차 번역/2차 번역/판정/제외 사유/자동 조정 내역을 담는 산출물. 축 A(내용 수정)의 본체.</t>
        </is>
      </c>
      <c r="C69" s="6" t="inlineStr">
        <is>
          <t>v3.0 신설</t>
        </is>
      </c>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7.25" customHeight="1">
      <c r="A70" s="6" t="inlineStr">
        <is>
          <t>manifest.json</t>
        </is>
      </c>
      <c r="B70" s="6" t="inlineStr">
        <is>
          <t>bbox·스타일·판정·선택 상태를 담는 산출물. 재생성과 규격 변경 경로의 입력.</t>
        </is>
      </c>
      <c r="C70" s="6" t="inlineStr">
        <is>
          <t>v3.0 신설</t>
        </is>
      </c>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31.5" customHeight="1">
      <c r="A71" s="262" t="inlineStr">
        <is>
          <t>하이브리드 PSD</t>
        </is>
      </c>
      <c r="B71" s="262" t="inlineStr">
        <is>
          <t>배경(래스터) + 번역문 이미지(표시) + 번역문 텍스트(숨김) + 원문(숨김) 4레이어 PSD(12월). 폰트가 없어도 보이는 대로 열린다.</t>
        </is>
      </c>
      <c r="C71" s="6" t="inlineStr">
        <is>
          <t>v3.0 신설</t>
        </is>
      </c>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31.5" customHeight="1">
      <c r="A72" s="262" t="inlineStr">
        <is>
          <t>규격 변경 2a/2b</t>
        </is>
      </c>
      <c r="B72" s="6" t="inlineStr">
        <is>
          <t>2a 모듈 분해형(아마존 A+ — 텍스트가 이미지 밖) / 2b 긴 이미지형(Shopee·Lazada·일본 — 텍스트가 이미지 안). "각국의 커머스 관습"의 가장 선명한 실례.</t>
        </is>
      </c>
      <c r="C72" s="6" t="inlineStr">
        <is>
          <t>v3.0 신설</t>
        </is>
      </c>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31.5" customHeight="1">
      <c r="A73" s="262" t="inlineStr">
        <is>
          <t>자동 조정 (auto_adjust)</t>
        </is>
      </c>
      <c r="B73" s="262" t="inlineStr">
        <is>
          <t>시스템이 수행한 조판 조정(폰트 −8% 등). 사용자에게 알림으로만 표시되고 조작 불가. content.csv에 기록.</t>
        </is>
      </c>
      <c r="C73" s="6" t="inlineStr">
        <is>
          <t>v3.0 신설</t>
        </is>
      </c>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31.5" customHeight="1">
      <c r="A74" s="299" t="inlineStr">
        <is>
          <t>★번역 후보</t>
        </is>
      </c>
      <c r="B74" s="299" t="inlineStr">
        <is>
          <t>공간 제약 루프(F-TRN-08)가 만들어 렌더 폭 실측과 규제 재검증을 통과시킨 대체 번역문. 화면에 노출하는 말은 「다른 번역」이며([다른 번역 보기] — F-CFM-11) 사용자에게 "후보"라는 말을 쓰지 않는다. 명세·API·로그의 내부 용어는 「번역 후보」를 쓴다(PM 확정 9/1).</t>
        </is>
      </c>
      <c r="C74" s="300" t="inlineStr">
        <is>
          <t>v3.0 신설 · v3.2.1 삭제 (개념 폐지 — F-TRN-08·F-CFM-11 폐기)</t>
        </is>
      </c>
    </row>
    <row r="75" ht="31.5" customHeight="1">
      <c r="A75" s="262" t="inlineStr">
        <is>
          <t>★baked</t>
        </is>
      </c>
      <c r="B75" s="262" t="inlineStr">
        <is>
          <t>텍스트가 이미지에 구워진 산출물. 12월 규격 변경에서 모듈 이미지 슬롯 규격에 맞춰 렌더한 PNG(F-EXP-07). 분리형(images/+content.csv를 아마존 폼에 입력)과 배타적이지 않으며 셀러가 구성요소로 선택한다. 2b 긴 이미지형에서는 같은 결과가 images/ 본체가 된다</t>
        </is>
      </c>
      <c r="C75" s="6" t="inlineStr">
        <is>
          <t>v3.0 신설</t>
        </is>
      </c>
    </row>
    <row r="76" ht="31.5" customHeight="1">
      <c r="A76" s="262" t="inlineStr">
        <is>
          <t>★검수 중 섹션 제외</t>
        </is>
      </c>
      <c r="B76" s="262" t="inlineStr">
        <is>
          <t>N5에서 섹션을 결과물에서 빼는 동작(F-CFM-14). 화면에서 사라지지 않고 회색 오버레이로 남아 [되돌리기]로 복구할 수 있으며, 스택은 N6 최종 렌더에서만 적용된다. N3의 제외(판정 결과 확인)와 달리 검수 중의 판단이며 "이 화면에서 한 일은 이 화면에서 되돌린다"는 원칙을 따른다</t>
        </is>
      </c>
      <c r="C76" s="6" t="inlineStr">
        <is>
          <t>v3.0 신설</t>
        </is>
      </c>
    </row>
    <row r="77" ht="31.5" customHeight="1">
      <c r="A77" s="262" t="inlineStr">
        <is>
          <t>★처리 중단</t>
        </is>
      </c>
      <c r="B77" s="262" t="inlineStr">
        <is>
          <t>처리 화면(N2·N4)에서 진행 중인 비동기 처리를 멈추고 직전 화면(N1·N3)으로 돌아가는 동작(F-JOB-08). 작업을 버리는 [X] 작업 취소(F-JOB-07)와 다르다 — 중단은 되돌릴 수 있고 취소는 되돌릴 수 없다</t>
        </is>
      </c>
      <c r="C77" s="6" t="inlineStr">
        <is>
          <t>v3.0 신설</t>
        </is>
      </c>
    </row>
    <row r="78" ht="31.5" customHeight="1">
      <c r="A78" s="262" t="inlineStr">
        <is>
          <t>★선별 / 압축</t>
        </is>
      </c>
      <c r="B78" s="262" t="inlineStr">
        <is>
          <t>2차 번역 파생의 두 단계이며 단위가 다르다. 선별 = 어떤 텍스트 블록(문단)을 A+ 슬롯에 가져갈지 고르는 것 — 블록 단위이며 블록을 쪼개지 않는다. 압축 = 선별한 블록 안에서 문장 단위로 줄이는 것 — 슬롯 제약을 넘칠 때만. 출처는 블록 ID(origin_block_ids)로 기록하고 블록 안의 문장 선택은 기록하지 않는다(F-TRN-10, PM 확정 9/1)</t>
        </is>
      </c>
      <c r="C78" s="6" t="inlineStr">
        <is>
          <t>v3.0 신설</t>
        </is>
      </c>
    </row>
    <row r="79" ht="15.75" customHeight="1">
      <c r="A79" s="262" t="inlineStr">
        <is>
          <t>★슬롯</t>
        </is>
      </c>
      <c r="B79" s="262" t="inlineStr">
        <is>
          <t>모듈 안에서 이미지 한 장 또는 텍스트 한 필드가 들어가는 자리. 규격(px·글자수 상한)은 module_spec이 보유한다(F-CH-07). 모듈이 슬롯을 포함하는 관계이며 DB 테이블명은 module_slots다.</t>
        </is>
      </c>
      <c r="C79" s="6" t="inlineStr">
        <is>
          <t>v3.0 신설</t>
        </is>
      </c>
    </row>
    <row r="80" ht="15.75" customHeight="1">
      <c r="A80" s="262" t="inlineStr">
        <is>
          <t>★대조용 원본</t>
        </is>
      </c>
      <c r="B80" s="262" t="inlineStr">
        <is>
          <t>검수(N5) 좌측 뷰어에서 결과와 겹쳐 보는 이미지. 셀러가 올린 파일 그대로가 아니라 N3에서 제외되지 않은 섹션만 원본 순서로 스택한 표시용 이미지다 — 결과물과 높이가 같아야 슬라이더 대조가 성립하기 때문이다(F-CFM-01 ⑥). 별도 산출물로 생성·보관하지 않고 섹션 이미지와 manifest 스택 오프셋으로 표시 시점에 구성한다(F-CRP-01a). 화면 라벨은 「번역 전」이다.</t>
        </is>
      </c>
      <c r="C80" s="6" t="inlineStr">
        <is>
          <t>v3.0 신설</t>
        </is>
      </c>
    </row>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4" ht="15" customHeight="1"/>
    <row r="1015" ht="15" customHeight="1"/>
  </sheetData>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47"/>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30" customWidth="1" min="3" max="3"/>
    <col width="11" customWidth="1" min="4" max="4"/>
    <col width="60" customWidth="1" min="5" max="5"/>
    <col width="40" customWidth="1" min="6" max="6"/>
  </cols>
  <sheetData>
    <row r="1">
      <c r="A1" t="inlineStr">
        <is>
          <t>12. 폐기 기능 — v3.0 이후 삭제된 기능의 기록</t>
        </is>
      </c>
    </row>
    <row r="2">
      <c r="A2" t="inlineStr">
        <is>
          <t>02_기능명세에서 이관. 폐기된 기능 ID는 재사용하지 않는다(용어집 「폐기 기능 ID」). 살아 있는 명세·정책·실행계획이 이 ID들을 참조하므로 목록을 지우지 않는다. ★이 시트는 v3.0 이후의 폐기분을 담는다(폐기 버전 열로 구분한다) — v3.0 이전(v1.4~v2.4)에 폐기된 ID(F-SRC-05·F-SRC-07·F-BRD-04·F-HTM-02·03·F-PLC-02·F-INP-01d와 PL-03·PL-15)는 11_용어집 「폐기 기능 ID」 항목이 소유한다. 비고·변경 이력에 남은 그 참조들은 깨진 링크가 아니다.</t>
        </is>
      </c>
    </row>
    <row r="4">
      <c r="A4" s="226" t="inlineStr">
        <is>
          <t>기능 ID</t>
        </is>
      </c>
      <c r="B4" s="226" t="inlineStr">
        <is>
          <t>대분류</t>
        </is>
      </c>
      <c r="C4" s="226" t="inlineStr">
        <is>
          <t>기능명</t>
        </is>
      </c>
      <c r="D4" s="226" t="inlineStr">
        <is>
          <t>폐기 버전</t>
        </is>
      </c>
      <c r="E4" s="226" t="inlineStr">
        <is>
          <t>폐기 사유</t>
        </is>
      </c>
      <c r="F4" s="226" t="inlineStr">
        <is>
          <t>비고 / 의존성</t>
        </is>
      </c>
    </row>
    <row r="5" ht="30" customHeight="1">
      <c r="A5" s="6" t="inlineStr">
        <is>
          <t>F-NAV-07</t>
        </is>
      </c>
      <c r="B5" s="6" t="inlineStr">
        <is>
          <t>작업 단계 관리</t>
        </is>
      </c>
      <c r="C5" s="6" t="inlineStr">
        <is>
          <t>★결과물 유형 탭 전환</t>
        </is>
      </c>
      <c r="D5" s="6" t="inlineStr">
        <is>
          <t>v3.0</t>
        </is>
      </c>
      <c r="E5" s="6" t="inlineStr">
        <is>
          <t>썸네일은 별도 작업(짧은 원본 제자리 번역)으로 처리 — 결과물 유형 탭 폐지, 12월 규격 확장에 병합</t>
        </is>
      </c>
      <c r="F5" s="6" t="inlineStr">
        <is>
          <t>v1.8 이월 · 결과물 1종이면 탭 불필요</t>
        </is>
      </c>
    </row>
    <row r="6" ht="30" customHeight="1">
      <c r="A6" s="6" t="inlineStr">
        <is>
          <t>F-CH-08</t>
        </is>
      </c>
      <c r="B6" s="6" t="inlineStr">
        <is>
          <t>채널 규격</t>
        </is>
      </c>
      <c r="C6" s="6" t="inlineStr">
        <is>
          <t>★모듈 개수 상한</t>
        </is>
      </c>
      <c r="D6" s="6" t="inlineStr">
        <is>
          <t>v3.0</t>
        </is>
      </c>
      <c r="E6" s="6" t="inlineStr">
        <is>
          <t>모듈 개수 상한 삭제 — 자유 배치 전제 소멸(12월 규격 변경은 템플릿 슬롯이 개수를 결정)</t>
        </is>
      </c>
      <c r="F6" s="6" t="inlineStr">
        <is>
          <t>v1.8 이월 · 상한 도달 화면을 시연에서 만들지 않음</t>
        </is>
      </c>
    </row>
    <row r="7" ht="30" customHeight="1">
      <c r="A7" s="6" t="inlineStr">
        <is>
          <t>F-CRP-01</t>
        </is>
      </c>
      <c r="B7" s="6" t="inlineStr">
        <is>
          <t>S2 크롭</t>
        </is>
      </c>
      <c r="C7" s="6" t="inlineStr">
        <is>
          <t>★원본에서 조각 크롭</t>
        </is>
      </c>
      <c r="D7" s="6" t="inlineStr">
        <is>
          <t>v3.0</t>
        </is>
      </c>
      <c r="E7" s="6" t="inlineStr">
        <is>
          <t>자유 크롭 삭제 — 편집 축 제거(변경안 §11)</t>
        </is>
      </c>
      <c r="F7" s="6" t="inlineStr">
        <is>
          <t>v1.6 수정 · 영역 수정과 F-INP-01c 캐시의 충돌 방지 규칙 추가</t>
        </is>
      </c>
    </row>
    <row r="8" ht="30" customHeight="1">
      <c r="A8" s="6" t="inlineStr">
        <is>
          <t>F-CRP-02</t>
        </is>
      </c>
      <c r="B8" s="6" t="inlineStr">
        <is>
          <t>S2 크롭</t>
        </is>
      </c>
      <c r="C8" s="6" t="inlineStr">
        <is>
          <t>크롭 조각 목록 관리</t>
        </is>
      </c>
      <c r="D8" s="6" t="inlineStr">
        <is>
          <t>v3.0</t>
        </is>
      </c>
      <c r="E8" s="6" t="inlineStr">
        <is>
          <t>크롭 조각 목록 삭제 — 크롭 축 소멸</t>
        </is>
      </c>
      <c r="F8" s="6" t="inlineStr">
        <is>
          <t>v2.1 · 조각 추가·삭제의 유일한 창구 · S3에서는 배치 해제만 가능</t>
        </is>
      </c>
    </row>
    <row r="9">
      <c r="A9" s="6" t="inlineStr">
        <is>
          <t>F-CRP-03</t>
        </is>
      </c>
      <c r="B9" s="6" t="inlineStr">
        <is>
          <t>S2 크롭</t>
        </is>
      </c>
      <c r="C9" s="6" t="inlineStr">
        <is>
          <t>크롭 개수 가이드</t>
        </is>
      </c>
      <c r="D9" s="6" t="inlineStr">
        <is>
          <t>v3.0</t>
        </is>
      </c>
      <c r="E9" s="6" t="inlineStr">
        <is>
          <t>크롭 개수 가이드 삭제 — 크롭 축 소멸</t>
        </is>
      </c>
      <c r="F9" s="6" t="n"/>
    </row>
    <row r="10">
      <c r="A10" s="6" t="inlineStr">
        <is>
          <t>F-PLC-01</t>
        </is>
      </c>
      <c r="B10" s="6" t="inlineStr">
        <is>
          <t>S3 배치</t>
        </is>
      </c>
      <c r="C10" s="6" t="inlineStr">
        <is>
          <t>★모듈 캔버스 표시</t>
        </is>
      </c>
      <c r="D10" s="6" t="inlineStr">
        <is>
          <t>v3.0</t>
        </is>
      </c>
      <c r="E10" s="6" t="inlineStr">
        <is>
          <t>배치 캔버스 삭제(변경안 §11)</t>
        </is>
      </c>
      <c r="F10" s="6" t="inlineStr">
        <is>
          <t>F-CH-07 의존</t>
        </is>
      </c>
    </row>
    <row r="11">
      <c r="A11" s="6" t="inlineStr">
        <is>
          <t>F-PLC-01a</t>
        </is>
      </c>
      <c r="B11" s="6" t="inlineStr">
        <is>
          <t>S3 배치</t>
        </is>
      </c>
      <c r="C11" s="6" t="inlineStr">
        <is>
          <t>★모듈 용도 구분</t>
        </is>
      </c>
      <c r="D11" s="6" t="inlineStr">
        <is>
          <t>v3.0</t>
        </is>
      </c>
      <c r="E11" s="6" t="inlineStr">
        <is>
          <t>모듈 용도 구분 삭제 — 썸네일 별도 작업 결정</t>
        </is>
      </c>
      <c r="F11" s="6" t="inlineStr">
        <is>
          <t>v1.8 이월 · 대표/부가 구분은 썸네일 전용</t>
        </is>
      </c>
    </row>
    <row r="12">
      <c r="A12" s="6" t="inlineStr">
        <is>
          <t>F-PLC-02a</t>
        </is>
      </c>
      <c r="B12" s="6" t="inlineStr">
        <is>
          <t>S3 배치</t>
        </is>
      </c>
      <c r="C12" s="6" t="inlineStr">
        <is>
          <t>★모듈 규격 맞춤 크롭창</t>
        </is>
      </c>
      <c r="D12" s="6" t="inlineStr">
        <is>
          <t>v3.0</t>
        </is>
      </c>
      <c r="E12" s="6" t="inlineStr">
        <is>
          <t>배치 캔버스 삭제</t>
        </is>
      </c>
      <c r="F12" s="6" t="inlineStr">
        <is>
          <t>v1.4 원문 유지 · F-PLC-02 분해</t>
        </is>
      </c>
    </row>
    <row r="13" ht="30" customHeight="1">
      <c r="A13" s="6" t="inlineStr">
        <is>
          <t>F-PLC-02b</t>
        </is>
      </c>
      <c r="B13" s="6" t="inlineStr">
        <is>
          <t>S3 배치</t>
        </is>
      </c>
      <c r="C13" s="6" t="inlineStr">
        <is>
          <t>★크롭 목록에서 모듈로 배치</t>
        </is>
      </c>
      <c r="D13" s="6" t="inlineStr">
        <is>
          <t>v3.0</t>
        </is>
      </c>
      <c r="E13" s="6" t="inlineStr">
        <is>
          <t>배치 캔버스 삭제</t>
        </is>
      </c>
      <c r="F13" s="6" t="inlineStr">
        <is>
          <t>v2.1 · 목록 표시는 F-PLC-06으로 분리 · 드래그·드롭 동작만 담당</t>
        </is>
      </c>
    </row>
    <row r="14" ht="30" customHeight="1">
      <c r="A14" s="6" t="inlineStr">
        <is>
          <t>F-PLC-02c</t>
        </is>
      </c>
      <c r="B14" s="6" t="inlineStr">
        <is>
          <t>S3 배치</t>
        </is>
      </c>
      <c r="C14" s="6" t="inlineStr">
        <is>
          <t>★조각 위치 이동</t>
        </is>
      </c>
      <c r="D14" s="6" t="inlineStr">
        <is>
          <t>v3.0</t>
        </is>
      </c>
      <c r="E14" s="6" t="inlineStr">
        <is>
          <t>배치 캔버스 삭제</t>
        </is>
      </c>
      <c r="F14" s="6" t="inlineStr">
        <is>
          <t>v2.2 · 텍스트 좌표 재계산은 12월 조건(S4 이후 재진입 시)</t>
        </is>
      </c>
    </row>
    <row r="15" ht="30" customHeight="1">
      <c r="A15" s="6" t="inlineStr">
        <is>
          <t>F-PLC-02d</t>
        </is>
      </c>
      <c r="B15" s="6" t="inlineStr">
        <is>
          <t>S3 배치</t>
        </is>
      </c>
      <c r="C15" s="6" t="inlineStr">
        <is>
          <t>★조각 크기 조절</t>
        </is>
      </c>
      <c r="D15" s="6" t="inlineStr">
        <is>
          <t>v3.0</t>
        </is>
      </c>
      <c r="E15" s="6" t="inlineStr">
        <is>
          <t>배치 캔버스 삭제</t>
        </is>
      </c>
      <c r="F15" s="6" t="inlineStr">
        <is>
          <t>v2.2 · S3의 실시간 반응이 아니라 S4 좌표 변환 시 적용되는 배율 규칙임을 명시</t>
        </is>
      </c>
    </row>
    <row r="16" ht="30" customHeight="1">
      <c r="A16" s="6" t="inlineStr">
        <is>
          <t>F-PLC-02e</t>
        </is>
      </c>
      <c r="B16" s="6" t="inlineStr">
        <is>
          <t>S3 배치</t>
        </is>
      </c>
      <c r="C16" s="6" t="inlineStr">
        <is>
          <t>조각 겹침 순서 및 배치 해제·복제</t>
        </is>
      </c>
      <c r="D16" s="6" t="inlineStr">
        <is>
          <t>v3.0</t>
        </is>
      </c>
      <c r="E16" s="6" t="inlineStr">
        <is>
          <t>배치 캔버스 삭제</t>
        </is>
      </c>
      <c r="F16" s="6" t="inlineStr">
        <is>
          <t>v2.3 · 텍스트 블록 연쇄 삭제가 12월 조건임을 명확화 · 조각 삭제는 S2 전용</t>
        </is>
      </c>
    </row>
    <row r="17">
      <c r="A17" s="6" t="inlineStr">
        <is>
          <t>F-PLC-02f</t>
        </is>
      </c>
      <c r="B17" s="6" t="inlineStr">
        <is>
          <t>S3 배치</t>
        </is>
      </c>
      <c r="C17" s="6" t="inlineStr">
        <is>
          <t>★모듈 추가·삭제·순서 변경</t>
        </is>
      </c>
      <c r="D17" s="6" t="inlineStr">
        <is>
          <t>v3.0</t>
        </is>
      </c>
      <c r="E17" s="6" t="inlineStr">
        <is>
          <t>배치 캔버스 삭제</t>
        </is>
      </c>
      <c r="F17" s="6" t="inlineStr">
        <is>
          <t>F-PLC-02 분해</t>
        </is>
      </c>
    </row>
    <row r="18">
      <c r="A18" s="6" t="inlineStr">
        <is>
          <t>F-PLC-02g</t>
        </is>
      </c>
      <c r="B18" s="6" t="inlineStr">
        <is>
          <t>S3 배치</t>
        </is>
      </c>
      <c r="C18" s="6" t="inlineStr">
        <is>
          <t>정렬 보조</t>
        </is>
      </c>
      <c r="D18" s="6" t="inlineStr">
        <is>
          <t>v3.0</t>
        </is>
      </c>
      <c r="E18" s="6" t="inlineStr">
        <is>
          <t>배치 캔버스 삭제</t>
        </is>
      </c>
      <c r="F18" s="6" t="inlineStr">
        <is>
          <t>F-PLC-02 분해</t>
        </is>
      </c>
    </row>
    <row r="19" ht="30" customHeight="1">
      <c r="A19" s="6" t="inlineStr">
        <is>
          <t>F-PLC-02h</t>
        </is>
      </c>
      <c r="B19" s="6" t="inlineStr">
        <is>
          <t>S3 배치</t>
        </is>
      </c>
      <c r="C19" s="6" t="inlineStr">
        <is>
          <t>★조각 모듈 경계 초과 처리</t>
        </is>
      </c>
      <c r="D19" s="6" t="inlineStr">
        <is>
          <t>v3.0</t>
        </is>
      </c>
      <c r="E19" s="6" t="inlineStr">
        <is>
          <t>배치 캔버스 삭제</t>
        </is>
      </c>
      <c r="F19" s="6" t="inlineStr">
        <is>
          <t>v2.2 · 잘린 텍스트 블록 수 표시는 12월 조건</t>
        </is>
      </c>
    </row>
    <row r="20" ht="45" customHeight="1">
      <c r="A20" s="6" t="inlineStr">
        <is>
          <t>F-PLC-02i</t>
        </is>
      </c>
      <c r="B20" s="6" t="inlineStr">
        <is>
          <t>S3 배치</t>
        </is>
      </c>
      <c r="C20" s="6" t="inlineStr">
        <is>
          <t>조각 모듈 간 이동</t>
        </is>
      </c>
      <c r="D20" s="6" t="inlineStr">
        <is>
          <t>v3.0</t>
        </is>
      </c>
      <c r="E20" s="6" t="inlineStr">
        <is>
          <t>배치 캔버스 삭제</t>
        </is>
      </c>
      <c r="F20" s="6" t="inlineStr">
        <is>
          <t>v2.3 신설 · DB는 placements.module_id 변경만으로 지원(추가 컬럼 없음) · 모듈 간 드래그 UI 비용으로 12월</t>
        </is>
      </c>
    </row>
    <row r="21" ht="30" customHeight="1">
      <c r="A21" s="6" t="inlineStr">
        <is>
          <t>F-PLC-03</t>
        </is>
      </c>
      <c r="B21" s="6" t="inlineStr">
        <is>
          <t>S3 배치</t>
        </is>
      </c>
      <c r="C21" s="6" t="inlineStr">
        <is>
          <t>★AI 초안 생성 (전체 재생성)</t>
        </is>
      </c>
      <c r="D21" s="6" t="inlineStr">
        <is>
          <t>v3.0</t>
        </is>
      </c>
      <c r="E21" s="6" t="inlineStr">
        <is>
          <t>AI 초안 축 삭제 — 배치 개념 소멸</t>
        </is>
      </c>
      <c r="F21" s="6" t="inlineStr">
        <is>
          <t>기각안: 사용자 배치 고정형 재배치 — 삭제한 요소가 되살아나는 문제. PL-12</t>
        </is>
      </c>
    </row>
    <row r="22">
      <c r="A22" s="6" t="inlineStr">
        <is>
          <t>F-PLC-04</t>
        </is>
      </c>
      <c r="B22" s="6" t="inlineStr">
        <is>
          <t>S3 배치</t>
        </is>
      </c>
      <c r="C22" s="6" t="inlineStr">
        <is>
          <t>★AI 초안 수락 / 수정 / 폐기</t>
        </is>
      </c>
      <c r="D22" s="6" t="inlineStr">
        <is>
          <t>v3.0</t>
        </is>
      </c>
      <c r="E22" s="6" t="inlineStr">
        <is>
          <t>AI 초안 축 삭제</t>
        </is>
      </c>
      <c r="F22" s="6" t="n"/>
    </row>
    <row r="23">
      <c r="A23" s="6" t="inlineStr">
        <is>
          <t>F-PLC-05</t>
        </is>
      </c>
      <c r="B23" s="6" t="inlineStr">
        <is>
          <t>S3 배치</t>
        </is>
      </c>
      <c r="C23" s="6" t="inlineStr">
        <is>
          <t>★AI 초안의 조각 선별 규칙</t>
        </is>
      </c>
      <c r="D23" s="6" t="inlineStr">
        <is>
          <t>v3.0</t>
        </is>
      </c>
      <c r="E23" s="6" t="inlineStr">
        <is>
          <t>AI 초안 축 삭제</t>
        </is>
      </c>
      <c r="F23" s="6" t="inlineStr">
        <is>
          <t>v2.1 · '보관함 유지' 표현 정정 · 12월 범위</t>
        </is>
      </c>
    </row>
    <row r="24" ht="60" customHeight="1">
      <c r="A24" s="6" t="inlineStr">
        <is>
          <t>F-PLC-06</t>
        </is>
      </c>
      <c r="B24" s="6" t="inlineStr">
        <is>
          <t>S3 배치</t>
        </is>
      </c>
      <c r="C24" s="6" t="inlineStr">
        <is>
          <t>★크롭 목록 패널</t>
        </is>
      </c>
      <c r="D24" s="6" t="inlineStr">
        <is>
          <t>v3.0</t>
        </is>
      </c>
      <c r="E24" s="6" t="inlineStr">
        <is>
          <t>크롭 목록 패널 삭제</t>
        </is>
      </c>
      <c r="F24" s="6" t="inlineStr">
        <is>
          <t>v2.1 · '미사용 조각 보관함'에서 개명·재정의 · 조각 재사용(F-PLC-02b)과 정합 · placement_count는 파생 집계(is_unused 컬럼 폐기)</t>
        </is>
      </c>
    </row>
    <row r="25" ht="30" customHeight="1">
      <c r="A25" s="6" t="inlineStr">
        <is>
          <t>F-PLC-07</t>
        </is>
      </c>
      <c r="B25" s="6" t="inlineStr">
        <is>
          <t>S3 배치</t>
        </is>
      </c>
      <c r="C25" s="6" t="inlineStr">
        <is>
          <t>인증 뱃지 배치</t>
        </is>
      </c>
      <c r="D25" s="6" t="inlineStr">
        <is>
          <t>v3.0</t>
        </is>
      </c>
      <c r="E25" s="6" t="inlineStr">
        <is>
          <t>뱃지 배치 삭제 — 삽입 지점(배치 캔버스) 소멸. 업로드(F-SRC-08)는 12월 이월</t>
        </is>
      </c>
      <c r="F25" s="6" t="inlineStr">
        <is>
          <t>F-SRC-08이 공급원. PL-09</t>
        </is>
      </c>
    </row>
    <row r="26">
      <c r="A26" s="6" t="inlineStr">
        <is>
          <t>F-PLC-08</t>
        </is>
      </c>
      <c r="B26" s="6" t="inlineStr">
        <is>
          <t>S3 배치</t>
        </is>
      </c>
      <c r="C26" s="6" t="inlineStr">
        <is>
          <t>★뱃지 흰 배경 토글</t>
        </is>
      </c>
      <c r="D26" s="6" t="inlineStr">
        <is>
          <t>v3.0</t>
        </is>
      </c>
      <c r="E26" s="6" t="inlineStr">
        <is>
          <t>뱃지 흰 배경 토글 삭제 — F-PLC-07과 동반</t>
        </is>
      </c>
      <c r="F26" s="6" t="inlineStr">
        <is>
          <t>PL-09</t>
        </is>
      </c>
    </row>
    <row r="27">
      <c r="A27" s="6" t="inlineStr">
        <is>
          <t>F-PLC-09</t>
        </is>
      </c>
      <c r="B27" s="6" t="inlineStr">
        <is>
          <t>S3 배치</t>
        </is>
      </c>
      <c r="C27" s="6" t="inlineStr">
        <is>
          <t>배치 완료 및 다음 단계</t>
        </is>
      </c>
      <c r="D27" s="6" t="inlineStr">
        <is>
          <t>v3.0</t>
        </is>
      </c>
      <c r="E27" s="6" t="inlineStr">
        <is>
          <t>배치 확정 단계 삭제</t>
        </is>
      </c>
      <c r="F27" s="6" t="n"/>
    </row>
    <row r="28" ht="30" customHeight="1">
      <c r="A28" s="6" t="inlineStr">
        <is>
          <t>F-INP-02c</t>
        </is>
      </c>
      <c r="B28" s="6" t="inlineStr">
        <is>
          <t>N4 인페인팅</t>
        </is>
      </c>
      <c r="C28" s="6" t="inlineStr">
        <is>
          <t>★조각→모듈 좌표 변환 및 초기 배치</t>
        </is>
      </c>
      <c r="D28" s="6" t="inlineStr">
        <is>
          <t>v3.0</t>
        </is>
      </c>
      <c r="E28" s="6" t="inlineStr">
        <is>
          <t>조각→모듈 좌표 변환 삭제 — 모듈 소멸. 제자리 조판은 원본 좌표를 그대로 사용</t>
        </is>
      </c>
      <c r="F28" s="6" t="inlineStr">
        <is>
          <t>v2.0 · 3층 구조(크롭·배치·블록) · module_id 초기값 규칙 · OI-27</t>
        </is>
      </c>
    </row>
    <row r="29" ht="30" customHeight="1">
      <c r="A29" s="6" t="inlineStr">
        <is>
          <t>F-INP-04</t>
        </is>
      </c>
      <c r="B29" s="6" t="inlineStr">
        <is>
          <t>N4 인페인팅</t>
        </is>
      </c>
      <c r="C29" s="6" t="inlineStr">
        <is>
          <t>★대표이미지 모듈 텍스트 제거</t>
        </is>
      </c>
      <c r="D29" s="6" t="inlineStr">
        <is>
          <t>v3.0</t>
        </is>
      </c>
      <c r="E29" s="6" t="inlineStr">
        <is>
          <t>대표이미지 모듈 텍스트 제거 삭제 — 썸네일 별도 작업 결정, 대표이미지 정책은 채널 정책 판정(F-LOC-03)으로</t>
        </is>
      </c>
      <c r="F29" s="6" t="inlineStr">
        <is>
          <t>v1.8 이월 · 대표이미지가 MVP에 없음</t>
        </is>
      </c>
    </row>
    <row r="30" ht="30" customHeight="1">
      <c r="A30" s="6" t="inlineStr">
        <is>
          <t>F-BG-02</t>
        </is>
      </c>
      <c r="B30" s="6" t="inlineStr">
        <is>
          <t>N4 배경</t>
        </is>
      </c>
      <c r="C30" s="6" t="inlineStr">
        <is>
          <t>★크롭 배경 중간색 단색</t>
        </is>
      </c>
      <c r="D30" s="6" t="inlineStr">
        <is>
          <t>v3.0</t>
        </is>
      </c>
      <c r="E30" s="6" t="inlineStr">
        <is>
          <t>조각 배경 중간색 삭제 — 조각·모듈 전제 소멸(배경색 추출 알고리즘 자체는 인페인팅 단색 채우기에서 계속 사용, OI-18 유지)</t>
        </is>
      </c>
      <c r="F30" s="6" t="inlineStr">
        <is>
          <t>추출 알고리즘 미정 — OI-18</t>
        </is>
      </c>
    </row>
    <row r="31">
      <c r="A31" s="6" t="inlineStr">
        <is>
          <t>F-BG-03</t>
        </is>
      </c>
      <c r="B31" s="6" t="inlineStr">
        <is>
          <t>N4 배경</t>
        </is>
      </c>
      <c r="C31" s="6" t="inlineStr">
        <is>
          <t>그라데이션 테두리</t>
        </is>
      </c>
      <c r="D31" s="6" t="inlineStr">
        <is>
          <t>v3.0</t>
        </is>
      </c>
      <c r="E31" s="6" t="inlineStr">
        <is>
          <t>그라데이션 테두리 삭제 — 조각 전제 소멸</t>
        </is>
      </c>
      <c r="F31" s="6" t="n"/>
    </row>
    <row r="32" ht="30" customHeight="1">
      <c r="A32" s="6" t="inlineStr">
        <is>
          <t>F-BG-04</t>
        </is>
      </c>
      <c r="B32" s="6" t="inlineStr">
        <is>
          <t>N4 배경</t>
        </is>
      </c>
      <c r="C32" s="6" t="inlineStr">
        <is>
          <t>★배경 가공 방식 전환</t>
        </is>
      </c>
      <c r="D32" s="6" t="inlineStr">
        <is>
          <t>v3.0</t>
        </is>
      </c>
      <c r="E32" s="6" t="inlineStr">
        <is>
          <t>배경 가공 방식 전환 삭제 — 전환 대상 소멸</t>
        </is>
      </c>
      <c r="F32" s="6" t="inlineStr">
        <is>
          <t>배경은 텍스트와 독립 레이어 · F-NAV-05 보존 대상</t>
        </is>
      </c>
    </row>
    <row r="33">
      <c r="A33" s="6" t="inlineStr">
        <is>
          <t>F-BG-05</t>
        </is>
      </c>
      <c r="B33" s="6" t="inlineStr">
        <is>
          <t>N4 배경</t>
        </is>
      </c>
      <c r="C33" s="6" t="inlineStr">
        <is>
          <t>액자 그룹화</t>
        </is>
      </c>
      <c r="D33" s="6" t="inlineStr">
        <is>
          <t>v3.0</t>
        </is>
      </c>
      <c r="E33" s="6" t="inlineStr">
        <is>
          <t>액자 그룹화 삭제 — 조각 전제 소멸</t>
        </is>
      </c>
      <c r="F33" s="6" t="n"/>
    </row>
    <row r="34" ht="30" customHeight="1">
      <c r="A34" s="6" t="inlineStr">
        <is>
          <t>F-BG-06</t>
        </is>
      </c>
      <c r="B34" s="6" t="inlineStr">
        <is>
          <t>N4 배경</t>
        </is>
      </c>
      <c r="C34" s="6" t="inlineStr">
        <is>
          <t>★크롭 배경 확장 (아웃페인팅)</t>
        </is>
      </c>
      <c r="D34" s="6" t="inlineStr">
        <is>
          <t>v3.0</t>
        </is>
      </c>
      <c r="E34" s="6" t="inlineStr">
        <is>
          <t>아웃페인팅 삭제 — "조각이 모듈을 못 채울 때"라는 전제 소멸</t>
        </is>
      </c>
      <c r="F34" s="6" t="inlineStr">
        <is>
          <t>★v1.4 부활. 유일하게 GPU가 필요한 배경 옵션</t>
        </is>
      </c>
    </row>
    <row r="35" ht="30" customHeight="1">
      <c r="A35" s="6" t="inlineStr">
        <is>
          <t>F-TXT-01</t>
        </is>
      </c>
      <c r="B35" s="6" t="inlineStr">
        <is>
          <t>S5 1차 피드백</t>
        </is>
      </c>
      <c r="C35" s="6" t="inlineStr">
        <is>
          <t>★배경 위 원문 텍스트 표시</t>
        </is>
      </c>
      <c r="D35" s="6" t="inlineStr">
        <is>
          <t>v3.0</t>
        </is>
      </c>
      <c r="E35" s="6" t="inlineStr">
        <is>
          <t>원문 수정(1차 피드백) 축 삭제 — PM 결정(8/31). 원문·결과 대조는 검수 화면(N5)이 담당</t>
        </is>
      </c>
      <c r="F35" s="6" t="inlineStr">
        <is>
          <t>목록형이 아닌 실물 편집 방식 채택 · v1.7 렌더링 HTML/Playwright 확정(OI-34 종결)</t>
        </is>
      </c>
    </row>
    <row r="36" ht="30" customHeight="1">
      <c r="A36" s="6" t="inlineStr">
        <is>
          <t>F-TXT-02</t>
        </is>
      </c>
      <c r="B36" s="6" t="inlineStr">
        <is>
          <t>S5 1차 피드백</t>
        </is>
      </c>
      <c r="C36" s="6" t="inlineStr">
        <is>
          <t>★원문 텍스트 수정 (1차 피드백)</t>
        </is>
      </c>
      <c r="D36" s="6" t="inlineStr">
        <is>
          <t>v3.0</t>
        </is>
      </c>
      <c r="E36" s="6" t="inlineStr">
        <is>
          <t>원문 수정 축 삭제 — PM 결정(8/31)</t>
        </is>
      </c>
      <c r="F36" s="6" t="inlineStr">
        <is>
          <t>★핵심 인터랙션</t>
        </is>
      </c>
    </row>
    <row r="37">
      <c r="A37" s="6" t="inlineStr">
        <is>
          <t>F-TXT-03</t>
        </is>
      </c>
      <c r="B37" s="6" t="inlineStr">
        <is>
          <t>S5 1차 피드백</t>
        </is>
      </c>
      <c r="C37" s="6" t="inlineStr">
        <is>
          <t>★작업물 위 직접 편집</t>
        </is>
      </c>
      <c r="D37" s="6" t="inlineStr">
        <is>
          <t>v3.0</t>
        </is>
      </c>
      <c r="E37" s="6" t="inlineStr">
        <is>
          <t>작업물 위 직접 편집 삭제 — 편집기 제거(예람안)</t>
        </is>
      </c>
      <c r="F37" s="6" t="n"/>
    </row>
    <row r="38" ht="30" customHeight="1">
      <c r="A38" s="6" t="inlineStr">
        <is>
          <t>F-TXT-04</t>
        </is>
      </c>
      <c r="B38" s="6" t="inlineStr">
        <is>
          <t>S5 1차 피드백</t>
        </is>
      </c>
      <c r="C38" s="6" t="inlineStr">
        <is>
          <t>우측 패널 텍스트 목록 편집</t>
        </is>
      </c>
      <c r="D38" s="6" t="inlineStr">
        <is>
          <t>v3.0</t>
        </is>
      </c>
      <c r="E38" s="6" t="inlineStr">
        <is>
          <t>우측 패널 텍스트 편집 삭제 — 검수 표(F-CFM-02)가 대체</t>
        </is>
      </c>
      <c r="F38" s="6" t="inlineStr">
        <is>
          <t>v1.7 · 추출 실패 조각 직접 입력 경로 · OI-20 종결</t>
        </is>
      </c>
    </row>
    <row r="39">
      <c r="A39" s="6" t="inlineStr">
        <is>
          <t>F-TXT-06</t>
        </is>
      </c>
      <c r="B39" s="6" t="inlineStr">
        <is>
          <t>S5 1차 피드백</t>
        </is>
      </c>
      <c r="C39" s="6" t="inlineStr">
        <is>
          <t>번역 시작</t>
        </is>
      </c>
      <c r="D39" s="6" t="inlineStr">
        <is>
          <t>v3.0</t>
        </is>
      </c>
      <c r="E39" s="6" t="inlineStr">
        <is>
          <t>번역 시작 삭제 — 섹션 확인의 [이대로 진행](F-SEC-03)에 흡수</t>
        </is>
      </c>
      <c r="F39" s="6" t="n"/>
    </row>
    <row r="40">
      <c r="A40" s="6" t="inlineStr">
        <is>
          <t>F-TXT-07</t>
        </is>
      </c>
      <c r="B40" s="6" t="inlineStr">
        <is>
          <t>S5 1차 피드백</t>
        </is>
      </c>
      <c r="C40" s="6" t="inlineStr">
        <is>
          <t>텍스트 블록 신규 추가</t>
        </is>
      </c>
      <c r="D40" s="6" t="inlineStr">
        <is>
          <t>v3.0</t>
        </is>
      </c>
      <c r="E40" s="6" t="inlineStr">
        <is>
          <t>텍스트 블록 신규 추가 삭제 — 원문 수정 축과 동반 삭제</t>
        </is>
      </c>
      <c r="F40" s="6" t="inlineStr">
        <is>
          <t>v1.5 신설 · 12월 구현</t>
        </is>
      </c>
    </row>
    <row r="41" ht="60" customHeight="1">
      <c r="A41" s="6" t="inlineStr">
        <is>
          <t>F-TXT-08</t>
        </is>
      </c>
      <c r="B41" s="6" t="inlineStr">
        <is>
          <t>S5 1차 피드백</t>
        </is>
      </c>
      <c r="C41" s="6" t="inlineStr">
        <is>
          <t>텍스트 블록 모듈 간 이동</t>
        </is>
      </c>
      <c r="D41" s="6" t="inlineStr">
        <is>
          <t>v3.0</t>
        </is>
      </c>
      <c r="E41" s="6" t="inlineStr">
        <is>
          <t>텍스트 블록 모듈 간 이동 삭제 — 모듈 소멸</t>
        </is>
      </c>
      <c r="F41" s="6" t="inlineStr">
        <is>
          <t>v2.0 · 텍스트블록에 module_id 신설 · 출처와 표시 위치 분리 · 수용 ③은 12월 되돌림 도입 후 유효(MVP는 조각 삭제 경로 없음) · 8/28 게이트에서 3단계 축소 후보</t>
        </is>
      </c>
    </row>
    <row r="42" ht="30" customHeight="1">
      <c r="A42" s="6" t="inlineStr">
        <is>
          <t>F-CFM-06</t>
        </is>
      </c>
      <c r="B42" s="6" t="inlineStr">
        <is>
          <t>N5 검수</t>
        </is>
      </c>
      <c r="C42" s="6" t="inlineStr">
        <is>
          <t>줄바꿈·띄어쓰기 조정</t>
        </is>
      </c>
      <c r="D42" s="6" t="inlineStr">
        <is>
          <t>v3.0</t>
        </is>
      </c>
      <c r="E42" s="6" t="inlineStr">
        <is>
          <t>줄바꿈·띄어쓰기 조정 삭제 — 시스템 자동 처리 + 알림만(F-CFM-12, 변경안 §4-2)</t>
        </is>
      </c>
      <c r="F42" s="6" t="n"/>
    </row>
    <row r="43">
      <c r="A43" s="6" t="inlineStr">
        <is>
          <t>F-CFM-07</t>
        </is>
      </c>
      <c r="B43" s="6" t="inlineStr">
        <is>
          <t>N5 검수</t>
        </is>
      </c>
      <c r="C43" s="6" t="inlineStr">
        <is>
          <t>텍스트 위치 이동</t>
        </is>
      </c>
      <c r="D43" s="6" t="inlineStr">
        <is>
          <t>v3.0</t>
        </is>
      </c>
      <c r="E43" s="6" t="inlineStr">
        <is>
          <t>텍스트 위치 이동 삭제 — 미세조정 UI 제거(예람안)</t>
        </is>
      </c>
      <c r="F43" s="6" t="inlineStr">
        <is>
          <t>MVP에서는 위치 고정</t>
        </is>
      </c>
    </row>
    <row r="44" ht="30" customHeight="1">
      <c r="A44" s="6" t="inlineStr">
        <is>
          <t>F-CFM-08</t>
        </is>
      </c>
      <c r="B44" s="6" t="inlineStr">
        <is>
          <t>N5 검수</t>
        </is>
      </c>
      <c r="C44" s="6" t="inlineStr">
        <is>
          <t>텍스트 색상·폰트 변경</t>
        </is>
      </c>
      <c r="D44" s="6" t="inlineStr">
        <is>
          <t>v3.0</t>
        </is>
      </c>
      <c r="E44" s="6" t="inlineStr">
        <is>
          <t>텍스트 색상·폰트 변경 삭제 — 폰트 크기 슬라이더를 노출하는 순간 디자인 편집기가 됨(변경안 §4-2)</t>
        </is>
      </c>
      <c r="F44" s="6" t="inlineStr">
        <is>
          <t>12월 구현 · F-PLC-02d 보완</t>
        </is>
      </c>
    </row>
    <row r="45">
      <c r="A45" s="6" t="inlineStr">
        <is>
          <t>F-CFM-10</t>
        </is>
      </c>
      <c r="B45" s="6" t="inlineStr">
        <is>
          <t>N5 검수</t>
        </is>
      </c>
      <c r="C45" s="6" t="inlineStr">
        <is>
          <t>★AI 텍스트 배치 제안</t>
        </is>
      </c>
      <c r="D45" s="6" t="inlineStr">
        <is>
          <t>v3.0</t>
        </is>
      </c>
      <c r="E45" s="6" t="inlineStr">
        <is>
          <t>AI 텍스트 배치 제안 삭제 — 배치 개념 소멸(기존 won't)</t>
        </is>
      </c>
      <c r="F45" s="6" t="inlineStr">
        <is>
          <t>v1.5 신설 · 발표 시 언급만</t>
        </is>
      </c>
    </row>
    <row r="46" ht="30" customHeight="1">
      <c r="A46" s="258" t="inlineStr">
        <is>
          <t>F-TRN-08</t>
        </is>
      </c>
      <c r="B46" s="258" t="inlineStr">
        <is>
          <t>N4 번역</t>
        </is>
      </c>
      <c r="C46" s="258" t="inlineStr">
        <is>
          <t>★공간 제약 번역 루프</t>
        </is>
      </c>
      <c r="D46" s="258" t="inlineStr">
        <is>
          <t>v3.2.1</t>
        </is>
      </c>
      <c r="E46" s="258" t="inlineStr">
        <is>
          <t>번역 후보 다중 생성·제시 삭제 — 재번역은 문장을 바꿔 규제 재검증을 유발하고, 길이를 줄이는 과정에서 단서 조항이 빠져 위반이 만들어진다. 후보 수만큼 늘어나는 렌더 폭 측정도 파이프라인에서 가장 비싼 부하다</t>
        </is>
      </c>
      <c r="F46" s="258" t="inlineStr">
        <is>
          <t>v3.0 신설 · 렌더 폭 실측·조판 조정·폭 초과 판정은 F-TRN-04로 이관 · 폭 초과 신호는 F-CFM-05 · NFR-30·R-12·V6 함께 개정</t>
        </is>
      </c>
    </row>
    <row r="47" ht="30" customHeight="1">
      <c r="A47" s="258" t="inlineStr">
        <is>
          <t>F-CFM-11</t>
        </is>
      </c>
      <c r="B47" s="258" t="inlineStr">
        <is>
          <t>N5 검수</t>
        </is>
      </c>
      <c r="C47" s="258" t="inlineStr">
        <is>
          <t>★번역 후보 선택 (화면 라벨 「다른 번역 보기」)</t>
        </is>
      </c>
      <c r="D47" s="258" t="inlineStr">
        <is>
          <t>v3.2.1</t>
        </is>
      </c>
      <c r="E47" s="258" t="inlineStr">
        <is>
          <t>번역 후보 선택 UI 삭제 — 공급원(F-TRN-08)이 폐기되어 고를 대상이 없다</t>
        </is>
      </c>
      <c r="F47" s="258" t="inlineStr">
        <is>
          <t>v3.0 신설 · 12월 슬롯별 후보 생성(F-TRN-10)도 함께 삭제 · PL-26 「다른 번역 고르기」 삭제 · 용어집 「번역 후보」 폐기</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2026-08-31T16:36:46Z</dcterms:created>
  <dcterms:modified xmlns:dcterms="http://purl.org/dc/terms/" xmlns:xsi="http://www.w3.org/2001/XMLSchema-instance" xsi:type="dcterms:W3CDTF">2026-09-03T05:48:32Z</dcterms:modified>
  <cp:lastModifiedBy>user176</cp:lastModifiedBy>
  <cp:revision>0</cp:revision>
</cp:coreProperties>
</file>